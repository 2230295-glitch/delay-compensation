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1.xml" ContentType="application/vnd.openxmlformats-officedocument.drawing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U:\영업관리1팀\03. 판매관리\00. 씽크(Thync)\"/>
    </mc:Choice>
  </mc:AlternateContent>
  <bookViews>
    <workbookView xWindow="0" yWindow="0" windowWidth="21855" windowHeight="9165"/>
  </bookViews>
  <sheets>
    <sheet name="씽크현황" sheetId="14" r:id="rId1"/>
    <sheet name="씽크현황 (판매)" sheetId="16" r:id="rId2"/>
    <sheet name="씽크현황 (수금)" sheetId="17" r:id="rId3"/>
    <sheet name="Sheet1" sheetId="18" state="hidden" r:id="rId4"/>
    <sheet name="Sheet3" sheetId="20" state="hidden" r:id="rId5"/>
    <sheet name="Sheet2" sheetId="19" state="hidden" r:id="rId6"/>
    <sheet name="Sheet4" sheetId="21" state="hidden" r:id="rId7"/>
    <sheet name="기준" sheetId="15" r:id="rId8"/>
    <sheet name="백병원 관련" sheetId="22" r:id="rId9"/>
    <sheet name="Sheet5" sheetId="23" r:id="rId10"/>
    <sheet name="오더정리" sheetId="6" state="hidden" r:id="rId11"/>
  </sheets>
  <externalReferences>
    <externalReference r:id="rId12"/>
    <externalReference r:id="rId13"/>
    <externalReference r:id="rId14"/>
    <externalReference r:id="rId15"/>
    <externalReference r:id="rId16"/>
  </externalReferences>
  <definedNames>
    <definedName name="_xlnm._FilterDatabase" localSheetId="3" hidden="1">Sheet1!$A$1:$S$314</definedName>
    <definedName name="_xlnm._FilterDatabase" localSheetId="0" hidden="1">씽크현황!$A$4:$BG$207</definedName>
    <definedName name="_xlnm._FilterDatabase" localSheetId="2" hidden="1">'씽크현황 (수금)'!$A$4:$AJ$214</definedName>
    <definedName name="_xlnm._FilterDatabase" localSheetId="1" hidden="1">'씽크현황 (판매)'!$A$4:$AK$207</definedName>
    <definedName name="_xlnm.Print_Area" localSheetId="0">씽크현황!$A$1:$BG$207</definedName>
    <definedName name="_xlnm.Print_Area" localSheetId="2">'씽크현황 (수금)'!$A$1:$AI$207</definedName>
    <definedName name="_xlnm.Print_Area" localSheetId="1">'씽크현황 (판매)'!$A$1:$AI$207</definedName>
    <definedName name="_xlnm.Print_Titles" localSheetId="0">씽크현황!$1:$4</definedName>
    <definedName name="_xlnm.Print_Titles" localSheetId="2">'씽크현황 (수금)'!$1:$4</definedName>
    <definedName name="_xlnm.Print_Titles" localSheetId="1">'씽크현황 (판매)'!$1:$4</definedName>
  </definedNames>
  <calcPr calcId="152511" iterateDelta="1E-4"/>
  <pivotCaches>
    <pivotCache cacheId="3" r:id="rId17"/>
  </pivotCaches>
</workbook>
</file>

<file path=xl/calcChain.xml><?xml version="1.0" encoding="utf-8"?>
<calcChain xmlns="http://schemas.openxmlformats.org/spreadsheetml/2006/main">
  <c r="AW20" i="14" l="1"/>
  <c r="A206" i="14" l="1"/>
  <c r="BC207" i="14" l="1"/>
  <c r="AH207" i="17"/>
  <c r="BD206" i="14"/>
  <c r="AI206" i="16"/>
  <c r="AI199" i="17"/>
  <c r="BE206" i="14"/>
  <c r="AI206" i="17"/>
  <c r="AI205" i="17"/>
  <c r="AI204" i="17"/>
  <c r="AI203" i="17"/>
  <c r="AI202" i="17"/>
  <c r="AI201" i="17"/>
  <c r="BG206" i="14" l="1"/>
  <c r="BF206" i="14"/>
  <c r="AH207" i="16"/>
  <c r="AI205" i="16"/>
  <c r="AI204" i="16"/>
  <c r="AI203" i="16"/>
  <c r="AI202" i="16"/>
  <c r="AI201" i="16"/>
  <c r="AI200" i="16"/>
  <c r="BD194" i="14"/>
  <c r="BD193" i="14"/>
  <c r="BD192" i="14"/>
  <c r="BD181" i="14"/>
  <c r="BD180" i="14"/>
  <c r="BD179" i="14"/>
  <c r="BD178" i="14"/>
  <c r="BD177" i="14"/>
  <c r="BD176" i="14"/>
  <c r="BD175" i="14"/>
  <c r="BD174" i="14"/>
  <c r="BD53" i="14"/>
  <c r="BD204" i="14"/>
  <c r="BD172" i="14"/>
  <c r="BD76" i="14"/>
  <c r="BD205" i="14"/>
  <c r="BD203" i="14"/>
  <c r="BD202" i="14"/>
  <c r="BD201" i="14"/>
  <c r="BD200" i="14"/>
  <c r="BD199" i="14"/>
  <c r="BD198" i="14"/>
  <c r="BD197" i="14"/>
  <c r="BD196" i="14"/>
  <c r="BD195" i="14"/>
  <c r="BD173" i="14"/>
  <c r="BD171" i="14"/>
  <c r="BD170" i="14"/>
  <c r="BD169" i="14"/>
  <c r="BD168" i="14"/>
  <c r="BD167" i="14"/>
  <c r="BD68" i="14"/>
  <c r="BD67" i="14"/>
  <c r="BD61" i="14"/>
  <c r="A199" i="14"/>
  <c r="A200" i="14"/>
  <c r="A201" i="14"/>
  <c r="A202" i="14"/>
  <c r="A203" i="14"/>
  <c r="A204" i="14"/>
  <c r="A205" i="14"/>
  <c r="BE205" i="14"/>
  <c r="BE204" i="14"/>
  <c r="BE203" i="14"/>
  <c r="BE202" i="14"/>
  <c r="BE201" i="14"/>
  <c r="BE200" i="14"/>
  <c r="BG203" i="14" l="1"/>
  <c r="BG204" i="14"/>
  <c r="BG205" i="14"/>
  <c r="BG200" i="14"/>
  <c r="BG201" i="14"/>
  <c r="BG202" i="14"/>
  <c r="BB207" i="14"/>
  <c r="BF202" i="14"/>
  <c r="BF204" i="14"/>
  <c r="BF201" i="14"/>
  <c r="BF203" i="14"/>
  <c r="BF200" i="14"/>
  <c r="BF205" i="14"/>
  <c r="AI199" i="16"/>
  <c r="AI198" i="16"/>
  <c r="AI197" i="16"/>
  <c r="AI196" i="16"/>
  <c r="AI195" i="16"/>
  <c r="AI194" i="16"/>
  <c r="AI193" i="16"/>
  <c r="AI192" i="16"/>
  <c r="AI191" i="16"/>
  <c r="AI190" i="16"/>
  <c r="AI189" i="16"/>
  <c r="AI188" i="16"/>
  <c r="AI187" i="16"/>
  <c r="AI186" i="16"/>
  <c r="AI185" i="16"/>
  <c r="AI184" i="16"/>
  <c r="AI183" i="16"/>
  <c r="AI182" i="16"/>
  <c r="AI126" i="16"/>
  <c r="AI97" i="16"/>
  <c r="AI85" i="16"/>
  <c r="AI75" i="16"/>
  <c r="AI67" i="16"/>
  <c r="AI61" i="16"/>
  <c r="AI53" i="16"/>
  <c r="AI51" i="16"/>
  <c r="AI48" i="16"/>
  <c r="BE199" i="14"/>
  <c r="BE198" i="14"/>
  <c r="BE197" i="14"/>
  <c r="BE196" i="14"/>
  <c r="BE195" i="14"/>
  <c r="BE194" i="14"/>
  <c r="BE193" i="14"/>
  <c r="BE192" i="14"/>
  <c r="BE191" i="14"/>
  <c r="BE190" i="14"/>
  <c r="BE189" i="14"/>
  <c r="BE188" i="14"/>
  <c r="BE187" i="14"/>
  <c r="BE186" i="14"/>
  <c r="BE185" i="14"/>
  <c r="BE184" i="14"/>
  <c r="BE183" i="14"/>
  <c r="BE182" i="14"/>
  <c r="BE181" i="14"/>
  <c r="BE180" i="14"/>
  <c r="BE179" i="14"/>
  <c r="BE178" i="14"/>
  <c r="BE177" i="14"/>
  <c r="BE176" i="14"/>
  <c r="BE175" i="14"/>
  <c r="BE174" i="14"/>
  <c r="BE173" i="14"/>
  <c r="BE172" i="14"/>
  <c r="BE171" i="14"/>
  <c r="BE170" i="14"/>
  <c r="BE169" i="14"/>
  <c r="BE168" i="14"/>
  <c r="BE167" i="14"/>
  <c r="BE166" i="14"/>
  <c r="BE165" i="14"/>
  <c r="BE164" i="14"/>
  <c r="BE163" i="14"/>
  <c r="BE162" i="14"/>
  <c r="BE161" i="14"/>
  <c r="BE160" i="14"/>
  <c r="BE159" i="14"/>
  <c r="BE158" i="14"/>
  <c r="BE157" i="14"/>
  <c r="BE156" i="14"/>
  <c r="BE155" i="14"/>
  <c r="BE154" i="14"/>
  <c r="BE153" i="14"/>
  <c r="BE152" i="14"/>
  <c r="BE151" i="14"/>
  <c r="BE150" i="14"/>
  <c r="BE149" i="14"/>
  <c r="BE148" i="14"/>
  <c r="BE147" i="14"/>
  <c r="BE146" i="14"/>
  <c r="BE145" i="14"/>
  <c r="BE144" i="14"/>
  <c r="BE143" i="14"/>
  <c r="BE142" i="14"/>
  <c r="BE141" i="14"/>
  <c r="BE140" i="14"/>
  <c r="BE139" i="14"/>
  <c r="BE138" i="14"/>
  <c r="BE137" i="14"/>
  <c r="BE136" i="14"/>
  <c r="BE135" i="14"/>
  <c r="BE134" i="14"/>
  <c r="BE133" i="14"/>
  <c r="BE132" i="14"/>
  <c r="BE131" i="14"/>
  <c r="BE130" i="14"/>
  <c r="BE129" i="14"/>
  <c r="BE128" i="14"/>
  <c r="BE127" i="14"/>
  <c r="BE126" i="14"/>
  <c r="BE125" i="14"/>
  <c r="BE124" i="14"/>
  <c r="BE123" i="14"/>
  <c r="BE122" i="14"/>
  <c r="BE121" i="14"/>
  <c r="BE120" i="14"/>
  <c r="BE119" i="14"/>
  <c r="BE118" i="14"/>
  <c r="BE117" i="14"/>
  <c r="BE116" i="14"/>
  <c r="BE115" i="14"/>
  <c r="BE114" i="14"/>
  <c r="BE113" i="14"/>
  <c r="BE112" i="14"/>
  <c r="BE111" i="14"/>
  <c r="BE110" i="14"/>
  <c r="BE109" i="14"/>
  <c r="BE108" i="14"/>
  <c r="BE107" i="14"/>
  <c r="BE106" i="14"/>
  <c r="BE105" i="14"/>
  <c r="BE104" i="14"/>
  <c r="BE103" i="14"/>
  <c r="BE102" i="14"/>
  <c r="BE101" i="14"/>
  <c r="BE100" i="14"/>
  <c r="BE99" i="14"/>
  <c r="BE98" i="14"/>
  <c r="BE97" i="14"/>
  <c r="BE96" i="14"/>
  <c r="BE95" i="14"/>
  <c r="BE94" i="14"/>
  <c r="BE93" i="14"/>
  <c r="BE92" i="14"/>
  <c r="BE91" i="14"/>
  <c r="BE90" i="14"/>
  <c r="BE89" i="14"/>
  <c r="BE88" i="14"/>
  <c r="BE87" i="14"/>
  <c r="BE86" i="14"/>
  <c r="BE85" i="14"/>
  <c r="BE84" i="14"/>
  <c r="BE83" i="14"/>
  <c r="BE82" i="14"/>
  <c r="BE81" i="14"/>
  <c r="BE80" i="14"/>
  <c r="BE79" i="14"/>
  <c r="BE78" i="14"/>
  <c r="BE77" i="14"/>
  <c r="BE76" i="14"/>
  <c r="BE75" i="14"/>
  <c r="BE74" i="14"/>
  <c r="BE73" i="14"/>
  <c r="BE72" i="14"/>
  <c r="BE71" i="14"/>
  <c r="BE70" i="14"/>
  <c r="BE69" i="14"/>
  <c r="BE68" i="14"/>
  <c r="BE67" i="14"/>
  <c r="BE66" i="14"/>
  <c r="BE65" i="14"/>
  <c r="BE64" i="14"/>
  <c r="BE63" i="14"/>
  <c r="BE62" i="14"/>
  <c r="BE61" i="14"/>
  <c r="BE60" i="14"/>
  <c r="BE59" i="14"/>
  <c r="BE58" i="14"/>
  <c r="BE57" i="14"/>
  <c r="BE56" i="14"/>
  <c r="BE55" i="14"/>
  <c r="BE54" i="14"/>
  <c r="BE53" i="14"/>
  <c r="BE52" i="14"/>
  <c r="BE51" i="14"/>
  <c r="BE50" i="14"/>
  <c r="BE49" i="14"/>
  <c r="BE48" i="14"/>
  <c r="BE47" i="14"/>
  <c r="BE46" i="14"/>
  <c r="BE45" i="14"/>
  <c r="BE44" i="14"/>
  <c r="BE43" i="14"/>
  <c r="BE42" i="14"/>
  <c r="BE41" i="14"/>
  <c r="BE40" i="14"/>
  <c r="BE39" i="14"/>
  <c r="BE38" i="14"/>
  <c r="BE37" i="14"/>
  <c r="BE36" i="14"/>
  <c r="BE35" i="14"/>
  <c r="BE34" i="14"/>
  <c r="BE33" i="14"/>
  <c r="BE32" i="14"/>
  <c r="BE31" i="14"/>
  <c r="BE30" i="14"/>
  <c r="BE29" i="14"/>
  <c r="BE28" i="14"/>
  <c r="BE27" i="14"/>
  <c r="BE26" i="14"/>
  <c r="BE25" i="14"/>
  <c r="BE24" i="14"/>
  <c r="BE23" i="14"/>
  <c r="BE22" i="14"/>
  <c r="BE21" i="14"/>
  <c r="BE20" i="14"/>
  <c r="BE19" i="14"/>
  <c r="BE18" i="14"/>
  <c r="BE17" i="14"/>
  <c r="BE16" i="14"/>
  <c r="BE15" i="14"/>
  <c r="BE14" i="14"/>
  <c r="BE13" i="14"/>
  <c r="BE12" i="14"/>
  <c r="BE11" i="14"/>
  <c r="BE10" i="14"/>
  <c r="BE9" i="14"/>
  <c r="BE8" i="14"/>
  <c r="BE7" i="14"/>
  <c r="BE6" i="14"/>
  <c r="BE5" i="14"/>
  <c r="AI200" i="17"/>
  <c r="AI198" i="17"/>
  <c r="AI197" i="17"/>
  <c r="AI196" i="17"/>
  <c r="AI195" i="17"/>
  <c r="AI194" i="17"/>
  <c r="AI193" i="17"/>
  <c r="AI192" i="17"/>
  <c r="AI191" i="17"/>
  <c r="AI190" i="17"/>
  <c r="AI189" i="17"/>
  <c r="AI188" i="17"/>
  <c r="AI187" i="17"/>
  <c r="AI186" i="17"/>
  <c r="AI185" i="17"/>
  <c r="AI184" i="17"/>
  <c r="AI183" i="17"/>
  <c r="AI182" i="17"/>
  <c r="AI181" i="17"/>
  <c r="AI180" i="17"/>
  <c r="AI179" i="17"/>
  <c r="AI178" i="17"/>
  <c r="AI177" i="17"/>
  <c r="AI176" i="17"/>
  <c r="AI175" i="17"/>
  <c r="AI174" i="17"/>
  <c r="AI173" i="17"/>
  <c r="AI172" i="17"/>
  <c r="AI171" i="17"/>
  <c r="AI170" i="17"/>
  <c r="AI169" i="17"/>
  <c r="AI168" i="17"/>
  <c r="AI167" i="17"/>
  <c r="AI166" i="17"/>
  <c r="AI165" i="17"/>
  <c r="AI164" i="17"/>
  <c r="AI163" i="17"/>
  <c r="AI162" i="17"/>
  <c r="AI161" i="17"/>
  <c r="AI160" i="17"/>
  <c r="AI159" i="17"/>
  <c r="AI158" i="17"/>
  <c r="AI157" i="17"/>
  <c r="AI156" i="17"/>
  <c r="AI155" i="17"/>
  <c r="AI154" i="17"/>
  <c r="AI153" i="17"/>
  <c r="AI152" i="17"/>
  <c r="AI151" i="17"/>
  <c r="AI150" i="17"/>
  <c r="AI149" i="17"/>
  <c r="AI148" i="17"/>
  <c r="AI147" i="17"/>
  <c r="AI146" i="17"/>
  <c r="AI145" i="17"/>
  <c r="AI144" i="17"/>
  <c r="AI143" i="17"/>
  <c r="AI142" i="17"/>
  <c r="AI141" i="17"/>
  <c r="AI140" i="17"/>
  <c r="AI139" i="17"/>
  <c r="AI138" i="17"/>
  <c r="AI137" i="17"/>
  <c r="AI136" i="17"/>
  <c r="AI135" i="17"/>
  <c r="AI134" i="17"/>
  <c r="AI133" i="17"/>
  <c r="AI132" i="17"/>
  <c r="AI131" i="17"/>
  <c r="AI130" i="17"/>
  <c r="AI129" i="17"/>
  <c r="AI128" i="17"/>
  <c r="AI127" i="17"/>
  <c r="AI126" i="17"/>
  <c r="AI125" i="17"/>
  <c r="AI124" i="17"/>
  <c r="AI123" i="17"/>
  <c r="AI122" i="17"/>
  <c r="AI121" i="17"/>
  <c r="AI120" i="17"/>
  <c r="AI119" i="17"/>
  <c r="AI118" i="17"/>
  <c r="AI117" i="17"/>
  <c r="AI116" i="17"/>
  <c r="AI115" i="17"/>
  <c r="AI114" i="17"/>
  <c r="AI113" i="17"/>
  <c r="AI112" i="17"/>
  <c r="AI111" i="17"/>
  <c r="AI110" i="17"/>
  <c r="AI109" i="17"/>
  <c r="AI108" i="17"/>
  <c r="AI107" i="17"/>
  <c r="AI106" i="17"/>
  <c r="AI105" i="17"/>
  <c r="AI104" i="17"/>
  <c r="AI103" i="17"/>
  <c r="AI102" i="17"/>
  <c r="AI101" i="17"/>
  <c r="AI100" i="17"/>
  <c r="AI99" i="17"/>
  <c r="AI98" i="17"/>
  <c r="AI97" i="17"/>
  <c r="AI96" i="17"/>
  <c r="AI95" i="17"/>
  <c r="AI94" i="17"/>
  <c r="AI93" i="17"/>
  <c r="AI92" i="17"/>
  <c r="AI91" i="17"/>
  <c r="AI90" i="17"/>
  <c r="AI89" i="17"/>
  <c r="AI88" i="17"/>
  <c r="AI87" i="17"/>
  <c r="AI86" i="17"/>
  <c r="AI85" i="17"/>
  <c r="AI84" i="17"/>
  <c r="AI83" i="17"/>
  <c r="AI82" i="17"/>
  <c r="AI81" i="17"/>
  <c r="AI80" i="17"/>
  <c r="AI79" i="17"/>
  <c r="AI78" i="17"/>
  <c r="AI77" i="17"/>
  <c r="AI76" i="17"/>
  <c r="AI75" i="17"/>
  <c r="AI74" i="17"/>
  <c r="AI73" i="17"/>
  <c r="AI72" i="17"/>
  <c r="AI71" i="17"/>
  <c r="AI70" i="17"/>
  <c r="AI69" i="17"/>
  <c r="AI68" i="17"/>
  <c r="AI67" i="17"/>
  <c r="AI66" i="17"/>
  <c r="AI65" i="17"/>
  <c r="AI64" i="17"/>
  <c r="AI63" i="17"/>
  <c r="AI62" i="17"/>
  <c r="AI61" i="17"/>
  <c r="AI60" i="17"/>
  <c r="AI59" i="17"/>
  <c r="AI58" i="17"/>
  <c r="AI57" i="17"/>
  <c r="AI56" i="17"/>
  <c r="AI55" i="17"/>
  <c r="AI54" i="17"/>
  <c r="AI53" i="17"/>
  <c r="AI52" i="17"/>
  <c r="AI51" i="17"/>
  <c r="AI50" i="17"/>
  <c r="AI49" i="17"/>
  <c r="AI48" i="17"/>
  <c r="AI47" i="17"/>
  <c r="AI46" i="17"/>
  <c r="AI45" i="17"/>
  <c r="AI44" i="17"/>
  <c r="AI43" i="17"/>
  <c r="AI42" i="17"/>
  <c r="AI41" i="17"/>
  <c r="AI40" i="17"/>
  <c r="AI39" i="17"/>
  <c r="AI38" i="17"/>
  <c r="AI37" i="17"/>
  <c r="AI36" i="17"/>
  <c r="AI35" i="17"/>
  <c r="AI34" i="17"/>
  <c r="AI33" i="17"/>
  <c r="AI32" i="17"/>
  <c r="AI31" i="17"/>
  <c r="AI30" i="17"/>
  <c r="AI29" i="17"/>
  <c r="AI28" i="17"/>
  <c r="AI27" i="17"/>
  <c r="AI26" i="17"/>
  <c r="AI25" i="17"/>
  <c r="AI24" i="17"/>
  <c r="AI23" i="17"/>
  <c r="AI22" i="17"/>
  <c r="AI21" i="17"/>
  <c r="AI20" i="17"/>
  <c r="AI19" i="17"/>
  <c r="AI18" i="17"/>
  <c r="AI17" i="17"/>
  <c r="AI16" i="17"/>
  <c r="AI15" i="17"/>
  <c r="AI14" i="17"/>
  <c r="AI13" i="17"/>
  <c r="AI12" i="17"/>
  <c r="AI11" i="17"/>
  <c r="AI10" i="17"/>
  <c r="AI9" i="17"/>
  <c r="AI8" i="17"/>
  <c r="AI7" i="17"/>
  <c r="AI6" i="17"/>
  <c r="AI5" i="17"/>
  <c r="BE207" i="14" l="1"/>
  <c r="AI207" i="17"/>
  <c r="K108" i="17"/>
  <c r="K76" i="17"/>
  <c r="K75" i="17"/>
  <c r="K74" i="17"/>
  <c r="K73" i="17"/>
  <c r="K72" i="17"/>
  <c r="K71" i="17"/>
  <c r="K70" i="17"/>
  <c r="K69" i="17"/>
  <c r="K68" i="17"/>
  <c r="K67" i="17"/>
  <c r="K66" i="17"/>
  <c r="K65" i="17"/>
  <c r="K64" i="17"/>
  <c r="K63" i="17"/>
  <c r="K62" i="17"/>
  <c r="K61" i="17"/>
  <c r="K77" i="16"/>
  <c r="K76" i="16"/>
  <c r="K75" i="16"/>
  <c r="K74" i="16"/>
  <c r="K73" i="16"/>
  <c r="K72" i="16"/>
  <c r="K71" i="16"/>
  <c r="K70" i="16"/>
  <c r="K69" i="16"/>
  <c r="K68" i="16"/>
  <c r="K67" i="16"/>
  <c r="K66" i="16"/>
  <c r="K65" i="16"/>
  <c r="K64" i="16"/>
  <c r="K63" i="16"/>
  <c r="K62" i="16"/>
  <c r="K61" i="16"/>
  <c r="AV75" i="14"/>
  <c r="BD75" i="14" s="1"/>
  <c r="BG67" i="14"/>
  <c r="A67" i="14"/>
  <c r="BG61" i="14"/>
  <c r="BF75" i="14" l="1"/>
  <c r="BG75" i="14"/>
  <c r="BF67" i="14"/>
  <c r="BF61" i="14"/>
  <c r="AG207" i="17" l="1"/>
  <c r="A191" i="17"/>
  <c r="M207" i="17"/>
  <c r="N207" i="17"/>
  <c r="O207" i="17"/>
  <c r="P207" i="17"/>
  <c r="Q207" i="17"/>
  <c r="R207" i="17"/>
  <c r="S207" i="17"/>
  <c r="T207" i="17"/>
  <c r="U207" i="17"/>
  <c r="V207" i="17"/>
  <c r="W207" i="17"/>
  <c r="X207" i="17"/>
  <c r="Y207" i="17"/>
  <c r="Z207" i="17"/>
  <c r="AA207" i="17"/>
  <c r="AB207" i="17"/>
  <c r="AC207" i="17"/>
  <c r="AD207" i="17"/>
  <c r="AE207" i="17"/>
  <c r="AF207" i="17"/>
  <c r="K199" i="16"/>
  <c r="K198" i="16"/>
  <c r="K197" i="16"/>
  <c r="K196" i="16"/>
  <c r="K195" i="16"/>
  <c r="K194" i="16"/>
  <c r="K193" i="16"/>
  <c r="K192" i="16"/>
  <c r="K191" i="16"/>
  <c r="AF207" i="16"/>
  <c r="M207" i="16"/>
  <c r="N207" i="16"/>
  <c r="O207" i="16"/>
  <c r="P207" i="16"/>
  <c r="Q207" i="16"/>
  <c r="R207" i="16"/>
  <c r="S207" i="16"/>
  <c r="T207" i="16"/>
  <c r="U207" i="16"/>
  <c r="V207" i="16"/>
  <c r="W207" i="16"/>
  <c r="X207" i="16"/>
  <c r="Y207" i="16"/>
  <c r="Z207" i="16"/>
  <c r="AA207" i="16"/>
  <c r="AB207" i="16"/>
  <c r="AD207" i="16"/>
  <c r="AE207" i="16"/>
  <c r="AG207" i="16"/>
  <c r="BA207" i="14" l="1"/>
  <c r="BG199" i="14"/>
  <c r="BG198" i="14"/>
  <c r="A198" i="14"/>
  <c r="BG197" i="14"/>
  <c r="A197" i="14"/>
  <c r="BG196" i="14"/>
  <c r="A196" i="14"/>
  <c r="BG195" i="14"/>
  <c r="A195" i="14"/>
  <c r="A194" i="14"/>
  <c r="BG193" i="14"/>
  <c r="A193" i="14"/>
  <c r="BG192" i="14"/>
  <c r="A192" i="14"/>
  <c r="BF196" i="14" l="1"/>
  <c r="BF194" i="14"/>
  <c r="BF197" i="14"/>
  <c r="BG194" i="14"/>
  <c r="BF193" i="14"/>
  <c r="BF199" i="14"/>
  <c r="BF195" i="14"/>
  <c r="BF198" i="14"/>
  <c r="BF192" i="14"/>
  <c r="H20" i="23"/>
  <c r="AZ207" i="14" l="1"/>
  <c r="A190" i="17"/>
  <c r="A189" i="17"/>
  <c r="A188" i="17"/>
  <c r="A187" i="17"/>
  <c r="A186" i="17"/>
  <c r="A185" i="17"/>
  <c r="A184" i="17"/>
  <c r="A183" i="17"/>
  <c r="A182" i="17"/>
  <c r="A181" i="17"/>
  <c r="A180" i="17"/>
  <c r="A179" i="17"/>
  <c r="A178" i="17"/>
  <c r="A177" i="17"/>
  <c r="A176" i="17"/>
  <c r="A175" i="17"/>
  <c r="A174" i="17"/>
  <c r="A173" i="17"/>
  <c r="A172" i="17"/>
  <c r="A171" i="17"/>
  <c r="A170" i="17"/>
  <c r="A169" i="17"/>
  <c r="A168" i="17"/>
  <c r="A167" i="17"/>
  <c r="A166" i="17"/>
  <c r="A165" i="17"/>
  <c r="A164" i="17"/>
  <c r="A163" i="17"/>
  <c r="A162" i="17"/>
  <c r="A161" i="17"/>
  <c r="A160" i="17"/>
  <c r="A159" i="17"/>
  <c r="A158" i="17"/>
  <c r="A157" i="17"/>
  <c r="A156" i="17"/>
  <c r="A155" i="17"/>
  <c r="A154" i="17"/>
  <c r="A153" i="17"/>
  <c r="A152" i="17"/>
  <c r="A151" i="17"/>
  <c r="A150" i="17"/>
  <c r="A149" i="17"/>
  <c r="A148" i="17"/>
  <c r="A147" i="17"/>
  <c r="A146" i="17"/>
  <c r="A145" i="17"/>
  <c r="A144" i="17"/>
  <c r="A143" i="17"/>
  <c r="A142" i="17"/>
  <c r="A141" i="17"/>
  <c r="A140" i="17"/>
  <c r="A139" i="17"/>
  <c r="A138" i="17"/>
  <c r="A137" i="17"/>
  <c r="A136" i="17"/>
  <c r="A135" i="17"/>
  <c r="A134" i="17"/>
  <c r="A133" i="17"/>
  <c r="A132" i="17"/>
  <c r="A131" i="17"/>
  <c r="A130" i="17"/>
  <c r="A129" i="17"/>
  <c r="A128" i="17"/>
  <c r="A127" i="17"/>
  <c r="A126" i="17"/>
  <c r="A125" i="17"/>
  <c r="A124" i="17"/>
  <c r="A123" i="17"/>
  <c r="A122" i="17"/>
  <c r="A121" i="17"/>
  <c r="A120" i="17"/>
  <c r="A119" i="17"/>
  <c r="A118" i="17"/>
  <c r="A117" i="17"/>
  <c r="A116" i="17"/>
  <c r="A115" i="17"/>
  <c r="A114" i="17"/>
  <c r="A113" i="17"/>
  <c r="A112" i="17"/>
  <c r="A111" i="17"/>
  <c r="A110" i="17"/>
  <c r="A109" i="17"/>
  <c r="A108" i="17"/>
  <c r="A107" i="17"/>
  <c r="A106" i="17"/>
  <c r="A105" i="17"/>
  <c r="A104" i="17"/>
  <c r="A103" i="17"/>
  <c r="A102" i="17"/>
  <c r="A101" i="17"/>
  <c r="A100" i="17"/>
  <c r="A99" i="17"/>
  <c r="A98" i="17"/>
  <c r="A97" i="17"/>
  <c r="A96" i="17"/>
  <c r="A95" i="17"/>
  <c r="A94" i="17"/>
  <c r="A93" i="17"/>
  <c r="A92" i="17"/>
  <c r="A91" i="17"/>
  <c r="A90" i="17"/>
  <c r="A89" i="17"/>
  <c r="A88" i="17"/>
  <c r="A87" i="17"/>
  <c r="A86" i="17"/>
  <c r="A85" i="17"/>
  <c r="A84" i="17"/>
  <c r="A83" i="17"/>
  <c r="A82" i="17"/>
  <c r="A81" i="17"/>
  <c r="A80" i="17"/>
  <c r="A79" i="17"/>
  <c r="A78" i="17"/>
  <c r="A77" i="17"/>
  <c r="A60" i="17"/>
  <c r="A59" i="17"/>
  <c r="A58" i="17"/>
  <c r="A57" i="17"/>
  <c r="A56" i="17"/>
  <c r="A55" i="17"/>
  <c r="A54" i="17"/>
  <c r="A53" i="17"/>
  <c r="A52" i="17"/>
  <c r="A51" i="17"/>
  <c r="A50" i="17"/>
  <c r="A49" i="17"/>
  <c r="A48" i="17"/>
  <c r="A47" i="17"/>
  <c r="A46" i="17"/>
  <c r="A45" i="17"/>
  <c r="A44" i="17"/>
  <c r="A43" i="17"/>
  <c r="A42" i="17"/>
  <c r="A41" i="17"/>
  <c r="A40" i="17"/>
  <c r="A39" i="17"/>
  <c r="A38" i="17"/>
  <c r="A37" i="17"/>
  <c r="A36" i="17"/>
  <c r="A35" i="17"/>
  <c r="A34" i="17"/>
  <c r="A33" i="17"/>
  <c r="A32" i="17"/>
  <c r="A31" i="17"/>
  <c r="A30" i="17"/>
  <c r="A29" i="17"/>
  <c r="A28" i="17"/>
  <c r="A27" i="17"/>
  <c r="A26" i="17"/>
  <c r="A25" i="17"/>
  <c r="A24" i="17"/>
  <c r="A23" i="17"/>
  <c r="A22" i="17"/>
  <c r="A21" i="17"/>
  <c r="A20" i="17"/>
  <c r="A19" i="17"/>
  <c r="A18" i="17"/>
  <c r="A17" i="17"/>
  <c r="A16" i="17"/>
  <c r="A15" i="17"/>
  <c r="A14" i="17"/>
  <c r="A13" i="17"/>
  <c r="A12" i="17"/>
  <c r="A11" i="17"/>
  <c r="A10" i="17"/>
  <c r="A9" i="17"/>
  <c r="A8" i="17"/>
  <c r="A7" i="17"/>
  <c r="A6" i="17"/>
  <c r="A5" i="17"/>
  <c r="A190" i="16"/>
  <c r="A189" i="16"/>
  <c r="A188" i="16"/>
  <c r="A187" i="16"/>
  <c r="A186" i="16"/>
  <c r="A185" i="16"/>
  <c r="A184" i="16"/>
  <c r="A183" i="16"/>
  <c r="A182" i="16"/>
  <c r="A181" i="16"/>
  <c r="A180" i="16"/>
  <c r="A179" i="16"/>
  <c r="A178" i="16"/>
  <c r="A177" i="16"/>
  <c r="A176" i="16"/>
  <c r="A175" i="16"/>
  <c r="A174" i="16"/>
  <c r="A173" i="16"/>
  <c r="A172" i="16"/>
  <c r="A171" i="16"/>
  <c r="A170" i="16"/>
  <c r="A169" i="16"/>
  <c r="A168" i="16"/>
  <c r="A167" i="16"/>
  <c r="A166" i="16"/>
  <c r="A165" i="16"/>
  <c r="A164" i="16"/>
  <c r="A163" i="16"/>
  <c r="A162" i="16"/>
  <c r="A161" i="16"/>
  <c r="A160" i="16"/>
  <c r="A159" i="16"/>
  <c r="A158" i="16"/>
  <c r="A157" i="16"/>
  <c r="A156" i="16"/>
  <c r="A155" i="16"/>
  <c r="A154" i="16"/>
  <c r="A153" i="16"/>
  <c r="A152" i="16"/>
  <c r="A151" i="16"/>
  <c r="A150" i="16"/>
  <c r="A149" i="16"/>
  <c r="A148" i="16"/>
  <c r="A147" i="16"/>
  <c r="A146" i="16"/>
  <c r="A145" i="16"/>
  <c r="A144" i="16"/>
  <c r="A143" i="16"/>
  <c r="A142" i="16"/>
  <c r="A141" i="16"/>
  <c r="A140" i="16"/>
  <c r="A139" i="16"/>
  <c r="A138" i="16"/>
  <c r="A137" i="16"/>
  <c r="A136" i="16"/>
  <c r="A135" i="16"/>
  <c r="A134" i="16"/>
  <c r="A133" i="16"/>
  <c r="A132" i="16"/>
  <c r="A131" i="16"/>
  <c r="A130" i="16"/>
  <c r="A129" i="16"/>
  <c r="A128" i="16"/>
  <c r="A127" i="16"/>
  <c r="A126" i="16"/>
  <c r="A125" i="16"/>
  <c r="A124" i="16"/>
  <c r="A123" i="16"/>
  <c r="A122" i="16"/>
  <c r="A121" i="16"/>
  <c r="A120" i="16"/>
  <c r="A119" i="16"/>
  <c r="A118" i="16"/>
  <c r="A117" i="16"/>
  <c r="A116" i="16"/>
  <c r="A115" i="16"/>
  <c r="A114" i="16"/>
  <c r="A113" i="16"/>
  <c r="A112" i="16"/>
  <c r="A111" i="16"/>
  <c r="A110" i="16"/>
  <c r="A109" i="16"/>
  <c r="A108" i="16"/>
  <c r="A107" i="16"/>
  <c r="A106" i="16"/>
  <c r="A105" i="16"/>
  <c r="A104" i="16"/>
  <c r="A103" i="16"/>
  <c r="A102" i="16"/>
  <c r="A101" i="16"/>
  <c r="A100" i="16"/>
  <c r="A99" i="16"/>
  <c r="A98" i="16"/>
  <c r="A97" i="16"/>
  <c r="A96" i="16"/>
  <c r="A95" i="16"/>
  <c r="A94" i="16"/>
  <c r="A93" i="16"/>
  <c r="A92" i="16"/>
  <c r="A91" i="16"/>
  <c r="A90" i="16"/>
  <c r="A89" i="16"/>
  <c r="A88" i="16"/>
  <c r="A87" i="16"/>
  <c r="A86" i="16"/>
  <c r="A85" i="16"/>
  <c r="A84" i="16"/>
  <c r="A83" i="16"/>
  <c r="A82" i="16"/>
  <c r="A81" i="16"/>
  <c r="A80" i="16"/>
  <c r="A79" i="16"/>
  <c r="A78" i="16"/>
  <c r="A60" i="16"/>
  <c r="A59" i="16"/>
  <c r="A58" i="16"/>
  <c r="A57" i="16"/>
  <c r="A56" i="16"/>
  <c r="A55" i="16"/>
  <c r="A54" i="16"/>
  <c r="A53" i="16"/>
  <c r="A52" i="16"/>
  <c r="A51" i="16"/>
  <c r="A50" i="16"/>
  <c r="A49" i="16"/>
  <c r="A48" i="16"/>
  <c r="A47" i="16"/>
  <c r="A46" i="16"/>
  <c r="A45" i="16"/>
  <c r="A44" i="16"/>
  <c r="A43" i="16"/>
  <c r="A42" i="16"/>
  <c r="A41" i="16"/>
  <c r="A40" i="16"/>
  <c r="A39" i="16"/>
  <c r="A38" i="16"/>
  <c r="A37" i="16"/>
  <c r="A36" i="16"/>
  <c r="A35" i="16"/>
  <c r="A34" i="16"/>
  <c r="A33" i="16"/>
  <c r="A32" i="16"/>
  <c r="A31" i="16"/>
  <c r="A30" i="16"/>
  <c r="A29" i="16"/>
  <c r="A28" i="16"/>
  <c r="A27" i="16"/>
  <c r="A26" i="16"/>
  <c r="A25" i="16"/>
  <c r="A24" i="16"/>
  <c r="A23" i="16"/>
  <c r="A22" i="16"/>
  <c r="A21" i="16"/>
  <c r="A20" i="16"/>
  <c r="A19" i="16"/>
  <c r="A18" i="16"/>
  <c r="A17" i="16"/>
  <c r="A16" i="16"/>
  <c r="A15" i="16"/>
  <c r="A14" i="16"/>
  <c r="A13" i="16"/>
  <c r="A12" i="16"/>
  <c r="A11" i="16"/>
  <c r="A10" i="16"/>
  <c r="A9" i="16"/>
  <c r="A8" i="16"/>
  <c r="A7" i="16"/>
  <c r="A6" i="16"/>
  <c r="A5" i="16"/>
  <c r="A191" i="14"/>
  <c r="A190" i="14"/>
  <c r="A189" i="14"/>
  <c r="A188" i="14"/>
  <c r="A187" i="14"/>
  <c r="A186" i="14"/>
  <c r="A185" i="14"/>
  <c r="A184" i="14"/>
  <c r="A183" i="14"/>
  <c r="A182" i="14"/>
  <c r="A181" i="14"/>
  <c r="A180" i="14"/>
  <c r="A179" i="14"/>
  <c r="A178" i="14"/>
  <c r="A177" i="14"/>
  <c r="A176" i="14"/>
  <c r="A175" i="14"/>
  <c r="A174" i="14"/>
  <c r="A173" i="14"/>
  <c r="A172" i="14"/>
  <c r="A171" i="14"/>
  <c r="A170" i="14"/>
  <c r="A169" i="14"/>
  <c r="A168" i="14"/>
  <c r="A167" i="14"/>
  <c r="A166" i="14"/>
  <c r="A165" i="14"/>
  <c r="A164" i="14"/>
  <c r="A163" i="14"/>
  <c r="A162" i="14"/>
  <c r="A161" i="14"/>
  <c r="A160" i="14"/>
  <c r="A159" i="14"/>
  <c r="A158" i="14"/>
  <c r="A157" i="14"/>
  <c r="A156" i="14"/>
  <c r="A155" i="14"/>
  <c r="A154" i="14"/>
  <c r="A153" i="14"/>
  <c r="A152" i="14"/>
  <c r="A151" i="14"/>
  <c r="A150" i="14"/>
  <c r="A149" i="14"/>
  <c r="A148" i="14"/>
  <c r="A147" i="14"/>
  <c r="A146" i="14"/>
  <c r="A145" i="14"/>
  <c r="A144" i="14"/>
  <c r="A143" i="14"/>
  <c r="A142" i="14"/>
  <c r="A141" i="14"/>
  <c r="A140" i="14"/>
  <c r="A139" i="14"/>
  <c r="A138" i="14"/>
  <c r="A137" i="14"/>
  <c r="A136" i="14"/>
  <c r="A135" i="14"/>
  <c r="A134" i="14"/>
  <c r="A133" i="14"/>
  <c r="A132" i="14"/>
  <c r="A131" i="14"/>
  <c r="A130" i="14"/>
  <c r="A129" i="14"/>
  <c r="A128" i="14"/>
  <c r="A127" i="14"/>
  <c r="A126" i="14"/>
  <c r="A125" i="14"/>
  <c r="A124" i="14"/>
  <c r="A123" i="14"/>
  <c r="A122" i="14"/>
  <c r="A121" i="14"/>
  <c r="A120" i="14"/>
  <c r="A119" i="14"/>
  <c r="A118" i="14"/>
  <c r="A117" i="14"/>
  <c r="A116" i="14"/>
  <c r="A115" i="14"/>
  <c r="A114" i="14"/>
  <c r="A113" i="14"/>
  <c r="A112" i="14"/>
  <c r="A111" i="14"/>
  <c r="A110" i="14"/>
  <c r="A109" i="14"/>
  <c r="A108" i="14"/>
  <c r="A107" i="14"/>
  <c r="A106" i="14"/>
  <c r="A105" i="14"/>
  <c r="A104" i="14"/>
  <c r="A103" i="14"/>
  <c r="A102" i="14"/>
  <c r="A101" i="14"/>
  <c r="A100" i="14"/>
  <c r="A99" i="14"/>
  <c r="A98" i="14"/>
  <c r="A97" i="14"/>
  <c r="A96" i="14"/>
  <c r="A95" i="14"/>
  <c r="A94" i="14"/>
  <c r="A93" i="14"/>
  <c r="A92" i="14"/>
  <c r="A91" i="14"/>
  <c r="A90" i="14"/>
  <c r="A89" i="14"/>
  <c r="A88" i="14"/>
  <c r="A87" i="14"/>
  <c r="A86" i="14"/>
  <c r="A85" i="14"/>
  <c r="A84" i="14"/>
  <c r="A83" i="14"/>
  <c r="A82" i="14"/>
  <c r="A81" i="14"/>
  <c r="A80" i="14"/>
  <c r="A79" i="14"/>
  <c r="A78" i="14"/>
  <c r="A77" i="14"/>
  <c r="A76" i="14"/>
  <c r="A74" i="14"/>
  <c r="A73" i="14"/>
  <c r="A72" i="14"/>
  <c r="A71" i="14"/>
  <c r="A70" i="14"/>
  <c r="A69" i="14"/>
  <c r="A68" i="14"/>
  <c r="A66" i="14"/>
  <c r="A65" i="14"/>
  <c r="A64" i="14"/>
  <c r="A63" i="14"/>
  <c r="A62" i="14"/>
  <c r="A60" i="14"/>
  <c r="A59" i="14"/>
  <c r="A58" i="14"/>
  <c r="A57" i="14"/>
  <c r="A56" i="14"/>
  <c r="A55" i="14"/>
  <c r="A54" i="14"/>
  <c r="A53" i="14"/>
  <c r="A52" i="14"/>
  <c r="A51" i="14"/>
  <c r="A50" i="14"/>
  <c r="A49" i="14"/>
  <c r="A48" i="14"/>
  <c r="A47" i="14"/>
  <c r="A46" i="14"/>
  <c r="A45" i="14"/>
  <c r="A44" i="14"/>
  <c r="A43" i="14"/>
  <c r="A42" i="14"/>
  <c r="A41" i="14"/>
  <c r="A40" i="14"/>
  <c r="A39" i="14"/>
  <c r="A38" i="14"/>
  <c r="A37" i="14"/>
  <c r="A36" i="14"/>
  <c r="A35" i="14"/>
  <c r="A34" i="14"/>
  <c r="A33" i="14"/>
  <c r="A32" i="14"/>
  <c r="A31" i="14"/>
  <c r="A30" i="14"/>
  <c r="A29" i="14"/>
  <c r="A28" i="14"/>
  <c r="A27" i="14"/>
  <c r="A26" i="14"/>
  <c r="A25" i="14"/>
  <c r="A24" i="14"/>
  <c r="A23" i="14"/>
  <c r="A22" i="14"/>
  <c r="A21" i="14"/>
  <c r="A20" i="14"/>
  <c r="A19" i="14"/>
  <c r="A18" i="14"/>
  <c r="A17" i="14"/>
  <c r="A16" i="14"/>
  <c r="A15" i="14"/>
  <c r="A14" i="14"/>
  <c r="A13" i="14"/>
  <c r="A12" i="14"/>
  <c r="A11" i="14"/>
  <c r="A10" i="14"/>
  <c r="A9" i="14"/>
  <c r="A8" i="14"/>
  <c r="A7" i="14"/>
  <c r="A6" i="14"/>
  <c r="A5" i="14"/>
  <c r="K167" i="16" l="1"/>
  <c r="K168" i="16"/>
  <c r="K169" i="16"/>
  <c r="K170" i="16"/>
  <c r="K171" i="16"/>
  <c r="K172" i="16"/>
  <c r="K173" i="16"/>
  <c r="K174" i="16"/>
  <c r="K175" i="16"/>
  <c r="K176" i="16"/>
  <c r="K177" i="16"/>
  <c r="K178" i="16"/>
  <c r="K179" i="16"/>
  <c r="K180" i="16"/>
  <c r="K181" i="16"/>
  <c r="K182" i="16"/>
  <c r="K183" i="16"/>
  <c r="K184" i="16"/>
  <c r="K185" i="16"/>
  <c r="K186" i="16"/>
  <c r="K187" i="16"/>
  <c r="K188" i="16"/>
  <c r="K189" i="16"/>
  <c r="K190" i="16"/>
  <c r="AY207" i="14" l="1"/>
  <c r="BG190" i="14"/>
  <c r="BG188" i="14"/>
  <c r="BG187" i="14"/>
  <c r="BG186" i="14"/>
  <c r="BG185" i="14"/>
  <c r="BG184" i="14"/>
  <c r="BG182" i="14"/>
  <c r="AX191" i="14"/>
  <c r="BD191" i="14" s="1"/>
  <c r="AX190" i="14"/>
  <c r="BD190" i="14" s="1"/>
  <c r="AX189" i="14"/>
  <c r="BD189" i="14" s="1"/>
  <c r="AX188" i="14"/>
  <c r="BD188" i="14" s="1"/>
  <c r="AX187" i="14"/>
  <c r="BD187" i="14" s="1"/>
  <c r="AX186" i="14"/>
  <c r="BD186" i="14" s="1"/>
  <c r="AX185" i="14"/>
  <c r="BD185" i="14" s="1"/>
  <c r="AX184" i="14"/>
  <c r="BD184" i="14" s="1"/>
  <c r="AX183" i="14"/>
  <c r="BD183" i="14" s="1"/>
  <c r="AX182" i="14"/>
  <c r="BD182" i="14" s="1"/>
  <c r="BG189" i="14"/>
  <c r="AX207" i="14" l="1"/>
  <c r="BF184" i="14"/>
  <c r="BF183" i="14"/>
  <c r="BF188" i="14"/>
  <c r="BF191" i="14"/>
  <c r="BG191" i="14"/>
  <c r="BF187" i="14"/>
  <c r="BG183" i="14"/>
  <c r="BF185" i="14"/>
  <c r="BF189" i="14"/>
  <c r="BF182" i="14"/>
  <c r="BF186" i="14"/>
  <c r="BF190" i="14"/>
  <c r="J209" i="14"/>
  <c r="AC181" i="16" l="1"/>
  <c r="AI181" i="16" s="1"/>
  <c r="AC180" i="16"/>
  <c r="AI180" i="16" s="1"/>
  <c r="AC179" i="16"/>
  <c r="AI179" i="16" s="1"/>
  <c r="AC178" i="16"/>
  <c r="AI178" i="16" s="1"/>
  <c r="AC177" i="16"/>
  <c r="AI177" i="16" s="1"/>
  <c r="AC176" i="16"/>
  <c r="AI176" i="16" s="1"/>
  <c r="AC175" i="16"/>
  <c r="AI175" i="16" s="1"/>
  <c r="AC174" i="16"/>
  <c r="AI174" i="16" s="1"/>
  <c r="AC173" i="16"/>
  <c r="AI173" i="16" s="1"/>
  <c r="AC172" i="16"/>
  <c r="AI172" i="16" s="1"/>
  <c r="AC171" i="16"/>
  <c r="AI171" i="16" s="1"/>
  <c r="AC170" i="16"/>
  <c r="AI170" i="16" s="1"/>
  <c r="AC169" i="16"/>
  <c r="AI169" i="16" s="1"/>
  <c r="AC168" i="16"/>
  <c r="AI168" i="16" s="1"/>
  <c r="AC167" i="16"/>
  <c r="AI167" i="16" s="1"/>
  <c r="BG181" i="14"/>
  <c r="BG180" i="14"/>
  <c r="BG179" i="14"/>
  <c r="BG177" i="14"/>
  <c r="BG176" i="14"/>
  <c r="BG175" i="14"/>
  <c r="BG174" i="14"/>
  <c r="BG173" i="14"/>
  <c r="BG172" i="14"/>
  <c r="BG170" i="14"/>
  <c r="BG169" i="14"/>
  <c r="AW207" i="14"/>
  <c r="AV166" i="14"/>
  <c r="AV165" i="14"/>
  <c r="AV164" i="14"/>
  <c r="AV163" i="14"/>
  <c r="AV162" i="14"/>
  <c r="AV161" i="14"/>
  <c r="AV160" i="14"/>
  <c r="AV159" i="14"/>
  <c r="AV158" i="14"/>
  <c r="AV157" i="14"/>
  <c r="AV156" i="14"/>
  <c r="AV155" i="14"/>
  <c r="AV154" i="14"/>
  <c r="AV153" i="14"/>
  <c r="AV152" i="14"/>
  <c r="AV151" i="14"/>
  <c r="AV150" i="14"/>
  <c r="AV149" i="14"/>
  <c r="AV148" i="14"/>
  <c r="BD148" i="14" s="1"/>
  <c r="AV147" i="14"/>
  <c r="BD147" i="14" s="1"/>
  <c r="AV146" i="14"/>
  <c r="BD146" i="14" s="1"/>
  <c r="AV145" i="14"/>
  <c r="BD145" i="14" s="1"/>
  <c r="AV144" i="14"/>
  <c r="BD144" i="14" s="1"/>
  <c r="AV143" i="14"/>
  <c r="BD143" i="14" s="1"/>
  <c r="AV142" i="14"/>
  <c r="BD142" i="14" s="1"/>
  <c r="AV141" i="14"/>
  <c r="BD141" i="14" s="1"/>
  <c r="AV140" i="14"/>
  <c r="BD140" i="14" s="1"/>
  <c r="AV139" i="14"/>
  <c r="BD139" i="14" s="1"/>
  <c r="AV138" i="14"/>
  <c r="BD138" i="14" s="1"/>
  <c r="AV137" i="14"/>
  <c r="BD137" i="14" s="1"/>
  <c r="AV136" i="14"/>
  <c r="BD136" i="14" s="1"/>
  <c r="AV135" i="14"/>
  <c r="BD135" i="14" s="1"/>
  <c r="AV134" i="14"/>
  <c r="BD134" i="14" s="1"/>
  <c r="AV133" i="14"/>
  <c r="BD133" i="14" s="1"/>
  <c r="AV132" i="14"/>
  <c r="BD132" i="14" s="1"/>
  <c r="AV131" i="14"/>
  <c r="BD131" i="14" s="1"/>
  <c r="AV130" i="14"/>
  <c r="BD130" i="14" s="1"/>
  <c r="AV129" i="14"/>
  <c r="BD129" i="14" s="1"/>
  <c r="AV128" i="14"/>
  <c r="BD128" i="14" s="1"/>
  <c r="AV127" i="14"/>
  <c r="BD127" i="14" s="1"/>
  <c r="AV126" i="14"/>
  <c r="BD126" i="14" s="1"/>
  <c r="AV125" i="14"/>
  <c r="BD125" i="14" s="1"/>
  <c r="AV124" i="14"/>
  <c r="BD124" i="14" s="1"/>
  <c r="AV123" i="14"/>
  <c r="BD123" i="14" s="1"/>
  <c r="AV122" i="14"/>
  <c r="BD122" i="14" s="1"/>
  <c r="AV121" i="14"/>
  <c r="BD121" i="14" s="1"/>
  <c r="AV120" i="14"/>
  <c r="BD120" i="14" s="1"/>
  <c r="AV119" i="14"/>
  <c r="BD119" i="14" s="1"/>
  <c r="AV118" i="14"/>
  <c r="BD118" i="14" s="1"/>
  <c r="AV117" i="14"/>
  <c r="BD117" i="14" s="1"/>
  <c r="AV116" i="14"/>
  <c r="BD116" i="14" s="1"/>
  <c r="AV115" i="14"/>
  <c r="BD115" i="14" s="1"/>
  <c r="AV114" i="14"/>
  <c r="BD114" i="14" s="1"/>
  <c r="AV113" i="14"/>
  <c r="BD113" i="14" s="1"/>
  <c r="AV112" i="14"/>
  <c r="BD112" i="14" s="1"/>
  <c r="AV111" i="14"/>
  <c r="BD111" i="14" s="1"/>
  <c r="AV110" i="14"/>
  <c r="BD110" i="14" s="1"/>
  <c r="AV109" i="14"/>
  <c r="BD109" i="14" s="1"/>
  <c r="AV108" i="14"/>
  <c r="BD108" i="14" s="1"/>
  <c r="AV107" i="14"/>
  <c r="BD107" i="14" s="1"/>
  <c r="AV106" i="14"/>
  <c r="BD106" i="14" s="1"/>
  <c r="AV105" i="14"/>
  <c r="BD105" i="14" s="1"/>
  <c r="AV104" i="14"/>
  <c r="BD104" i="14" s="1"/>
  <c r="AV103" i="14"/>
  <c r="BD103" i="14" s="1"/>
  <c r="AV102" i="14"/>
  <c r="BD102" i="14" s="1"/>
  <c r="AV101" i="14"/>
  <c r="BD101" i="14" s="1"/>
  <c r="AV100" i="14"/>
  <c r="BD100" i="14" s="1"/>
  <c r="AV99" i="14"/>
  <c r="BD99" i="14" s="1"/>
  <c r="AV98" i="14"/>
  <c r="BD98" i="14" s="1"/>
  <c r="AV97" i="14"/>
  <c r="BD97" i="14" s="1"/>
  <c r="AV96" i="14"/>
  <c r="BD96" i="14" s="1"/>
  <c r="AV95" i="14"/>
  <c r="BD95" i="14" s="1"/>
  <c r="AV94" i="14"/>
  <c r="BD94" i="14" s="1"/>
  <c r="AV93" i="14"/>
  <c r="BD93" i="14" s="1"/>
  <c r="AV92" i="14"/>
  <c r="BD92" i="14" s="1"/>
  <c r="AV91" i="14"/>
  <c r="BD91" i="14" s="1"/>
  <c r="AV90" i="14"/>
  <c r="BD90" i="14" s="1"/>
  <c r="AV89" i="14"/>
  <c r="BD89" i="14" s="1"/>
  <c r="AV88" i="14"/>
  <c r="BD88" i="14" s="1"/>
  <c r="AV87" i="14"/>
  <c r="BD87" i="14" s="1"/>
  <c r="AV86" i="14"/>
  <c r="BD86" i="14" s="1"/>
  <c r="AV85" i="14"/>
  <c r="BD85" i="14" s="1"/>
  <c r="AV84" i="14"/>
  <c r="BD84" i="14" s="1"/>
  <c r="AV83" i="14"/>
  <c r="BD83" i="14" s="1"/>
  <c r="AV82" i="14"/>
  <c r="BD82" i="14" s="1"/>
  <c r="AV81" i="14"/>
  <c r="BD81" i="14" s="1"/>
  <c r="AV80" i="14"/>
  <c r="BD80" i="14" s="1"/>
  <c r="AV79" i="14"/>
  <c r="BD79" i="14" s="1"/>
  <c r="AV78" i="14"/>
  <c r="BD78" i="14" s="1"/>
  <c r="AV77" i="14"/>
  <c r="BD77" i="14" s="1"/>
  <c r="AV74" i="14"/>
  <c r="BD74" i="14" s="1"/>
  <c r="AV73" i="14"/>
  <c r="BD73" i="14" s="1"/>
  <c r="AV72" i="14"/>
  <c r="BD72" i="14" s="1"/>
  <c r="AV71" i="14"/>
  <c r="BD71" i="14" s="1"/>
  <c r="AV70" i="14"/>
  <c r="BD70" i="14" s="1"/>
  <c r="AV69" i="14"/>
  <c r="BD69" i="14" s="1"/>
  <c r="AV66" i="14"/>
  <c r="BD66" i="14" s="1"/>
  <c r="AV65" i="14"/>
  <c r="BD65" i="14" s="1"/>
  <c r="AV64" i="14"/>
  <c r="BD64" i="14" s="1"/>
  <c r="AV63" i="14"/>
  <c r="BD63" i="14" s="1"/>
  <c r="AV62" i="14"/>
  <c r="BD62" i="14" s="1"/>
  <c r="AV60" i="14"/>
  <c r="BD60" i="14" s="1"/>
  <c r="AV59" i="14"/>
  <c r="BD59" i="14" s="1"/>
  <c r="AV58" i="14"/>
  <c r="BD58" i="14" s="1"/>
  <c r="AV57" i="14"/>
  <c r="BD57" i="14" s="1"/>
  <c r="AV56" i="14"/>
  <c r="BD56" i="14" s="1"/>
  <c r="AV55" i="14"/>
  <c r="BD55" i="14" s="1"/>
  <c r="AV54" i="14"/>
  <c r="BD54" i="14" s="1"/>
  <c r="AV52" i="14"/>
  <c r="BD52" i="14" s="1"/>
  <c r="AV51" i="14"/>
  <c r="BD51" i="14" s="1"/>
  <c r="AV50" i="14"/>
  <c r="BD50" i="14" s="1"/>
  <c r="AV49" i="14"/>
  <c r="BD49" i="14" s="1"/>
  <c r="AV48" i="14"/>
  <c r="BD48" i="14" s="1"/>
  <c r="AV47" i="14"/>
  <c r="BD47" i="14" s="1"/>
  <c r="AV46" i="14"/>
  <c r="BD46" i="14" s="1"/>
  <c r="AV45" i="14"/>
  <c r="BD45" i="14" s="1"/>
  <c r="AV44" i="14"/>
  <c r="BD44" i="14" s="1"/>
  <c r="AV43" i="14"/>
  <c r="BD43" i="14" s="1"/>
  <c r="AV42" i="14"/>
  <c r="BD42" i="14" s="1"/>
  <c r="AV41" i="14"/>
  <c r="BD41" i="14" s="1"/>
  <c r="AV40" i="14"/>
  <c r="BD40" i="14" s="1"/>
  <c r="AV39" i="14"/>
  <c r="BD39" i="14" s="1"/>
  <c r="AV38" i="14"/>
  <c r="BD38" i="14" s="1"/>
  <c r="AV37" i="14"/>
  <c r="BD37" i="14" s="1"/>
  <c r="AV36" i="14"/>
  <c r="BD36" i="14" s="1"/>
  <c r="AV35" i="14"/>
  <c r="BD35" i="14" s="1"/>
  <c r="AV34" i="14"/>
  <c r="BD34" i="14" s="1"/>
  <c r="AV33" i="14"/>
  <c r="BD33" i="14" s="1"/>
  <c r="AV32" i="14"/>
  <c r="BD32" i="14" s="1"/>
  <c r="AV31" i="14"/>
  <c r="BD31" i="14" s="1"/>
  <c r="AV30" i="14"/>
  <c r="BD30" i="14" s="1"/>
  <c r="AV29" i="14"/>
  <c r="BD29" i="14" s="1"/>
  <c r="AV28" i="14"/>
  <c r="BD28" i="14" s="1"/>
  <c r="AV27" i="14"/>
  <c r="BD27" i="14" s="1"/>
  <c r="AV26" i="14"/>
  <c r="BD26" i="14" s="1"/>
  <c r="AV25" i="14"/>
  <c r="BD25" i="14" s="1"/>
  <c r="AV24" i="14"/>
  <c r="BD24" i="14" s="1"/>
  <c r="AV23" i="14"/>
  <c r="BD23" i="14" s="1"/>
  <c r="AV22" i="14"/>
  <c r="BD22" i="14" s="1"/>
  <c r="AV21" i="14"/>
  <c r="BD21" i="14" s="1"/>
  <c r="AV20" i="14"/>
  <c r="BD20" i="14" s="1"/>
  <c r="AV19" i="14"/>
  <c r="BD19" i="14" s="1"/>
  <c r="AV18" i="14"/>
  <c r="BD18" i="14" s="1"/>
  <c r="AV17" i="14"/>
  <c r="BD17" i="14" s="1"/>
  <c r="AV16" i="14"/>
  <c r="BD16" i="14" s="1"/>
  <c r="AV15" i="14"/>
  <c r="BD15" i="14" s="1"/>
  <c r="AV14" i="14"/>
  <c r="BD14" i="14" s="1"/>
  <c r="AV13" i="14"/>
  <c r="BD13" i="14" s="1"/>
  <c r="AV12" i="14"/>
  <c r="BD12" i="14" s="1"/>
  <c r="AV11" i="14"/>
  <c r="BD11" i="14" s="1"/>
  <c r="AV10" i="14"/>
  <c r="BD10" i="14" s="1"/>
  <c r="AV9" i="14"/>
  <c r="BD9" i="14" s="1"/>
  <c r="AV8" i="14"/>
  <c r="BD8" i="14" s="1"/>
  <c r="AV7" i="14"/>
  <c r="BD7" i="14" s="1"/>
  <c r="AV6" i="14"/>
  <c r="BD6" i="14" s="1"/>
  <c r="AV5" i="14"/>
  <c r="BD5" i="14" s="1"/>
  <c r="BF168" i="14" l="1"/>
  <c r="BF180" i="14"/>
  <c r="BF176" i="14"/>
  <c r="AV207" i="14"/>
  <c r="BG168" i="14"/>
  <c r="BF171" i="14"/>
  <c r="BF179" i="14"/>
  <c r="BG171" i="14"/>
  <c r="BF174" i="14"/>
  <c r="BF167" i="14"/>
  <c r="BF172" i="14"/>
  <c r="BF178" i="14"/>
  <c r="BG167" i="14"/>
  <c r="BF173" i="14"/>
  <c r="BF181" i="14"/>
  <c r="BF170" i="14"/>
  <c r="BG178" i="14"/>
  <c r="BF175" i="14"/>
  <c r="BF169" i="14"/>
  <c r="BF177" i="14"/>
  <c r="AC149" i="16" l="1"/>
  <c r="AI149" i="16" s="1"/>
  <c r="AC150" i="16"/>
  <c r="AI150" i="16" s="1"/>
  <c r="AC151" i="16"/>
  <c r="AI151" i="16" s="1"/>
  <c r="AC152" i="16"/>
  <c r="AI152" i="16" s="1"/>
  <c r="AC153" i="16"/>
  <c r="AI153" i="16" s="1"/>
  <c r="AC154" i="16"/>
  <c r="AI154" i="16" s="1"/>
  <c r="AC155" i="16"/>
  <c r="AI155" i="16" s="1"/>
  <c r="AC156" i="16"/>
  <c r="AI156" i="16" s="1"/>
  <c r="AC157" i="16"/>
  <c r="AI157" i="16" s="1"/>
  <c r="AC158" i="16"/>
  <c r="AI158" i="16" s="1"/>
  <c r="AC159" i="16"/>
  <c r="AI159" i="16" s="1"/>
  <c r="AC160" i="16"/>
  <c r="AI160" i="16" s="1"/>
  <c r="AC161" i="16"/>
  <c r="AI161" i="16" s="1"/>
  <c r="AC162" i="16"/>
  <c r="AI162" i="16" s="1"/>
  <c r="AC163" i="16"/>
  <c r="AI163" i="16" s="1"/>
  <c r="AC164" i="16"/>
  <c r="AI164" i="16" s="1"/>
  <c r="AC165" i="16"/>
  <c r="AI165" i="16" s="1"/>
  <c r="AC166" i="16"/>
  <c r="AI166" i="16" s="1"/>
  <c r="K166" i="16"/>
  <c r="K165" i="16"/>
  <c r="K164" i="16"/>
  <c r="K163" i="16"/>
  <c r="K162" i="16"/>
  <c r="K161" i="16"/>
  <c r="K160" i="16"/>
  <c r="K159" i="16"/>
  <c r="K158" i="16"/>
  <c r="K157" i="16"/>
  <c r="K156" i="16"/>
  <c r="K155" i="16"/>
  <c r="K154" i="16"/>
  <c r="K153" i="16"/>
  <c r="K152" i="16"/>
  <c r="K151" i="16"/>
  <c r="K150" i="16"/>
  <c r="K149" i="16"/>
  <c r="BG166" i="14"/>
  <c r="BG164" i="14"/>
  <c r="BG163" i="14"/>
  <c r="BG162" i="14"/>
  <c r="BG159" i="14"/>
  <c r="BG158" i="14"/>
  <c r="BG150" i="14"/>
  <c r="AT166" i="14"/>
  <c r="BD166" i="14" s="1"/>
  <c r="AT165" i="14"/>
  <c r="BD165" i="14" s="1"/>
  <c r="AT164" i="14"/>
  <c r="BD164" i="14" s="1"/>
  <c r="AT163" i="14"/>
  <c r="BD163" i="14" s="1"/>
  <c r="AT162" i="14"/>
  <c r="BD162" i="14" s="1"/>
  <c r="AT160" i="14"/>
  <c r="BD160" i="14" s="1"/>
  <c r="AT159" i="14"/>
  <c r="BD159" i="14" s="1"/>
  <c r="AT152" i="14"/>
  <c r="BD152" i="14" s="1"/>
  <c r="AT150" i="14"/>
  <c r="BD150" i="14" s="1"/>
  <c r="AT149" i="14"/>
  <c r="BD149" i="14" s="1"/>
  <c r="AT151" i="14"/>
  <c r="BD151" i="14" s="1"/>
  <c r="AT153" i="14"/>
  <c r="BD153" i="14" s="1"/>
  <c r="AT154" i="14"/>
  <c r="BD154" i="14" s="1"/>
  <c r="AT155" i="14"/>
  <c r="BD155" i="14" s="1"/>
  <c r="AT156" i="14"/>
  <c r="BD156" i="14" s="1"/>
  <c r="AT157" i="14"/>
  <c r="BD157" i="14" s="1"/>
  <c r="AT158" i="14"/>
  <c r="BD158" i="14" s="1"/>
  <c r="AT161" i="14"/>
  <c r="BD161" i="14" s="1"/>
  <c r="AU207" i="14"/>
  <c r="BD207" i="14" l="1"/>
  <c r="BF166" i="14"/>
  <c r="BG152" i="14"/>
  <c r="BG151" i="14"/>
  <c r="BG154" i="14"/>
  <c r="BG155" i="14"/>
  <c r="BG156" i="14"/>
  <c r="AT207" i="14"/>
  <c r="BF160" i="14"/>
  <c r="BF154" i="14"/>
  <c r="BF149" i="14"/>
  <c r="BF157" i="14"/>
  <c r="BF153" i="14"/>
  <c r="BF165" i="14"/>
  <c r="BF161" i="14"/>
  <c r="BF158" i="14"/>
  <c r="BG149" i="14"/>
  <c r="BG161" i="14"/>
  <c r="BF150" i="14"/>
  <c r="BF162" i="14"/>
  <c r="BG157" i="14"/>
  <c r="BG153" i="14"/>
  <c r="BG165" i="14"/>
  <c r="BF151" i="14"/>
  <c r="BF163" i="14"/>
  <c r="BF152" i="14"/>
  <c r="BF159" i="14"/>
  <c r="BF156" i="14"/>
  <c r="BF164" i="14"/>
  <c r="BG160" i="14"/>
  <c r="BF155" i="14"/>
  <c r="K148" i="17"/>
  <c r="K147" i="17"/>
  <c r="K146" i="17"/>
  <c r="K145" i="17"/>
  <c r="K144" i="17"/>
  <c r="K143" i="17"/>
  <c r="K142" i="17"/>
  <c r="K141" i="17"/>
  <c r="BG148" i="14" l="1"/>
  <c r="BG147" i="14"/>
  <c r="BG146" i="14"/>
  <c r="BF146" i="14"/>
  <c r="BG145" i="14"/>
  <c r="BG144" i="14"/>
  <c r="BG143" i="14"/>
  <c r="BG142" i="14"/>
  <c r="BF142" i="14"/>
  <c r="BF141" i="14"/>
  <c r="AR207" i="14"/>
  <c r="K148" i="16"/>
  <c r="K147" i="16"/>
  <c r="K146" i="16"/>
  <c r="K145" i="16"/>
  <c r="K144" i="16"/>
  <c r="K143" i="16"/>
  <c r="K142" i="16"/>
  <c r="K141" i="16"/>
  <c r="AC148" i="16"/>
  <c r="AI148" i="16" s="1"/>
  <c r="AC144" i="16"/>
  <c r="AI144" i="16" s="1"/>
  <c r="AC140" i="16"/>
  <c r="AI140" i="16" s="1"/>
  <c r="AC125" i="16"/>
  <c r="AI125" i="16" s="1"/>
  <c r="AC108" i="16"/>
  <c r="AI108" i="16" s="1"/>
  <c r="AC105" i="16"/>
  <c r="AI105" i="16" s="1"/>
  <c r="AC103" i="16"/>
  <c r="AI103" i="16" s="1"/>
  <c r="AC101" i="16"/>
  <c r="AI101" i="16" s="1"/>
  <c r="AC100" i="16"/>
  <c r="AI100" i="16" s="1"/>
  <c r="AC98" i="16"/>
  <c r="AI98" i="16" s="1"/>
  <c r="AC95" i="16"/>
  <c r="AI95" i="16" s="1"/>
  <c r="AC80" i="16"/>
  <c r="AI80" i="16" s="1"/>
  <c r="AC79" i="16"/>
  <c r="AI79" i="16" s="1"/>
  <c r="AC78" i="16"/>
  <c r="AI78" i="16" s="1"/>
  <c r="AC77" i="16"/>
  <c r="AI77" i="16" s="1"/>
  <c r="AC76" i="16"/>
  <c r="AI76" i="16" s="1"/>
  <c r="AC74" i="16"/>
  <c r="AI74" i="16" s="1"/>
  <c r="AC73" i="16"/>
  <c r="AI73" i="16" s="1"/>
  <c r="AC72" i="16"/>
  <c r="AI72" i="16" s="1"/>
  <c r="AC71" i="16"/>
  <c r="AI71" i="16" s="1"/>
  <c r="AC70" i="16"/>
  <c r="AI70" i="16" s="1"/>
  <c r="AC69" i="16"/>
  <c r="AI69" i="16" s="1"/>
  <c r="AC68" i="16"/>
  <c r="AI68" i="16" s="1"/>
  <c r="AC66" i="16"/>
  <c r="AI66" i="16" s="1"/>
  <c r="AC65" i="16"/>
  <c r="AI65" i="16" s="1"/>
  <c r="AC64" i="16"/>
  <c r="AI64" i="16" s="1"/>
  <c r="AC63" i="16"/>
  <c r="AI63" i="16" s="1"/>
  <c r="AC62" i="16"/>
  <c r="AI62" i="16" s="1"/>
  <c r="AC60" i="16"/>
  <c r="AI60" i="16" s="1"/>
  <c r="AC59" i="16"/>
  <c r="AI59" i="16" s="1"/>
  <c r="AC58" i="16"/>
  <c r="AI58" i="16" s="1"/>
  <c r="AC57" i="16"/>
  <c r="AI57" i="16" s="1"/>
  <c r="AC56" i="16"/>
  <c r="AI56" i="16" s="1"/>
  <c r="AC55" i="16"/>
  <c r="AI55" i="16" s="1"/>
  <c r="AC46" i="16"/>
  <c r="AI46" i="16" s="1"/>
  <c r="AC45" i="16"/>
  <c r="AI45" i="16" s="1"/>
  <c r="AC43" i="16"/>
  <c r="AI43" i="16" s="1"/>
  <c r="AC39" i="16"/>
  <c r="AI39" i="16" s="1"/>
  <c r="AC32" i="16"/>
  <c r="AI32" i="16" s="1"/>
  <c r="AC27" i="16"/>
  <c r="AI27" i="16" s="1"/>
  <c r="AC24" i="16"/>
  <c r="AI24" i="16" s="1"/>
  <c r="AC23" i="16"/>
  <c r="AI23" i="16" s="1"/>
  <c r="AC14" i="16"/>
  <c r="AI14" i="16" s="1"/>
  <c r="AC9" i="16"/>
  <c r="AI9" i="16" s="1"/>
  <c r="AC28" i="16"/>
  <c r="AI28" i="16" s="1"/>
  <c r="AC123" i="16"/>
  <c r="AI123" i="16" s="1"/>
  <c r="AC13" i="16"/>
  <c r="AI13" i="16" s="1"/>
  <c r="AC146" i="16"/>
  <c r="AI146" i="16" s="1"/>
  <c r="AC52" i="16"/>
  <c r="AI52" i="16" s="1"/>
  <c r="AC117" i="16"/>
  <c r="AI117" i="16" s="1"/>
  <c r="AC12" i="16"/>
  <c r="AI12" i="16" s="1"/>
  <c r="AC22" i="16"/>
  <c r="AI22" i="16" s="1"/>
  <c r="AC6" i="16"/>
  <c r="AI6" i="16" s="1"/>
  <c r="AC83" i="16"/>
  <c r="AI83" i="16" s="1"/>
  <c r="AC107" i="16"/>
  <c r="AI107" i="16" s="1"/>
  <c r="AC84" i="16"/>
  <c r="AI84" i="16" s="1"/>
  <c r="AC118" i="16"/>
  <c r="AI118" i="16" s="1"/>
  <c r="AC81" i="16"/>
  <c r="AI81" i="16" s="1"/>
  <c r="AC119" i="16"/>
  <c r="AI119" i="16" s="1"/>
  <c r="AC54" i="16"/>
  <c r="AI54" i="16" s="1"/>
  <c r="AC31" i="16"/>
  <c r="AI31" i="16" s="1"/>
  <c r="AC120" i="16"/>
  <c r="AI120" i="16" s="1"/>
  <c r="AC5" i="16"/>
  <c r="AI5" i="16" s="1"/>
  <c r="AC86" i="16"/>
  <c r="AI86" i="16" s="1"/>
  <c r="AC141" i="16"/>
  <c r="AI141" i="16" s="1"/>
  <c r="AC142" i="16"/>
  <c r="AI142" i="16" s="1"/>
  <c r="AC121" i="16"/>
  <c r="AI121" i="16" s="1"/>
  <c r="AC112" i="16"/>
  <c r="AI112" i="16" s="1"/>
  <c r="AC82" i="16"/>
  <c r="AI82" i="16" s="1"/>
  <c r="AC36" i="16"/>
  <c r="AI36" i="16" s="1"/>
  <c r="AC87" i="16"/>
  <c r="AI87" i="16" s="1"/>
  <c r="AC50" i="16"/>
  <c r="AI50" i="16" s="1"/>
  <c r="AC11" i="16"/>
  <c r="AI11" i="16" s="1"/>
  <c r="AC106" i="16"/>
  <c r="AI106" i="16" s="1"/>
  <c r="AC143" i="16"/>
  <c r="AI143" i="16" s="1"/>
  <c r="AC122" i="16"/>
  <c r="AI122" i="16" s="1"/>
  <c r="AC124" i="16"/>
  <c r="AI124" i="16" s="1"/>
  <c r="AC15" i="16"/>
  <c r="AI15" i="16" s="1"/>
  <c r="AC88" i="16"/>
  <c r="AI88" i="16" s="1"/>
  <c r="AC17" i="16"/>
  <c r="AI17" i="16" s="1"/>
  <c r="AC18" i="16"/>
  <c r="AI18" i="16" s="1"/>
  <c r="AC89" i="16"/>
  <c r="AI89" i="16" s="1"/>
  <c r="AC90" i="16"/>
  <c r="AI90" i="16" s="1"/>
  <c r="AC20" i="16"/>
  <c r="AI20" i="16" s="1"/>
  <c r="AC40" i="16"/>
  <c r="AI40" i="16" s="1"/>
  <c r="AC91" i="16"/>
  <c r="AI91" i="16" s="1"/>
  <c r="AC21" i="16"/>
  <c r="AI21" i="16" s="1"/>
  <c r="AC92" i="16"/>
  <c r="AI92" i="16" s="1"/>
  <c r="AC127" i="16"/>
  <c r="AI127" i="16" s="1"/>
  <c r="AC47" i="16"/>
  <c r="AI47" i="16" s="1"/>
  <c r="AC115" i="16"/>
  <c r="AI115" i="16" s="1"/>
  <c r="AC110" i="16"/>
  <c r="AI110" i="16" s="1"/>
  <c r="AC93" i="16"/>
  <c r="AI93" i="16" s="1"/>
  <c r="AC25" i="16"/>
  <c r="AI25" i="16" s="1"/>
  <c r="AC94" i="16"/>
  <c r="AI94" i="16" s="1"/>
  <c r="AC128" i="16"/>
  <c r="AI128" i="16" s="1"/>
  <c r="AC129" i="16"/>
  <c r="AI129" i="16" s="1"/>
  <c r="AC130" i="16"/>
  <c r="AI130" i="16" s="1"/>
  <c r="AC37" i="16"/>
  <c r="AI37" i="16" s="1"/>
  <c r="AC26" i="16"/>
  <c r="AI26" i="16" s="1"/>
  <c r="AC96" i="16"/>
  <c r="AI96" i="16" s="1"/>
  <c r="AC44" i="16"/>
  <c r="AI44" i="16" s="1"/>
  <c r="AC109" i="16"/>
  <c r="AI109" i="16" s="1"/>
  <c r="AC116" i="16"/>
  <c r="AI116" i="16" s="1"/>
  <c r="AC99" i="16"/>
  <c r="AI99" i="16" s="1"/>
  <c r="AC29" i="16"/>
  <c r="AI29" i="16" s="1"/>
  <c r="AC41" i="16"/>
  <c r="AI41" i="16" s="1"/>
  <c r="AC33" i="16"/>
  <c r="AI33" i="16" s="1"/>
  <c r="AC42" i="16"/>
  <c r="AI42" i="16" s="1"/>
  <c r="AC131" i="16"/>
  <c r="AI131" i="16" s="1"/>
  <c r="AC16" i="16"/>
  <c r="AI16" i="16" s="1"/>
  <c r="AC10" i="16"/>
  <c r="AI10" i="16" s="1"/>
  <c r="AC19" i="16"/>
  <c r="AI19" i="16" s="1"/>
  <c r="AC7" i="16"/>
  <c r="AI7" i="16" s="1"/>
  <c r="AC30" i="16"/>
  <c r="AI30" i="16" s="1"/>
  <c r="AC132" i="16"/>
  <c r="AI132" i="16" s="1"/>
  <c r="AC8" i="16"/>
  <c r="AI8" i="16" s="1"/>
  <c r="AC113" i="16"/>
  <c r="AI113" i="16" s="1"/>
  <c r="AC102" i="16"/>
  <c r="AI102" i="16" s="1"/>
  <c r="AC145" i="16"/>
  <c r="AI145" i="16" s="1"/>
  <c r="AC35" i="16"/>
  <c r="AI35" i="16" s="1"/>
  <c r="AC133" i="16"/>
  <c r="AI133" i="16" s="1"/>
  <c r="AC134" i="16"/>
  <c r="AI134" i="16" s="1"/>
  <c r="AC38" i="16"/>
  <c r="AI38" i="16" s="1"/>
  <c r="AC135" i="16"/>
  <c r="AI135" i="16" s="1"/>
  <c r="AC49" i="16"/>
  <c r="AI49" i="16" s="1"/>
  <c r="AC147" i="16"/>
  <c r="AI147" i="16" s="1"/>
  <c r="AC34" i="16"/>
  <c r="AI34" i="16" s="1"/>
  <c r="AC114" i="16"/>
  <c r="AI114" i="16" s="1"/>
  <c r="AC136" i="16"/>
  <c r="AI136" i="16" s="1"/>
  <c r="AC137" i="16"/>
  <c r="AI137" i="16" s="1"/>
  <c r="AC138" i="16"/>
  <c r="AI138" i="16" s="1"/>
  <c r="AC139" i="16"/>
  <c r="AI139" i="16" s="1"/>
  <c r="AC104" i="16"/>
  <c r="AI104" i="16" s="1"/>
  <c r="AC111" i="16"/>
  <c r="AI111" i="16" s="1"/>
  <c r="AI207" i="16" l="1"/>
  <c r="AC207" i="16"/>
  <c r="BF207" i="14"/>
  <c r="BF145" i="14"/>
  <c r="BG141" i="14"/>
  <c r="BF143" i="14"/>
  <c r="BF147" i="14"/>
  <c r="BF144" i="14"/>
  <c r="BF148" i="14"/>
  <c r="AS207" i="14" l="1"/>
  <c r="K108" i="16" l="1"/>
  <c r="K80" i="17" l="1"/>
  <c r="K80" i="16"/>
  <c r="BG80" i="14"/>
  <c r="BF80" i="14" l="1"/>
  <c r="K51" i="17" l="1"/>
  <c r="K53" i="17"/>
  <c r="K54" i="17"/>
  <c r="BG54" i="14"/>
  <c r="K52" i="17"/>
  <c r="K55" i="17"/>
  <c r="BG52" i="14"/>
  <c r="K53" i="16"/>
  <c r="K52" i="16"/>
  <c r="K54" i="16"/>
  <c r="K51" i="16"/>
  <c r="K32" i="17"/>
  <c r="K32" i="16"/>
  <c r="BF54" i="14" l="1"/>
  <c r="BF52" i="14"/>
  <c r="K140" i="17" l="1"/>
  <c r="K139" i="17"/>
  <c r="K138" i="17"/>
  <c r="K137" i="17"/>
  <c r="K136" i="17"/>
  <c r="K135" i="17"/>
  <c r="K134" i="17"/>
  <c r="K133" i="17"/>
  <c r="K132" i="17"/>
  <c r="K131" i="17"/>
  <c r="K130" i="17"/>
  <c r="K129" i="17"/>
  <c r="K128" i="17"/>
  <c r="K127" i="17"/>
  <c r="K126" i="17"/>
  <c r="K125" i="17"/>
  <c r="K124" i="17"/>
  <c r="K123" i="17"/>
  <c r="K122" i="17"/>
  <c r="K121" i="17"/>
  <c r="K120" i="17"/>
  <c r="K119" i="17"/>
  <c r="K118" i="17"/>
  <c r="K117" i="17"/>
  <c r="K116" i="17"/>
  <c r="K115" i="17"/>
  <c r="K114" i="17"/>
  <c r="K113" i="17"/>
  <c r="K112" i="17"/>
  <c r="K111" i="17"/>
  <c r="K110" i="17"/>
  <c r="K109" i="17"/>
  <c r="K107" i="17"/>
  <c r="K106" i="17"/>
  <c r="K105" i="17"/>
  <c r="K104" i="17"/>
  <c r="K103" i="17"/>
  <c r="K102" i="17"/>
  <c r="K101" i="17"/>
  <c r="K100" i="17"/>
  <c r="K99" i="17"/>
  <c r="K98" i="17"/>
  <c r="K97" i="17"/>
  <c r="K96" i="17"/>
  <c r="K95" i="17"/>
  <c r="K94" i="17"/>
  <c r="K93" i="17"/>
  <c r="K92" i="17"/>
  <c r="K91" i="17"/>
  <c r="K90" i="17"/>
  <c r="K89" i="17"/>
  <c r="K88" i="17"/>
  <c r="K87" i="17"/>
  <c r="K86" i="17"/>
  <c r="K85" i="17"/>
  <c r="K84" i="17"/>
  <c r="K83" i="17"/>
  <c r="K82" i="17"/>
  <c r="K81" i="17"/>
  <c r="K79" i="17"/>
  <c r="K78" i="17"/>
  <c r="K77" i="17"/>
  <c r="K60" i="17"/>
  <c r="K59" i="17"/>
  <c r="K58" i="17"/>
  <c r="K57" i="17"/>
  <c r="K56" i="17"/>
  <c r="K50" i="17"/>
  <c r="K49" i="17"/>
  <c r="K48" i="17"/>
  <c r="K47" i="17"/>
  <c r="K46" i="17"/>
  <c r="K45" i="17"/>
  <c r="K44" i="17"/>
  <c r="K43" i="17"/>
  <c r="K42" i="17"/>
  <c r="K41" i="17"/>
  <c r="K40" i="17"/>
  <c r="K38" i="17"/>
  <c r="K37" i="17"/>
  <c r="K36" i="17"/>
  <c r="K35" i="17"/>
  <c r="K34" i="17"/>
  <c r="K33" i="17"/>
  <c r="K31" i="17"/>
  <c r="K30" i="17"/>
  <c r="K29" i="17"/>
  <c r="K28" i="17"/>
  <c r="K27" i="17"/>
  <c r="K26" i="17"/>
  <c r="K25" i="17"/>
  <c r="K24" i="17"/>
  <c r="K23" i="17"/>
  <c r="K22" i="17"/>
  <c r="K21" i="17"/>
  <c r="K20" i="17"/>
  <c r="K19" i="17"/>
  <c r="K18" i="17"/>
  <c r="K17" i="17"/>
  <c r="K16" i="17"/>
  <c r="K15" i="17"/>
  <c r="K14" i="17"/>
  <c r="K13" i="17"/>
  <c r="K12" i="17"/>
  <c r="K11" i="17"/>
  <c r="K10" i="17"/>
  <c r="K9" i="17"/>
  <c r="K8" i="17"/>
  <c r="K7" i="17"/>
  <c r="K6" i="17"/>
  <c r="K5" i="17"/>
  <c r="K140" i="16"/>
  <c r="K125" i="16"/>
  <c r="K103" i="16"/>
  <c r="K101" i="16"/>
  <c r="K79" i="16"/>
  <c r="K78" i="16"/>
  <c r="K60" i="16"/>
  <c r="K59" i="16"/>
  <c r="K58" i="16"/>
  <c r="K57" i="16"/>
  <c r="K56" i="16"/>
  <c r="K55" i="16"/>
  <c r="K46" i="16"/>
  <c r="K45" i="16"/>
  <c r="K43" i="16"/>
  <c r="K35" i="16"/>
  <c r="K27" i="16"/>
  <c r="K24" i="16"/>
  <c r="K23" i="16"/>
  <c r="K14" i="16"/>
  <c r="K133" i="16"/>
  <c r="K132" i="16"/>
  <c r="K131" i="16"/>
  <c r="K130" i="16"/>
  <c r="K129" i="16"/>
  <c r="K128" i="16"/>
  <c r="K127" i="16"/>
  <c r="K126" i="16"/>
  <c r="K124" i="16"/>
  <c r="K123" i="16"/>
  <c r="K122" i="16"/>
  <c r="K121" i="16"/>
  <c r="K120" i="16"/>
  <c r="K119" i="16"/>
  <c r="K118" i="16"/>
  <c r="K117" i="16"/>
  <c r="K116" i="16"/>
  <c r="K115" i="16"/>
  <c r="K114" i="16"/>
  <c r="K113" i="16"/>
  <c r="K112" i="16"/>
  <c r="K111" i="16"/>
  <c r="K110" i="16"/>
  <c r="K109" i="16"/>
  <c r="K107" i="16"/>
  <c r="K106" i="16"/>
  <c r="K105" i="16"/>
  <c r="K104" i="16"/>
  <c r="K102" i="16"/>
  <c r="K100" i="16"/>
  <c r="K99" i="16"/>
  <c r="K98" i="16"/>
  <c r="K97" i="16"/>
  <c r="K96" i="16"/>
  <c r="K95" i="16"/>
  <c r="K94" i="16"/>
  <c r="K93" i="16"/>
  <c r="K92" i="16"/>
  <c r="K91" i="16"/>
  <c r="K90" i="16"/>
  <c r="K89" i="16"/>
  <c r="K88" i="16"/>
  <c r="K87" i="16"/>
  <c r="K86" i="16"/>
  <c r="K85" i="16"/>
  <c r="K84" i="16"/>
  <c r="K83" i="16"/>
  <c r="K82" i="16"/>
  <c r="K81" i="16"/>
  <c r="K50" i="16"/>
  <c r="K49" i="16"/>
  <c r="K48" i="16"/>
  <c r="K47" i="16"/>
  <c r="K44" i="16"/>
  <c r="K42" i="16"/>
  <c r="K41" i="16"/>
  <c r="K40" i="16"/>
  <c r="K38" i="16"/>
  <c r="K37" i="16"/>
  <c r="K36" i="16"/>
  <c r="K34" i="16"/>
  <c r="K33" i="16"/>
  <c r="K31" i="16"/>
  <c r="K30" i="16"/>
  <c r="K29" i="16"/>
  <c r="K28" i="16"/>
  <c r="K26" i="16"/>
  <c r="K25" i="16"/>
  <c r="K22" i="16"/>
  <c r="K21" i="16"/>
  <c r="K20" i="16"/>
  <c r="K19" i="16"/>
  <c r="K18" i="16"/>
  <c r="K17" i="16"/>
  <c r="K16" i="16"/>
  <c r="K15" i="16"/>
  <c r="K13" i="16"/>
  <c r="K12" i="16"/>
  <c r="K11" i="16"/>
  <c r="K10" i="16"/>
  <c r="K9" i="16"/>
  <c r="K8" i="16"/>
  <c r="K7" i="16"/>
  <c r="K134" i="16"/>
  <c r="K135" i="16"/>
  <c r="K136" i="16"/>
  <c r="K137" i="16"/>
  <c r="K138" i="16"/>
  <c r="K139" i="16"/>
  <c r="K6" i="16"/>
  <c r="K5" i="16"/>
  <c r="J39" i="17"/>
  <c r="J207" i="17" s="1"/>
  <c r="J39" i="16"/>
  <c r="J207" i="16" s="1"/>
  <c r="K39" i="17" l="1"/>
  <c r="K39" i="16"/>
  <c r="AL207" i="14"/>
  <c r="AQ207" i="14" l="1"/>
  <c r="AP207" i="14"/>
  <c r="AO207" i="14"/>
  <c r="AN207" i="14"/>
  <c r="AM207" i="14"/>
  <c r="BG137" i="14"/>
  <c r="BG136" i="14"/>
  <c r="BG121" i="14"/>
  <c r="BF133" i="14"/>
  <c r="BF123" i="14"/>
  <c r="BG119" i="14" l="1"/>
  <c r="BG135" i="14"/>
  <c r="BG122" i="14"/>
  <c r="BG117" i="14"/>
  <c r="BG118" i="14"/>
  <c r="BG134" i="14"/>
  <c r="BG120" i="14"/>
  <c r="BG138" i="14"/>
  <c r="BG130" i="14"/>
  <c r="BG131" i="14"/>
  <c r="BG132" i="14"/>
  <c r="BG139" i="14"/>
  <c r="BG124" i="14"/>
  <c r="BG140" i="14"/>
  <c r="BG123" i="14"/>
  <c r="BF131" i="14"/>
  <c r="BG125" i="14"/>
  <c r="BG126" i="14"/>
  <c r="BG127" i="14"/>
  <c r="BG128" i="14"/>
  <c r="BG129" i="14"/>
  <c r="BF135" i="14"/>
  <c r="BF119" i="14"/>
  <c r="BF139" i="14"/>
  <c r="BF127" i="14"/>
  <c r="BF129" i="14"/>
  <c r="BG133" i="14"/>
  <c r="BF118" i="14"/>
  <c r="BF122" i="14"/>
  <c r="BF126" i="14"/>
  <c r="BF130" i="14"/>
  <c r="BF134" i="14"/>
  <c r="BF138" i="14"/>
  <c r="BF125" i="14"/>
  <c r="BF120" i="14"/>
  <c r="BF124" i="14"/>
  <c r="BF128" i="14"/>
  <c r="BF132" i="14"/>
  <c r="BF136" i="14"/>
  <c r="BF140" i="14"/>
  <c r="BF117" i="14"/>
  <c r="BF121" i="14"/>
  <c r="BF137" i="14"/>
  <c r="BG105" i="14" l="1"/>
  <c r="BG116" i="14" l="1"/>
  <c r="BG115" i="14"/>
  <c r="BF115" i="14"/>
  <c r="BG114" i="14"/>
  <c r="BG113" i="14"/>
  <c r="BG112" i="14"/>
  <c r="BG111" i="14"/>
  <c r="BG110" i="14"/>
  <c r="BG109" i="14"/>
  <c r="BG108" i="14"/>
  <c r="BG107" i="14"/>
  <c r="BG106" i="14"/>
  <c r="BF107" i="14" l="1"/>
  <c r="BF111" i="14"/>
  <c r="BF108" i="14"/>
  <c r="BF112" i="14"/>
  <c r="BF116" i="14"/>
  <c r="BF105" i="14"/>
  <c r="BF109" i="14"/>
  <c r="BF113" i="14"/>
  <c r="BF106" i="14"/>
  <c r="BF110" i="14"/>
  <c r="BF114" i="14"/>
  <c r="AK207" i="14" l="1"/>
  <c r="AJ207" i="14"/>
  <c r="AI207" i="14"/>
  <c r="AH207" i="14"/>
  <c r="AG207" i="14"/>
  <c r="AF207" i="14"/>
  <c r="AE207" i="14"/>
  <c r="AD207" i="14"/>
  <c r="AC207" i="14"/>
  <c r="AB207" i="14"/>
  <c r="AA207" i="14"/>
  <c r="Z207" i="14"/>
  <c r="Y207" i="14"/>
  <c r="X207" i="14"/>
  <c r="W207" i="14"/>
  <c r="V207" i="14"/>
  <c r="U207" i="14"/>
  <c r="T207" i="14"/>
  <c r="S207" i="14"/>
  <c r="R207" i="14"/>
  <c r="Q207" i="14"/>
  <c r="BG104" i="14"/>
  <c r="BG97" i="14"/>
  <c r="BG96" i="14"/>
  <c r="BG94" i="14"/>
  <c r="BG93" i="14"/>
  <c r="BG91" i="14"/>
  <c r="BG85" i="14"/>
  <c r="BG84" i="14"/>
  <c r="BG83" i="14"/>
  <c r="BG88" i="14" l="1"/>
  <c r="BF99" i="14"/>
  <c r="BG99" i="14"/>
  <c r="BF92" i="14"/>
  <c r="BF96" i="14"/>
  <c r="BF102" i="14"/>
  <c r="BF88" i="14"/>
  <c r="BF90" i="14"/>
  <c r="BF100" i="14"/>
  <c r="BF86" i="14"/>
  <c r="BF91" i="14"/>
  <c r="BF83" i="14"/>
  <c r="BG86" i="14"/>
  <c r="BG102" i="14"/>
  <c r="BF97" i="14"/>
  <c r="BG92" i="14"/>
  <c r="BF87" i="14"/>
  <c r="BF95" i="14"/>
  <c r="BF103" i="14"/>
  <c r="BG87" i="14"/>
  <c r="BG95" i="14"/>
  <c r="BG103" i="14"/>
  <c r="BF89" i="14"/>
  <c r="BF98" i="14"/>
  <c r="BF94" i="14"/>
  <c r="BG89" i="14"/>
  <c r="BF84" i="14"/>
  <c r="BG90" i="14"/>
  <c r="BG98" i="14"/>
  <c r="BG100" i="14"/>
  <c r="BF85" i="14"/>
  <c r="BF93" i="14"/>
  <c r="BF101" i="14"/>
  <c r="BG101" i="14"/>
  <c r="BF104" i="14"/>
  <c r="BG9" i="14"/>
  <c r="BG14" i="14"/>
  <c r="BG18" i="14"/>
  <c r="BG21" i="14"/>
  <c r="BG22" i="14"/>
  <c r="BG28" i="14"/>
  <c r="BG29" i="14"/>
  <c r="BG33" i="14"/>
  <c r="BG36" i="14"/>
  <c r="BG37" i="14"/>
  <c r="J39" i="14"/>
  <c r="BG40" i="14"/>
  <c r="BG44" i="14"/>
  <c r="BG53" i="14"/>
  <c r="BG55" i="14"/>
  <c r="BG59" i="14"/>
  <c r="BG64" i="14"/>
  <c r="BG69" i="14"/>
  <c r="BF72" i="14"/>
  <c r="BG73" i="14"/>
  <c r="BG78" i="14"/>
  <c r="BF81" i="14"/>
  <c r="BG82" i="14"/>
  <c r="L207" i="14"/>
  <c r="M207" i="14"/>
  <c r="N207" i="14"/>
  <c r="O207" i="14"/>
  <c r="P207" i="14"/>
  <c r="J207" i="14" l="1"/>
  <c r="BG207" i="14" s="1"/>
  <c r="BF57" i="14"/>
  <c r="BF10" i="14"/>
  <c r="BF76" i="14"/>
  <c r="BF47" i="14"/>
  <c r="BG5" i="14"/>
  <c r="BG17" i="14"/>
  <c r="BF71" i="14"/>
  <c r="BF43" i="14"/>
  <c r="BF25" i="14"/>
  <c r="BF63" i="14"/>
  <c r="BF39" i="14"/>
  <c r="BF32" i="14"/>
  <c r="BF16" i="14"/>
  <c r="BF8" i="14"/>
  <c r="BF77" i="14"/>
  <c r="BF62" i="14"/>
  <c r="BF51" i="14"/>
  <c r="BF68" i="14"/>
  <c r="BF66" i="14"/>
  <c r="BF49" i="14"/>
  <c r="BF12" i="14"/>
  <c r="BG47" i="14"/>
  <c r="BG60" i="14"/>
  <c r="BG70" i="14"/>
  <c r="BG39" i="14"/>
  <c r="BG79" i="14"/>
  <c r="BF79" i="14"/>
  <c r="BG38" i="14"/>
  <c r="BG65" i="14"/>
  <c r="BF78" i="14"/>
  <c r="BG24" i="14"/>
  <c r="BG43" i="14"/>
  <c r="BG32" i="14"/>
  <c r="BG48" i="14"/>
  <c r="BG26" i="14"/>
  <c r="BG42" i="14"/>
  <c r="BF69" i="14"/>
  <c r="BG19" i="14"/>
  <c r="BG30" i="14"/>
  <c r="BF60" i="14"/>
  <c r="BG51" i="14"/>
  <c r="BF65" i="14"/>
  <c r="BF30" i="14"/>
  <c r="BF19" i="14"/>
  <c r="BF70" i="14"/>
  <c r="BG50" i="14"/>
  <c r="BG76" i="14"/>
  <c r="BF64" i="14"/>
  <c r="BG34" i="14"/>
  <c r="BF17" i="14"/>
  <c r="BF34" i="14"/>
  <c r="BF38" i="14"/>
  <c r="BF13" i="14"/>
  <c r="BF74" i="14"/>
  <c r="BG46" i="14"/>
  <c r="BF37" i="14"/>
  <c r="BF28" i="14"/>
  <c r="BG8" i="14"/>
  <c r="BF14" i="14"/>
  <c r="BG12" i="14"/>
  <c r="BF73" i="14"/>
  <c r="BG56" i="14"/>
  <c r="BG7" i="14"/>
  <c r="BF82" i="14"/>
  <c r="BF56" i="14"/>
  <c r="BF21" i="14"/>
  <c r="BG11" i="14"/>
  <c r="BF9" i="14"/>
  <c r="BG15" i="14"/>
  <c r="BG74" i="14"/>
  <c r="BF15" i="14"/>
  <c r="BF5" i="14"/>
  <c r="BF35" i="14"/>
  <c r="BF24" i="14"/>
  <c r="BF20" i="14"/>
  <c r="BF6" i="14"/>
  <c r="BF23" i="14"/>
  <c r="BF40" i="14"/>
  <c r="BF44" i="14"/>
  <c r="BF36" i="14"/>
  <c r="BF18" i="14"/>
  <c r="BF27" i="14"/>
  <c r="BF22" i="14"/>
  <c r="BF59" i="14"/>
  <c r="BF31" i="14"/>
  <c r="BF53" i="14"/>
  <c r="BF48" i="14"/>
  <c r="BF58" i="14"/>
  <c r="BF41" i="14"/>
  <c r="BF29" i="14"/>
  <c r="BF45" i="14"/>
  <c r="BF33" i="14"/>
  <c r="BF50" i="14"/>
  <c r="BF46" i="14"/>
  <c r="BF42" i="14"/>
  <c r="BF26" i="14"/>
  <c r="BF11" i="14"/>
  <c r="BF7" i="14"/>
  <c r="BG71" i="14"/>
  <c r="BG66" i="14"/>
  <c r="BG62" i="14"/>
  <c r="BG57" i="14"/>
  <c r="BG35" i="14"/>
  <c r="BG31" i="14"/>
  <c r="BG20" i="14"/>
  <c r="BG16" i="14"/>
  <c r="BG81" i="14"/>
  <c r="BG77" i="14"/>
  <c r="BG72" i="14"/>
  <c r="BG68" i="14"/>
  <c r="BG63" i="14"/>
  <c r="BG58" i="14"/>
  <c r="BG49" i="14"/>
  <c r="BG45" i="14"/>
  <c r="BG41" i="14"/>
  <c r="BG25" i="14"/>
  <c r="BG10" i="14"/>
  <c r="BG6" i="14"/>
</calcChain>
</file>

<file path=xl/comments1.xml><?xml version="1.0" encoding="utf-8"?>
<comments xmlns="http://schemas.openxmlformats.org/spreadsheetml/2006/main">
  <authors>
    <author>user</author>
  </authors>
  <commentList>
    <comment ref="E108" authorId="0" shapeId="0">
      <text>
        <r>
          <rPr>
            <b/>
            <sz val="10"/>
            <color indexed="81"/>
            <rFont val="나눔고딕"/>
            <family val="3"/>
            <charset val="129"/>
          </rPr>
          <t>백병원 계열 예외관리처</t>
        </r>
      </text>
    </comment>
    <comment ref="J108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  <comment ref="F145" authorId="0" shapeId="0">
      <text>
        <r>
          <rPr>
            <b/>
            <sz val="9"/>
            <color indexed="81"/>
            <rFont val="나눔고딕"/>
            <family val="3"/>
            <charset val="129"/>
          </rPr>
          <t>계약금액 변동
변경 사항 : 계약금액 (523,988,500원 → 553,044,000원)</t>
        </r>
      </text>
    </comment>
    <comment ref="F191" authorId="0" shapeId="0">
      <text>
        <r>
          <rPr>
            <b/>
            <sz val="9"/>
            <color indexed="81"/>
            <rFont val="돋움"/>
            <family val="3"/>
            <charset val="129"/>
          </rPr>
          <t>사업자번호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변경</t>
        </r>
      </text>
    </comment>
  </commentList>
</comments>
</file>

<file path=xl/comments2.xml><?xml version="1.0" encoding="utf-8"?>
<comments xmlns="http://schemas.openxmlformats.org/spreadsheetml/2006/main">
  <authors>
    <author>user</author>
  </authors>
  <commentList>
    <comment ref="H32" authorId="0" shapeId="0">
      <text>
        <r>
          <rPr>
            <b/>
            <sz val="9"/>
            <color indexed="81"/>
            <rFont val="돋움"/>
            <family val="3"/>
            <charset val="129"/>
          </rPr>
          <t>계약변경</t>
        </r>
      </text>
    </comment>
    <comment ref="J108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</commentList>
</comments>
</file>

<file path=xl/comments3.xml><?xml version="1.0" encoding="utf-8"?>
<comments xmlns="http://schemas.openxmlformats.org/spreadsheetml/2006/main">
  <authors>
    <author>user</author>
  </authors>
  <commentList>
    <comment ref="J108" authorId="0" shapeId="0">
      <text>
        <r>
          <rPr>
            <b/>
            <sz val="9"/>
            <color indexed="81"/>
            <rFont val="나눔고딕"/>
            <family val="3"/>
            <charset val="129"/>
          </rPr>
          <t>씽크 계약금액 : 115
씽크 외 : 0.8
총 계약금액 : 123</t>
        </r>
      </text>
    </comment>
  </commentList>
</comments>
</file>

<file path=xl/sharedStrings.xml><?xml version="1.0" encoding="utf-8"?>
<sst xmlns="http://schemas.openxmlformats.org/spreadsheetml/2006/main" count="10957" uniqueCount="1616">
  <si>
    <t>2024.12</t>
  </si>
  <si>
    <t>10038304</t>
  </si>
  <si>
    <t>의료법인해민의료재단</t>
  </si>
  <si>
    <t>10038116</t>
  </si>
  <si>
    <t>신가병원</t>
  </si>
  <si>
    <t>10021890</t>
  </si>
  <si>
    <t>강영의료재단문산중앙병원</t>
  </si>
  <si>
    <t>10035467</t>
  </si>
  <si>
    <t>춘천성심병원</t>
  </si>
  <si>
    <t>2025.01</t>
  </si>
  <si>
    <t>10038606</t>
  </si>
  <si>
    <t>(의)한마음의료재단제일병원</t>
  </si>
  <si>
    <t>10035639</t>
  </si>
  <si>
    <t>강릉아산병원</t>
  </si>
  <si>
    <t>10036735</t>
  </si>
  <si>
    <t>미래한국병원</t>
  </si>
  <si>
    <t>2025.02</t>
  </si>
  <si>
    <t>10038047</t>
  </si>
  <si>
    <t>광주병원</t>
  </si>
  <si>
    <t>2025.03</t>
  </si>
  <si>
    <t>10037863</t>
  </si>
  <si>
    <t>광주씨티병원</t>
  </si>
  <si>
    <t>10047520</t>
  </si>
  <si>
    <t>광주센트럴병원</t>
  </si>
  <si>
    <t>10033875</t>
  </si>
  <si>
    <t>의료법인루가의료재단나은병원(인천)</t>
  </si>
  <si>
    <t>2025.04</t>
  </si>
  <si>
    <t>10038298</t>
  </si>
  <si>
    <t>대송의료재단무안병원</t>
  </si>
  <si>
    <t>10003837</t>
  </si>
  <si>
    <t>빌리브세웅병원</t>
  </si>
  <si>
    <t>10038059</t>
  </si>
  <si>
    <t>해피뷰병원</t>
  </si>
  <si>
    <t>10032281</t>
  </si>
  <si>
    <t>의료법인성수의료재단</t>
  </si>
  <si>
    <t>2025.05</t>
  </si>
  <si>
    <t>10019136</t>
  </si>
  <si>
    <t>센트럴병원</t>
  </si>
  <si>
    <t>10033733</t>
  </si>
  <si>
    <t>의료법인효심의료재단(용인서울병원)</t>
  </si>
  <si>
    <t>10070515</t>
  </si>
  <si>
    <t>용인제일메디병원</t>
  </si>
  <si>
    <t>10017056</t>
  </si>
  <si>
    <t>명지성모병원</t>
  </si>
  <si>
    <t>10033726</t>
  </si>
  <si>
    <t>의료법인동수원병원</t>
  </si>
  <si>
    <t>10092105</t>
  </si>
  <si>
    <t>서울아동병원</t>
  </si>
  <si>
    <t>2025.06</t>
  </si>
  <si>
    <t>10039216</t>
  </si>
  <si>
    <t>의료법인춘곡의료재단</t>
  </si>
  <si>
    <t>2025.07</t>
  </si>
  <si>
    <t>10046527</t>
  </si>
  <si>
    <t>비에스종합병원</t>
  </si>
  <si>
    <t>2025.08</t>
  </si>
  <si>
    <t>10067520</t>
  </si>
  <si>
    <t>순천에스병원</t>
  </si>
  <si>
    <t>10036633</t>
  </si>
  <si>
    <t>예산명지병원</t>
  </si>
  <si>
    <t>10078174</t>
  </si>
  <si>
    <t>화순고려병원</t>
  </si>
  <si>
    <t>10031781</t>
  </si>
  <si>
    <t>(의)삼성의료재단</t>
  </si>
  <si>
    <t>10037684</t>
  </si>
  <si>
    <t>의료법인대산의료재단</t>
  </si>
  <si>
    <t>10035069</t>
  </si>
  <si>
    <t>검단탑종합병원</t>
  </si>
  <si>
    <t>2025.09</t>
  </si>
  <si>
    <t>10074449</t>
  </si>
  <si>
    <t>중앙대학교광명병원</t>
  </si>
  <si>
    <t>10038434</t>
  </si>
  <si>
    <t>행촌의료재단해남병원</t>
  </si>
  <si>
    <t>10041592</t>
  </si>
  <si>
    <t>비에이치에스한서병원</t>
  </si>
  <si>
    <t>10036320</t>
  </si>
  <si>
    <t>대전한국병원</t>
  </si>
  <si>
    <t>10032935</t>
  </si>
  <si>
    <t>추병원</t>
  </si>
  <si>
    <t>10037290</t>
  </si>
  <si>
    <t>이화의대부속서울병원</t>
  </si>
  <si>
    <t>10070268</t>
  </si>
  <si>
    <t>천안리턴병원</t>
  </si>
  <si>
    <t>10041888</t>
  </si>
  <si>
    <t>세웅종합병원</t>
  </si>
  <si>
    <t>2025.10</t>
  </si>
  <si>
    <t>10022281</t>
  </si>
  <si>
    <t>남양주21세기병원</t>
  </si>
  <si>
    <t>10040545</t>
  </si>
  <si>
    <t>부산본병원</t>
  </si>
  <si>
    <t>10038346</t>
  </si>
  <si>
    <t>목포기독병원</t>
  </si>
  <si>
    <t>10069147</t>
  </si>
  <si>
    <t>의료법인혜인의료재단한국병원</t>
  </si>
  <si>
    <t>10037883</t>
  </si>
  <si>
    <t>화순성심병원</t>
  </si>
  <si>
    <t>10032728</t>
  </si>
  <si>
    <t>의료법인양진의료재단평택성모병원</t>
  </si>
  <si>
    <t>10047340</t>
  </si>
  <si>
    <t>시영의료재단영동병원</t>
  </si>
  <si>
    <t>2025.11</t>
  </si>
  <si>
    <t>10045809</t>
  </si>
  <si>
    <t>의료법인영동의료재단의정부백병원</t>
  </si>
  <si>
    <t>10032805</t>
  </si>
  <si>
    <t>여주새로운병원</t>
  </si>
  <si>
    <t>10038000</t>
  </si>
  <si>
    <t>광주현대병원</t>
  </si>
  <si>
    <t>10034115</t>
  </si>
  <si>
    <t>의료법인영문의료재단</t>
  </si>
  <si>
    <t>10060702</t>
  </si>
  <si>
    <t>동탄시티병원</t>
  </si>
  <si>
    <t>10039210</t>
  </si>
  <si>
    <t>의료법인백천의료재단</t>
  </si>
  <si>
    <t>10041740</t>
  </si>
  <si>
    <t>서울산보람병원</t>
  </si>
  <si>
    <t>10003599</t>
  </si>
  <si>
    <t>의료법인온그룹의료재단온종합병원</t>
  </si>
  <si>
    <t>2025.12</t>
  </si>
  <si>
    <t>10046570</t>
  </si>
  <si>
    <t>의료법인성지의료재단(성지병원)</t>
  </si>
  <si>
    <t>10034679</t>
  </si>
  <si>
    <t>서울성심병원</t>
  </si>
  <si>
    <t>10036016</t>
  </si>
  <si>
    <t>시원병원</t>
  </si>
  <si>
    <t>10044981</t>
  </si>
  <si>
    <t>신일병원</t>
  </si>
  <si>
    <t>10041502</t>
  </si>
  <si>
    <t>한라의료원</t>
  </si>
  <si>
    <t>10047292</t>
  </si>
  <si>
    <t>의료법인숭인의료재단김해복음병원</t>
  </si>
  <si>
    <t>10033043</t>
  </si>
  <si>
    <t>메디인병원</t>
  </si>
  <si>
    <t>10008739</t>
  </si>
  <si>
    <t>씨엠병원</t>
  </si>
  <si>
    <t>10006915</t>
  </si>
  <si>
    <t>해븐리병원</t>
  </si>
  <si>
    <t>10036590</t>
  </si>
  <si>
    <t>당진종합병원</t>
  </si>
  <si>
    <t>10086279</t>
  </si>
  <si>
    <t>더퍼스트병원</t>
  </si>
  <si>
    <t>10039242</t>
  </si>
  <si>
    <t>수성한미병원</t>
  </si>
  <si>
    <t>10008171</t>
  </si>
  <si>
    <t>현대병원</t>
  </si>
  <si>
    <t>10035078</t>
  </si>
  <si>
    <t>사랑플러스병원</t>
  </si>
  <si>
    <t>10033886</t>
  </si>
  <si>
    <t>의료법인우리의료재단</t>
  </si>
  <si>
    <t>10031447</t>
  </si>
  <si>
    <t>신촌연세병원</t>
  </si>
  <si>
    <t>10037788</t>
  </si>
  <si>
    <t>부안성모병원</t>
  </si>
  <si>
    <t>10032706</t>
  </si>
  <si>
    <t>의료법인백성의료재단안중백병원</t>
  </si>
  <si>
    <t>10039905</t>
  </si>
  <si>
    <t>카톨릭병원</t>
  </si>
  <si>
    <t>10046812</t>
  </si>
  <si>
    <t>의료법인은성의료재단좋은선린병원</t>
  </si>
  <si>
    <t>판매처</t>
  </si>
  <si>
    <t>판매처명</t>
  </si>
  <si>
    <t>사업자번호</t>
  </si>
  <si>
    <t>총합계</t>
  </si>
  <si>
    <t>수금</t>
    <phoneticPr fontId="2" type="noConversion"/>
  </si>
  <si>
    <t>합계 : 합계</t>
  </si>
  <si>
    <t>청구성심병원</t>
  </si>
  <si>
    <t>원주센텀병원</t>
  </si>
  <si>
    <t>의료법인안은의료재단부평세림병원</t>
  </si>
  <si>
    <t>의료법인쓰임받는사람들의료재단(양주예쓰병원)</t>
  </si>
  <si>
    <t>의료법인한양의료재단</t>
  </si>
  <si>
    <t>의료법인석경의료재단</t>
  </si>
  <si>
    <t>10006513</t>
  </si>
  <si>
    <t>서울대병원</t>
  </si>
  <si>
    <t>서울노보스병원</t>
  </si>
  <si>
    <t>의료법인선덕의료재단대성병원</t>
  </si>
  <si>
    <t>뿌리병원</t>
  </si>
  <si>
    <t>10061981</t>
  </si>
  <si>
    <t>새손병원</t>
  </si>
  <si>
    <t>건양대학교부여병원</t>
  </si>
  <si>
    <t>서산중앙병원</t>
  </si>
  <si>
    <t>한빛병원</t>
  </si>
  <si>
    <t>운암한국병원</t>
  </si>
  <si>
    <t>광주한국병원</t>
  </si>
  <si>
    <t>동아병원</t>
  </si>
  <si>
    <t>고흥윤호21병원</t>
  </si>
  <si>
    <t>의료법인목포구암의료재단(목포중앙병원)</t>
  </si>
  <si>
    <t>의료법인규웅의료재단</t>
  </si>
  <si>
    <t>학교법인동의병원</t>
  </si>
  <si>
    <t>연세에스병원</t>
  </si>
  <si>
    <t>의료법인혜명심의료재단(울산병원)</t>
  </si>
  <si>
    <t>새천년병원</t>
  </si>
  <si>
    <t>새통영병원</t>
  </si>
  <si>
    <t>김해굿모닝병원</t>
  </si>
  <si>
    <t>씽크 외</t>
  </si>
  <si>
    <t>씽크</t>
  </si>
  <si>
    <t>경희대학교산학협력단</t>
  </si>
  <si>
    <t>20003461</t>
  </si>
  <si>
    <t>상남한마음병원</t>
  </si>
  <si>
    <t>10090989</t>
  </si>
  <si>
    <t>의정부을지대학교병원</t>
  </si>
  <si>
    <t>10068633</t>
  </si>
  <si>
    <t>세종충남대학교병원</t>
  </si>
  <si>
    <t>10065826</t>
  </si>
  <si>
    <t>재단법인정선의료재단</t>
  </si>
  <si>
    <t>10062812</t>
  </si>
  <si>
    <t>광혜병원</t>
  </si>
  <si>
    <t>10056145</t>
  </si>
  <si>
    <t>가자연세병원</t>
  </si>
  <si>
    <t>10049282</t>
  </si>
  <si>
    <t>양진의료재단</t>
  </si>
  <si>
    <t>10046288</t>
  </si>
  <si>
    <t>의료법인갑을의료재단갑을장유병원</t>
  </si>
  <si>
    <t>10041416</t>
  </si>
  <si>
    <t>한마음창원병원</t>
  </si>
  <si>
    <t>10041040</t>
  </si>
  <si>
    <t>삼성창원병원</t>
  </si>
  <si>
    <t>10040936</t>
  </si>
  <si>
    <t>부산의료원</t>
  </si>
  <si>
    <t>10040825</t>
  </si>
  <si>
    <t>부산대학병원</t>
  </si>
  <si>
    <t>10040526</t>
  </si>
  <si>
    <t>대구파티마병원</t>
  </si>
  <si>
    <t>10039205</t>
  </si>
  <si>
    <t>창원경상대학교병원</t>
  </si>
  <si>
    <t>10038406</t>
  </si>
  <si>
    <t>전남대학교병원</t>
  </si>
  <si>
    <t>10037916</t>
  </si>
  <si>
    <t>연세대학교의료원산학협력단</t>
  </si>
  <si>
    <t>10037386</t>
  </si>
  <si>
    <t>(의)영훈의료재단</t>
  </si>
  <si>
    <t>10036864</t>
  </si>
  <si>
    <t>서산의료원</t>
  </si>
  <si>
    <t>10036580</t>
  </si>
  <si>
    <t>홍성의료원</t>
  </si>
  <si>
    <t>10036577</t>
  </si>
  <si>
    <t>백제병원</t>
  </si>
  <si>
    <t>10036521</t>
  </si>
  <si>
    <t>학교법인을지학원대전을지대학교병원</t>
  </si>
  <si>
    <t>10036369</t>
  </si>
  <si>
    <t>근로복지공단태백중앙병원</t>
  </si>
  <si>
    <t>10035677</t>
  </si>
  <si>
    <t>원주세브란스병원</t>
  </si>
  <si>
    <t>10035560</t>
  </si>
  <si>
    <t>강원대병원</t>
  </si>
  <si>
    <t>10035469</t>
  </si>
  <si>
    <t>노원을지대학교병원</t>
  </si>
  <si>
    <t>10035308</t>
  </si>
  <si>
    <t>인제대학교상계백병원</t>
  </si>
  <si>
    <t>10035306</t>
  </si>
  <si>
    <t>강동성심병원</t>
  </si>
  <si>
    <t>10035065</t>
  </si>
  <si>
    <t>고려대학교의료원(안암)</t>
  </si>
  <si>
    <t>10034861</t>
  </si>
  <si>
    <t>경희의료원</t>
  </si>
  <si>
    <t>10034665</t>
  </si>
  <si>
    <t>서울특별시동부병원</t>
  </si>
  <si>
    <t>10034607</t>
  </si>
  <si>
    <t>(의료)길의료재단</t>
  </si>
  <si>
    <t>10033992</t>
  </si>
  <si>
    <t>용인세브란스병원</t>
  </si>
  <si>
    <t>10033727</t>
  </si>
  <si>
    <t>가톨릭대학교성빈센트병원</t>
  </si>
  <si>
    <t>10033723</t>
  </si>
  <si>
    <t>고대안산병원</t>
  </si>
  <si>
    <t>10033607</t>
  </si>
  <si>
    <t>부천순천향대학교의과대학부속병원</t>
  </si>
  <si>
    <t>10033272</t>
  </si>
  <si>
    <t>국군수도병원</t>
  </si>
  <si>
    <t>10033166</t>
  </si>
  <si>
    <t>분당서울대학교병원</t>
  </si>
  <si>
    <t>10033165</t>
  </si>
  <si>
    <t>의료법인명지의료재단</t>
  </si>
  <si>
    <t>10033021</t>
  </si>
  <si>
    <t>지방공사경기도이천의료원</t>
  </si>
  <si>
    <t>10032793</t>
  </si>
  <si>
    <t>아주대학교의료원</t>
  </si>
  <si>
    <t>10032609</t>
  </si>
  <si>
    <t>효산의료재단지샘병원</t>
  </si>
  <si>
    <t>10032486</t>
  </si>
  <si>
    <t>(의)효산의료재단안양샘병원</t>
  </si>
  <si>
    <t>10032480</t>
  </si>
  <si>
    <t>서울의료원</t>
  </si>
  <si>
    <t>10032209</t>
  </si>
  <si>
    <t>서울특별시서남병원</t>
  </si>
  <si>
    <t>10032052</t>
  </si>
  <si>
    <t>이화의대부속목동병원</t>
  </si>
  <si>
    <t>10032050</t>
  </si>
  <si>
    <t>고려대학교구로병원</t>
  </si>
  <si>
    <t>10031911</t>
  </si>
  <si>
    <t>신여성병원</t>
  </si>
  <si>
    <t>10029478</t>
  </si>
  <si>
    <t>굿모닝병원백송의료재단</t>
  </si>
  <si>
    <t>10026652</t>
  </si>
  <si>
    <t>원주의료원</t>
  </si>
  <si>
    <t>10019022</t>
  </si>
  <si>
    <t>강원특별자치도삼척의료원</t>
  </si>
  <si>
    <t>10017842</t>
  </si>
  <si>
    <t>서울특별시보라매병원</t>
  </si>
  <si>
    <t>10017023</t>
  </si>
  <si>
    <t>삼성미래여성병원</t>
  </si>
  <si>
    <t>10014604</t>
  </si>
  <si>
    <t>신촌세브란스병원</t>
  </si>
  <si>
    <t>10012184</t>
  </si>
  <si>
    <t>강남세브란스병원</t>
  </si>
  <si>
    <t>10011052</t>
  </si>
  <si>
    <t>경북대학교병원</t>
  </si>
  <si>
    <t>10008285</t>
  </si>
  <si>
    <t>세란병원</t>
  </si>
  <si>
    <t>10005629</t>
  </si>
  <si>
    <t>성가롤로병원</t>
  </si>
  <si>
    <t>10002945</t>
  </si>
  <si>
    <t>구분</t>
  </si>
  <si>
    <t>연월</t>
  </si>
  <si>
    <t>30일</t>
  </si>
  <si>
    <t>90일</t>
  </si>
  <si>
    <t>40일</t>
  </si>
  <si>
    <t>60일</t>
  </si>
  <si>
    <t>100일</t>
  </si>
  <si>
    <t>180일</t>
  </si>
  <si>
    <t>3개월</t>
  </si>
  <si>
    <t>합의된 기한 내</t>
  </si>
  <si>
    <t>구독형</t>
  </si>
  <si>
    <t>구축형</t>
  </si>
  <si>
    <t>분납형</t>
  </si>
  <si>
    <t>검사사용량</t>
  </si>
  <si>
    <t>매출</t>
  </si>
  <si>
    <t>A</t>
  </si>
  <si>
    <t>●</t>
  </si>
  <si>
    <t>서울1</t>
  </si>
  <si>
    <t>서울2</t>
  </si>
  <si>
    <t>C</t>
  </si>
  <si>
    <t>X</t>
  </si>
  <si>
    <t>지방2</t>
  </si>
  <si>
    <t>지방1</t>
  </si>
  <si>
    <t>30일</t>
    <phoneticPr fontId="2" type="noConversion"/>
  </si>
  <si>
    <t>총합계</t>
    <phoneticPr fontId="2" type="noConversion"/>
  </si>
  <si>
    <t>유한회사마이파트너(의료기기)-해피뷰병원(4099125282)</t>
    <phoneticPr fontId="2" type="noConversion"/>
  </si>
  <si>
    <t>30일</t>
    <phoneticPr fontId="2" type="noConversion"/>
  </si>
  <si>
    <t>리스</t>
    <phoneticPr fontId="2" type="noConversion"/>
  </si>
  <si>
    <t>(의)한마음의료재단제일병원(여수제일)</t>
    <phoneticPr fontId="2" type="noConversion"/>
  </si>
  <si>
    <t>의료법인대산의료재단 (익산병원)</t>
    <phoneticPr fontId="2" type="noConversion"/>
  </si>
  <si>
    <t>리스</t>
    <phoneticPr fontId="2" type="noConversion"/>
  </si>
  <si>
    <t>구독형</t>
    <phoneticPr fontId="2" type="noConversion"/>
  </si>
  <si>
    <t>센트럴병원(원주)</t>
    <phoneticPr fontId="2" type="noConversion"/>
  </si>
  <si>
    <t>의료법인성수의료재단(인천백병원)</t>
    <phoneticPr fontId="2" type="noConversion"/>
  </si>
  <si>
    <t>90일</t>
    <phoneticPr fontId="2" type="noConversion"/>
  </si>
  <si>
    <t>강영의료재단문산중앙병원</t>
    <phoneticPr fontId="2" type="noConversion"/>
  </si>
  <si>
    <t>의료법인춘곡의료재단</t>
    <phoneticPr fontId="2" type="noConversion"/>
  </si>
  <si>
    <t>통살적 결제조건</t>
    <phoneticPr fontId="2" type="noConversion"/>
  </si>
  <si>
    <t>카톨릭병원(대구)</t>
    <phoneticPr fontId="2" type="noConversion"/>
  </si>
  <si>
    <t>25.12.31</t>
    <phoneticPr fontId="2" type="noConversion"/>
  </si>
  <si>
    <t>의료법인영문의료재단(다보스)</t>
    <phoneticPr fontId="2" type="noConversion"/>
  </si>
  <si>
    <t>30일</t>
    <phoneticPr fontId="2" type="noConversion"/>
  </si>
  <si>
    <t>의료법인우리의료재단</t>
    <phoneticPr fontId="2" type="noConversion"/>
  </si>
  <si>
    <t>의료법인영동의료재단의정부백병원</t>
    <phoneticPr fontId="2" type="noConversion"/>
  </si>
  <si>
    <t>의료법인백성의료재단안중백병원</t>
    <phoneticPr fontId="2" type="noConversion"/>
  </si>
  <si>
    <t>수금률</t>
    <phoneticPr fontId="2" type="noConversion"/>
  </si>
  <si>
    <t>수금</t>
    <phoneticPr fontId="2" type="noConversion"/>
  </si>
  <si>
    <t>회전</t>
    <phoneticPr fontId="2" type="noConversion"/>
  </si>
  <si>
    <t>매출</t>
    <phoneticPr fontId="2" type="noConversion"/>
  </si>
  <si>
    <t>공사일</t>
    <phoneticPr fontId="2" type="noConversion"/>
  </si>
  <si>
    <t>계약일</t>
    <phoneticPr fontId="2" type="noConversion"/>
  </si>
  <si>
    <t>유형</t>
    <phoneticPr fontId="2" type="noConversion"/>
  </si>
  <si>
    <t>계약금액</t>
    <phoneticPr fontId="2" type="noConversion"/>
  </si>
  <si>
    <t>합계</t>
    <phoneticPr fontId="2" type="noConversion"/>
  </si>
  <si>
    <t>2026.01</t>
    <phoneticPr fontId="2" type="noConversion"/>
  </si>
  <si>
    <t>2025.12</t>
    <phoneticPr fontId="2" type="noConversion"/>
  </si>
  <si>
    <t>2025.11</t>
    <phoneticPr fontId="2" type="noConversion"/>
  </si>
  <si>
    <t>2025.10</t>
    <phoneticPr fontId="2" type="noConversion"/>
  </si>
  <si>
    <t>2025.09</t>
    <phoneticPr fontId="2" type="noConversion"/>
  </si>
  <si>
    <t>2025.08</t>
    <phoneticPr fontId="2" type="noConversion"/>
  </si>
  <si>
    <t>2025.07</t>
    <phoneticPr fontId="2" type="noConversion"/>
  </si>
  <si>
    <t>2025.06</t>
    <phoneticPr fontId="2" type="noConversion"/>
  </si>
  <si>
    <t>2025.05</t>
    <phoneticPr fontId="2" type="noConversion"/>
  </si>
  <si>
    <t>2025.04</t>
    <phoneticPr fontId="2" type="noConversion"/>
  </si>
  <si>
    <t>2025.03</t>
    <phoneticPr fontId="2" type="noConversion"/>
  </si>
  <si>
    <t>2025.02</t>
    <phoneticPr fontId="2" type="noConversion"/>
  </si>
  <si>
    <t>2025.01</t>
    <phoneticPr fontId="2" type="noConversion"/>
  </si>
  <si>
    <t>계약</t>
    <phoneticPr fontId="2" type="noConversion"/>
  </si>
  <si>
    <t>판매처명 (69처)</t>
    <phoneticPr fontId="2" type="noConversion"/>
  </si>
  <si>
    <t>구분</t>
    <phoneticPr fontId="2" type="noConversion"/>
  </si>
  <si>
    <t>[단위: 백 만, VAT포함]</t>
    <phoneticPr fontId="2" type="noConversion"/>
  </si>
  <si>
    <t>■ ThynC 거래처 매출 및 수금 현황</t>
    <phoneticPr fontId="2" type="noConversion"/>
  </si>
  <si>
    <t>의료법인건명의료재단</t>
  </si>
  <si>
    <t>의료법인명인의료재단</t>
  </si>
  <si>
    <t>(의)가은의료재단혁신성모병원</t>
  </si>
  <si>
    <t>2026.02</t>
    <phoneticPr fontId="2" type="noConversion"/>
  </si>
  <si>
    <t>한림대학교동탄성심병원</t>
  </si>
  <si>
    <t>(의)대진의료재단분당제생병원</t>
  </si>
  <si>
    <t>에스포항병원</t>
  </si>
  <si>
    <t>인제대학교일산백병원</t>
  </si>
  <si>
    <t>하남S병원</t>
  </si>
  <si>
    <t>KS병원</t>
  </si>
  <si>
    <t>2026.03</t>
    <phoneticPr fontId="2" type="noConversion"/>
  </si>
  <si>
    <t>매출</t>
    <phoneticPr fontId="2" type="noConversion"/>
  </si>
  <si>
    <t>A</t>
    <phoneticPr fontId="2" type="noConversion"/>
  </si>
  <si>
    <t>B</t>
    <phoneticPr fontId="2" type="noConversion"/>
  </si>
  <si>
    <t>C</t>
    <phoneticPr fontId="2" type="noConversion"/>
  </si>
  <si>
    <t>성장추세</t>
    <phoneticPr fontId="2" type="noConversion"/>
  </si>
  <si>
    <t>수금</t>
    <phoneticPr fontId="2" type="noConversion"/>
  </si>
  <si>
    <t>70%↑</t>
    <phoneticPr fontId="2" type="noConversion"/>
  </si>
  <si>
    <t>100%↑</t>
    <phoneticPr fontId="2" type="noConversion"/>
  </si>
  <si>
    <t>40%↑</t>
    <phoneticPr fontId="2" type="noConversion"/>
  </si>
  <si>
    <t>2. 평가기준</t>
    <phoneticPr fontId="2" type="noConversion"/>
  </si>
  <si>
    <t>70%↓(하향추세)</t>
    <phoneticPr fontId="2" type="noConversion"/>
  </si>
  <si>
    <t>3개년 기준
월단위</t>
    <phoneticPr fontId="2" type="noConversion"/>
  </si>
  <si>
    <t>계약
회전
기준</t>
    <phoneticPr fontId="2" type="noConversion"/>
  </si>
  <si>
    <t>구분</t>
    <phoneticPr fontId="2" type="noConversion"/>
  </si>
  <si>
    <t>기준</t>
    <phoneticPr fontId="2" type="noConversion"/>
  </si>
  <si>
    <t>등급</t>
    <phoneticPr fontId="2" type="noConversion"/>
  </si>
  <si>
    <r>
      <t>40%↓</t>
    </r>
    <r>
      <rPr>
        <sz val="10"/>
        <rFont val="Arial"/>
        <family val="2"/>
      </rPr>
      <t/>
    </r>
    <phoneticPr fontId="2" type="noConversion"/>
  </si>
  <si>
    <t>1. 업데이트 기준</t>
    <phoneticPr fontId="2" type="noConversion"/>
  </si>
  <si>
    <t xml:space="preserve"> - 세금계산서</t>
    <phoneticPr fontId="2" type="noConversion"/>
  </si>
  <si>
    <t xml:space="preserve"> - 수금</t>
    <phoneticPr fontId="2" type="noConversion"/>
  </si>
  <si>
    <t>1) 월단위 마감 후 보고</t>
    <phoneticPr fontId="2" type="noConversion"/>
  </si>
  <si>
    <t>2) 누락처 없도록 관리</t>
    <phoneticPr fontId="2" type="noConversion"/>
  </si>
  <si>
    <t xml:space="preserve"> - 세금계산서 발행기준</t>
    <phoneticPr fontId="2" type="noConversion"/>
  </si>
  <si>
    <t>3) 역발행 / 취소건</t>
    <phoneticPr fontId="2" type="noConversion"/>
  </si>
  <si>
    <t xml:space="preserve"> - 리스트 제외 (취소건) or 수정함</t>
    <phoneticPr fontId="2" type="noConversion"/>
  </si>
  <si>
    <t>4) 계약 항목</t>
    <phoneticPr fontId="2" type="noConversion"/>
  </si>
  <si>
    <t xml:space="preserve"> - 누락여부 체크 (계약서 기반)</t>
    <phoneticPr fontId="2" type="noConversion"/>
  </si>
  <si>
    <t>나눔과행복병원</t>
  </si>
  <si>
    <t>정병원</t>
  </si>
  <si>
    <t>해남우리병원</t>
  </si>
  <si>
    <t>의료법인센텀의료재단센텀종합병원</t>
  </si>
  <si>
    <t>의료법인대인의료재단다니엘병원</t>
  </si>
  <si>
    <t>(의)대아의료재단</t>
  </si>
  <si>
    <t>인천가톨릭학원가톨릭관동대학교국제성모병원</t>
  </si>
  <si>
    <t>아산충무병원</t>
  </si>
  <si>
    <t>원광대학교병원</t>
  </si>
  <si>
    <t>의료법인장호녹동현대병원</t>
  </si>
  <si>
    <t>전주고려병원</t>
  </si>
  <si>
    <t>추새로병원</t>
  </si>
  <si>
    <t>장튼위튼병원</t>
  </si>
  <si>
    <t>성지의료재단제천성지병원</t>
  </si>
  <si>
    <t>에이스병원(남양주)</t>
  </si>
  <si>
    <t>엘병원</t>
  </si>
  <si>
    <t>의료법인행도의료재단(해동병원)</t>
  </si>
  <si>
    <t>거인병원</t>
  </si>
  <si>
    <t>박철홍정형외과의원</t>
  </si>
  <si>
    <t>의료법인인덕의료재단복주회복병원</t>
  </si>
  <si>
    <t>더필병원</t>
  </si>
  <si>
    <t>다솜요양병원</t>
  </si>
  <si>
    <t>목표</t>
    <phoneticPr fontId="2" type="noConversion"/>
  </si>
  <si>
    <t>분납형</t>
    <phoneticPr fontId="2" type="noConversion"/>
  </si>
  <si>
    <t>분납형</t>
    <phoneticPr fontId="2" type="noConversion"/>
  </si>
  <si>
    <t>구독형</t>
    <phoneticPr fontId="2" type="noConversion"/>
  </si>
  <si>
    <t>구독형</t>
    <phoneticPr fontId="2" type="noConversion"/>
  </si>
  <si>
    <t>검사사용량</t>
    <phoneticPr fontId="2" type="noConversion"/>
  </si>
  <si>
    <t>구축형</t>
    <phoneticPr fontId="2" type="noConversion"/>
  </si>
  <si>
    <t>구축형</t>
    <phoneticPr fontId="2" type="noConversion"/>
  </si>
  <si>
    <t>2026.04</t>
    <phoneticPr fontId="2" type="noConversion"/>
  </si>
  <si>
    <t>2026.04</t>
    <phoneticPr fontId="2" type="noConversion"/>
  </si>
  <si>
    <t>2026.04</t>
    <phoneticPr fontId="2" type="noConversion"/>
  </si>
  <si>
    <t>년월</t>
  </si>
  <si>
    <t>본부</t>
  </si>
  <si>
    <t>본부명</t>
  </si>
  <si>
    <t>사업부</t>
  </si>
  <si>
    <t>사업부명</t>
  </si>
  <si>
    <t>사무소</t>
  </si>
  <si>
    <t>사무소명</t>
  </si>
  <si>
    <t>담당자</t>
  </si>
  <si>
    <t>담당자명</t>
  </si>
  <si>
    <t>실납처</t>
  </si>
  <si>
    <t>실납처명</t>
  </si>
  <si>
    <t>채널</t>
  </si>
  <si>
    <t>채널명</t>
  </si>
  <si>
    <t>매출금액</t>
  </si>
  <si>
    <t>세액</t>
  </si>
  <si>
    <t>매출금액VAT</t>
  </si>
  <si>
    <t>조회년월</t>
  </si>
  <si>
    <t>2026.01</t>
  </si>
  <si>
    <t>1201</t>
  </si>
  <si>
    <t>DW_ETC병원본부</t>
  </si>
  <si>
    <t>DW_서울1사업부</t>
  </si>
  <si>
    <t>A08</t>
  </si>
  <si>
    <t>DW_병원강원</t>
  </si>
  <si>
    <t>1201921327</t>
  </si>
  <si>
    <t>김한구</t>
  </si>
  <si>
    <t>DW11</t>
  </si>
  <si>
    <t>DW_씽크</t>
  </si>
  <si>
    <t>18743636.0</t>
  </si>
  <si>
    <t>1874364.0</t>
  </si>
  <si>
    <t>20618000.0</t>
  </si>
  <si>
    <t>1206</t>
  </si>
  <si>
    <t>DW_지방2사업부</t>
  </si>
  <si>
    <t>A50</t>
  </si>
  <si>
    <t>DW_병원광주2</t>
  </si>
  <si>
    <t>1201971917</t>
  </si>
  <si>
    <t>박경환</t>
  </si>
  <si>
    <t>10038694</t>
  </si>
  <si>
    <t>2670909.0</t>
  </si>
  <si>
    <t>267091.0</t>
  </si>
  <si>
    <t>2938000.0</t>
  </si>
  <si>
    <t>1202</t>
  </si>
  <si>
    <t>DW_서울2사업부</t>
  </si>
  <si>
    <t>A15</t>
  </si>
  <si>
    <t>DW_병원북부</t>
  </si>
  <si>
    <t>1202010052</t>
  </si>
  <si>
    <t>최동식</t>
  </si>
  <si>
    <t>9265455.0</t>
  </si>
  <si>
    <t>926545.0</t>
  </si>
  <si>
    <t>10192000.0</t>
  </si>
  <si>
    <t>A13</t>
  </si>
  <si>
    <t>DW_병원동부</t>
  </si>
  <si>
    <t>1202010139</t>
  </si>
  <si>
    <t>김형섭</t>
  </si>
  <si>
    <t>11417273.0</t>
  </si>
  <si>
    <t>1141727.0</t>
  </si>
  <si>
    <t>12559000.0</t>
  </si>
  <si>
    <t>10031830</t>
  </si>
  <si>
    <t>27466364.0</t>
  </si>
  <si>
    <t>2746636.0</t>
  </si>
  <si>
    <t>30213000.0</t>
  </si>
  <si>
    <t>1202010277</t>
  </si>
  <si>
    <t>주병옥</t>
  </si>
  <si>
    <t>10038259</t>
  </si>
  <si>
    <t>4868182.0</t>
  </si>
  <si>
    <t>486818.0</t>
  </si>
  <si>
    <t>5355000.0</t>
  </si>
  <si>
    <t>1202020104</t>
  </si>
  <si>
    <t>조현일</t>
  </si>
  <si>
    <t>4924545.0</t>
  </si>
  <si>
    <t>492455.0</t>
  </si>
  <si>
    <t>5417000.0</t>
  </si>
  <si>
    <t>10014653</t>
  </si>
  <si>
    <t>1200000.0</t>
  </si>
  <si>
    <t>120000.0</t>
  </si>
  <si>
    <t>1320000.0</t>
  </si>
  <si>
    <t>10035562</t>
  </si>
  <si>
    <t>2487273.0</t>
  </si>
  <si>
    <t>248727.0</t>
  </si>
  <si>
    <t>2736000.0</t>
  </si>
  <si>
    <t>A48</t>
  </si>
  <si>
    <t>DW_병원청주</t>
  </si>
  <si>
    <t>1202030161</t>
  </si>
  <si>
    <t>이헌찬</t>
  </si>
  <si>
    <t>10035927</t>
  </si>
  <si>
    <t>2777273.0</t>
  </si>
  <si>
    <t>277727.0</t>
  </si>
  <si>
    <t>3055000.0</t>
  </si>
  <si>
    <t>10081683</t>
  </si>
  <si>
    <t>229110700.0</t>
  </si>
  <si>
    <t>22911070.0</t>
  </si>
  <si>
    <t>252021770.0</t>
  </si>
  <si>
    <t>10053087</t>
  </si>
  <si>
    <t>178399600.0</t>
  </si>
  <si>
    <t>17839960.0</t>
  </si>
  <si>
    <t>196239560.0</t>
  </si>
  <si>
    <t>1202050193</t>
  </si>
  <si>
    <t>김태인</t>
  </si>
  <si>
    <t>1978182.0</t>
  </si>
  <si>
    <t>197818.0</t>
  </si>
  <si>
    <t>2176000.0</t>
  </si>
  <si>
    <t>1205</t>
  </si>
  <si>
    <t>DW_지방1사업부</t>
  </si>
  <si>
    <t>A39</t>
  </si>
  <si>
    <t>DW_병원경남1</t>
  </si>
  <si>
    <t>1202060127</t>
  </si>
  <si>
    <t>김상훈</t>
  </si>
  <si>
    <t>10041259</t>
  </si>
  <si>
    <t>1821818.0</t>
  </si>
  <si>
    <t>182182.0</t>
  </si>
  <si>
    <t>2004000.0</t>
  </si>
  <si>
    <t>B36</t>
  </si>
  <si>
    <t>DW_병원서울4</t>
  </si>
  <si>
    <t>1202060394</t>
  </si>
  <si>
    <t>최성철</t>
  </si>
  <si>
    <t>2479091.0</t>
  </si>
  <si>
    <t>247909.0</t>
  </si>
  <si>
    <t>2727000.0</t>
  </si>
  <si>
    <t>A44</t>
  </si>
  <si>
    <t>DW_병원부산2</t>
  </si>
  <si>
    <t>1202070238</t>
  </si>
  <si>
    <t>임지훈</t>
  </si>
  <si>
    <t>21276364.0</t>
  </si>
  <si>
    <t>2127636.0</t>
  </si>
  <si>
    <t>23404000.0</t>
  </si>
  <si>
    <t>30890909.0</t>
  </si>
  <si>
    <t>3089091.0</t>
  </si>
  <si>
    <t>33980000.0</t>
  </si>
  <si>
    <t>8741818.0</t>
  </si>
  <si>
    <t>874182.0</t>
  </si>
  <si>
    <t>9616000.0</t>
  </si>
  <si>
    <t>1202090319</t>
  </si>
  <si>
    <t>정두리</t>
  </si>
  <si>
    <t>12727273.0</t>
  </si>
  <si>
    <t>1272727.0</t>
  </si>
  <si>
    <t>14000000.0</t>
  </si>
  <si>
    <t>1202090320</t>
  </si>
  <si>
    <t>최송이</t>
  </si>
  <si>
    <t>4596364.0</t>
  </si>
  <si>
    <t>459636.0</t>
  </si>
  <si>
    <t>5056000.0</t>
  </si>
  <si>
    <t>1202100264</t>
  </si>
  <si>
    <t>이영준</t>
  </si>
  <si>
    <t>9739091.0</t>
  </si>
  <si>
    <t>973909.0</t>
  </si>
  <si>
    <t>10713000.0</t>
  </si>
  <si>
    <t>A49</t>
  </si>
  <si>
    <t>DW_병원광주1</t>
  </si>
  <si>
    <t>1202110328</t>
  </si>
  <si>
    <t>이용선</t>
  </si>
  <si>
    <t>10038463</t>
  </si>
  <si>
    <t>9355455.0</t>
  </si>
  <si>
    <t>935545.0</t>
  </si>
  <si>
    <t>10291000.0</t>
  </si>
  <si>
    <t>B27</t>
  </si>
  <si>
    <t>DW_병원서울2</t>
  </si>
  <si>
    <t>1202130108</t>
  </si>
  <si>
    <t>황진하</t>
  </si>
  <si>
    <t>10033160</t>
  </si>
  <si>
    <t>63471064.0</t>
  </si>
  <si>
    <t>6347106.0</t>
  </si>
  <si>
    <t>69818170.0</t>
  </si>
  <si>
    <t>1202130288</t>
  </si>
  <si>
    <t>이철민</t>
  </si>
  <si>
    <t>10014151</t>
  </si>
  <si>
    <t>37942727.0</t>
  </si>
  <si>
    <t>3794273.0</t>
  </si>
  <si>
    <t>41737000.0</t>
  </si>
  <si>
    <t>B32</t>
  </si>
  <si>
    <t>DW_병원경기1</t>
  </si>
  <si>
    <t>1202130295</t>
  </si>
  <si>
    <t>장철희</t>
  </si>
  <si>
    <t>10063044</t>
  </si>
  <si>
    <t>30443636.0</t>
  </si>
  <si>
    <t>3044364.0</t>
  </si>
  <si>
    <t>33488000.0</t>
  </si>
  <si>
    <t>A47</t>
  </si>
  <si>
    <t>DW_병원대전</t>
  </si>
  <si>
    <t>1202160354</t>
  </si>
  <si>
    <t>임혁</t>
  </si>
  <si>
    <t>19495455.0</t>
  </si>
  <si>
    <t>1949545.0</t>
  </si>
  <si>
    <t>21445000.0</t>
  </si>
  <si>
    <t>24899091.0</t>
  </si>
  <si>
    <t>2489909.0</t>
  </si>
  <si>
    <t>27389000.0</t>
  </si>
  <si>
    <t>B50</t>
  </si>
  <si>
    <t>DW_제주</t>
  </si>
  <si>
    <t>1202170107</t>
  </si>
  <si>
    <t>홍창범</t>
  </si>
  <si>
    <t>(의)한라의료재단</t>
  </si>
  <si>
    <t>28202727.0</t>
  </si>
  <si>
    <t>2820273.0</t>
  </si>
  <si>
    <t>31023000.0</t>
  </si>
  <si>
    <t>31738182.0</t>
  </si>
  <si>
    <t>3173818.0</t>
  </si>
  <si>
    <t>34912000.0</t>
  </si>
  <si>
    <t>1202170127</t>
  </si>
  <si>
    <t>손준혁</t>
  </si>
  <si>
    <t>18792727.0</t>
  </si>
  <si>
    <t>1879273.0</t>
  </si>
  <si>
    <t>20672000.0</t>
  </si>
  <si>
    <t>1202170151</t>
  </si>
  <si>
    <t>조현준</t>
  </si>
  <si>
    <t>35660000.0</t>
  </si>
  <si>
    <t>3566000.0</t>
  </si>
  <si>
    <t>39226000.0</t>
  </si>
  <si>
    <t>B48</t>
  </si>
  <si>
    <t>DW_병원중부1</t>
  </si>
  <si>
    <t>1202170163</t>
  </si>
  <si>
    <t>이기범</t>
  </si>
  <si>
    <t>4530000.0</t>
  </si>
  <si>
    <t>453000.0</t>
  </si>
  <si>
    <t>4983000.0</t>
  </si>
  <si>
    <t>1202180076</t>
  </si>
  <si>
    <t>이선구</t>
  </si>
  <si>
    <t>10032898</t>
  </si>
  <si>
    <t>4545455.0</t>
  </si>
  <si>
    <t>454545.0</t>
  </si>
  <si>
    <t>5000000.0</t>
  </si>
  <si>
    <t>B37</t>
  </si>
  <si>
    <t>DW_병원남부1</t>
  </si>
  <si>
    <t>1202180109</t>
  </si>
  <si>
    <t>임효섭</t>
  </si>
  <si>
    <t>9810000.0</t>
  </si>
  <si>
    <t>981000.0</t>
  </si>
  <si>
    <t>10791000.0</t>
  </si>
  <si>
    <t>1202180451</t>
  </si>
  <si>
    <t>김종현</t>
  </si>
  <si>
    <t>10046731</t>
  </si>
  <si>
    <t>의료법인규웅의료재단(대청병원)</t>
  </si>
  <si>
    <t>14065455.0</t>
  </si>
  <si>
    <t>1406545.0</t>
  </si>
  <si>
    <t>15472000.0</t>
  </si>
  <si>
    <t>B35</t>
  </si>
  <si>
    <t>DW_병원서울3</t>
  </si>
  <si>
    <t>1202180470</t>
  </si>
  <si>
    <t>왕유찬</t>
  </si>
  <si>
    <t>6429091.0</t>
  </si>
  <si>
    <t>642909.0</t>
  </si>
  <si>
    <t>7072000.0</t>
  </si>
  <si>
    <t>1202190091</t>
  </si>
  <si>
    <t>이삭</t>
  </si>
  <si>
    <t>42762727.0</t>
  </si>
  <si>
    <t>4276273.0</t>
  </si>
  <si>
    <t>47039000.0</t>
  </si>
  <si>
    <t>B33</t>
  </si>
  <si>
    <t>DW_병원경기2</t>
  </si>
  <si>
    <t>1202190156</t>
  </si>
  <si>
    <t>김남진</t>
  </si>
  <si>
    <t>12509091.0</t>
  </si>
  <si>
    <t>1250909.0</t>
  </si>
  <si>
    <t>13760000.0</t>
  </si>
  <si>
    <t>1202190231</t>
  </si>
  <si>
    <t>주민규</t>
  </si>
  <si>
    <t>200000000.0</t>
  </si>
  <si>
    <t>20000000.0</t>
  </si>
  <si>
    <t>220000000.0</t>
  </si>
  <si>
    <t>1202200064</t>
  </si>
  <si>
    <t>허재원</t>
  </si>
  <si>
    <t>10041441</t>
  </si>
  <si>
    <t>1294545.0</t>
  </si>
  <si>
    <t>129455.0</t>
  </si>
  <si>
    <t>1424000.0</t>
  </si>
  <si>
    <t>1202200125</t>
  </si>
  <si>
    <t>전경진</t>
  </si>
  <si>
    <t>10041141</t>
  </si>
  <si>
    <t>10690909.0</t>
  </si>
  <si>
    <t>1069091.0</t>
  </si>
  <si>
    <t>11760000.0</t>
  </si>
  <si>
    <t>1202200180</t>
  </si>
  <si>
    <t>정지우</t>
  </si>
  <si>
    <t>12620909.0</t>
  </si>
  <si>
    <t>1262091.0</t>
  </si>
  <si>
    <t>13883000.0</t>
  </si>
  <si>
    <t>10036531</t>
  </si>
  <si>
    <t>2836364.0</t>
  </si>
  <si>
    <t>283636.0</t>
  </si>
  <si>
    <t>3120000.0</t>
  </si>
  <si>
    <t>A41</t>
  </si>
  <si>
    <t>DW_병원대구1</t>
  </si>
  <si>
    <t>1202210018</t>
  </si>
  <si>
    <t>오성훈</t>
  </si>
  <si>
    <t>20358182.0</t>
  </si>
  <si>
    <t>2035818.0</t>
  </si>
  <si>
    <t>22394000.0</t>
  </si>
  <si>
    <t>3827273.0</t>
  </si>
  <si>
    <t>382727.0</t>
  </si>
  <si>
    <t>4210000.0</t>
  </si>
  <si>
    <t>1202210131</t>
  </si>
  <si>
    <t>정지현</t>
  </si>
  <si>
    <t>10036639</t>
  </si>
  <si>
    <t>812727.0</t>
  </si>
  <si>
    <t>81273.0</t>
  </si>
  <si>
    <t>894000.0</t>
  </si>
  <si>
    <t>1202210183</t>
  </si>
  <si>
    <t>박지우</t>
  </si>
  <si>
    <t>11745455.0</t>
  </si>
  <si>
    <t>1174545.0</t>
  </si>
  <si>
    <t>12920000.0</t>
  </si>
  <si>
    <t>1202210198</t>
  </si>
  <si>
    <t>문치호</t>
  </si>
  <si>
    <t>10034942</t>
  </si>
  <si>
    <t>3759091.0</t>
  </si>
  <si>
    <t>375909.0</t>
  </si>
  <si>
    <t>4135000.0</t>
  </si>
  <si>
    <t>1202210279</t>
  </si>
  <si>
    <t>이진구</t>
  </si>
  <si>
    <t>6410000.0</t>
  </si>
  <si>
    <t>641000.0</t>
  </si>
  <si>
    <t>7051000.0</t>
  </si>
  <si>
    <t>A42</t>
  </si>
  <si>
    <t>DW_병원대구2</t>
  </si>
  <si>
    <t>1202220106</t>
  </si>
  <si>
    <t>이지홍</t>
  </si>
  <si>
    <t>10040095</t>
  </si>
  <si>
    <t>6576364.0</t>
  </si>
  <si>
    <t>657636.0</t>
  </si>
  <si>
    <t>7234000.0</t>
  </si>
  <si>
    <t>B49</t>
  </si>
  <si>
    <t>DW_병원중부2</t>
  </si>
  <si>
    <t>1202220222</t>
  </si>
  <si>
    <t>이정환</t>
  </si>
  <si>
    <t>5661818.0</t>
  </si>
  <si>
    <t>566182.0</t>
  </si>
  <si>
    <t>6228000.0</t>
  </si>
  <si>
    <t>A12</t>
  </si>
  <si>
    <t>DW_병원경인</t>
  </si>
  <si>
    <t>1202220333</t>
  </si>
  <si>
    <t>이효준</t>
  </si>
  <si>
    <t>35667273.0</t>
  </si>
  <si>
    <t>3566727.0</t>
  </si>
  <si>
    <t>39234000.0</t>
  </si>
  <si>
    <t>1202220541</t>
  </si>
  <si>
    <t>남규진</t>
  </si>
  <si>
    <t>8631818.0</t>
  </si>
  <si>
    <t>863182.0</t>
  </si>
  <si>
    <t>9495000.0</t>
  </si>
  <si>
    <t>A43</t>
  </si>
  <si>
    <t>DW_병원부산1</t>
  </si>
  <si>
    <t>1202220556</t>
  </si>
  <si>
    <t>박큰솔</t>
  </si>
  <si>
    <t>4851818.0</t>
  </si>
  <si>
    <t>485182.0</t>
  </si>
  <si>
    <t>5337000.0</t>
  </si>
  <si>
    <t>A45</t>
  </si>
  <si>
    <t>DW_병원부산3</t>
  </si>
  <si>
    <t>1202220570</t>
  </si>
  <si>
    <t>박규태</t>
  </si>
  <si>
    <t>10103688</t>
  </si>
  <si>
    <t>1170000.0</t>
  </si>
  <si>
    <t>117000.0</t>
  </si>
  <si>
    <t>1287000.0</t>
  </si>
  <si>
    <t>1202220579</t>
  </si>
  <si>
    <t>황지현</t>
  </si>
  <si>
    <t>세웅종합병원-폐업</t>
  </si>
  <si>
    <t>28681818.0</t>
  </si>
  <si>
    <t>2868182.0</t>
  </si>
  <si>
    <t>31550000.0</t>
  </si>
  <si>
    <t>1202220603</t>
  </si>
  <si>
    <t>김주영</t>
  </si>
  <si>
    <t>의료법인온그룹의료재단온병원</t>
  </si>
  <si>
    <t>8420000.0</t>
  </si>
  <si>
    <t>842000.0</t>
  </si>
  <si>
    <t>9262000.0</t>
  </si>
  <si>
    <t>1202230182</t>
  </si>
  <si>
    <t>김두성</t>
  </si>
  <si>
    <t>28477455.0</t>
  </si>
  <si>
    <t>2847745.0</t>
  </si>
  <si>
    <t>31325200.0</t>
  </si>
  <si>
    <t>1202240111</t>
  </si>
  <si>
    <t>노성우</t>
  </si>
  <si>
    <t>6486364.0</t>
  </si>
  <si>
    <t>648636.0</t>
  </si>
  <si>
    <t>7135000.0</t>
  </si>
  <si>
    <t>1202240399</t>
  </si>
  <si>
    <t>이창민</t>
  </si>
  <si>
    <t>10021506</t>
  </si>
  <si>
    <t>6086364.0</t>
  </si>
  <si>
    <t>608636.0</t>
  </si>
  <si>
    <t>6695000.0</t>
  </si>
  <si>
    <t>11238182.0</t>
  </si>
  <si>
    <t>1123818.0</t>
  </si>
  <si>
    <t>12362000.0</t>
  </si>
  <si>
    <t>1202500781</t>
  </si>
  <si>
    <t>김혜원</t>
  </si>
  <si>
    <t>26746364.0</t>
  </si>
  <si>
    <t>2674636.0</t>
  </si>
  <si>
    <t>29421000.0</t>
  </si>
  <si>
    <t>2026.02</t>
  </si>
  <si>
    <t>24995455.0</t>
  </si>
  <si>
    <t>2499545.0</t>
  </si>
  <si>
    <t>27495000.0</t>
  </si>
  <si>
    <t>17543636.0</t>
  </si>
  <si>
    <t>1754364.0</t>
  </si>
  <si>
    <t>19298000.0</t>
  </si>
  <si>
    <t>1202000140</t>
  </si>
  <si>
    <t>양기호</t>
  </si>
  <si>
    <t>10014574</t>
  </si>
  <si>
    <t>24354545.0</t>
  </si>
  <si>
    <t>2435455.0</t>
  </si>
  <si>
    <t>26790000.0</t>
  </si>
  <si>
    <t>10234545.0</t>
  </si>
  <si>
    <t>1023455.0</t>
  </si>
  <si>
    <t>11258000.0</t>
  </si>
  <si>
    <t>36890000.0</t>
  </si>
  <si>
    <t>3689000.0</t>
  </si>
  <si>
    <t>40579000.0</t>
  </si>
  <si>
    <t>9031818.0</t>
  </si>
  <si>
    <t>903182.0</t>
  </si>
  <si>
    <t>9935000.0</t>
  </si>
  <si>
    <t>7382727.0</t>
  </si>
  <si>
    <t>738273.0</t>
  </si>
  <si>
    <t>8121000.0</t>
  </si>
  <si>
    <t>2446364.0</t>
  </si>
  <si>
    <t>244636.0</t>
  </si>
  <si>
    <t>2691000.0</t>
  </si>
  <si>
    <t>16419091.0</t>
  </si>
  <si>
    <t>1641909.0</t>
  </si>
  <si>
    <t>18061000.0</t>
  </si>
  <si>
    <t>5382727.0</t>
  </si>
  <si>
    <t>538273.0</t>
  </si>
  <si>
    <t>5921000.0</t>
  </si>
  <si>
    <t>11085455.0</t>
  </si>
  <si>
    <t>1108545.0</t>
  </si>
  <si>
    <t>12194000.0</t>
  </si>
  <si>
    <t>1318182.0</t>
  </si>
  <si>
    <t>131818.0</t>
  </si>
  <si>
    <t>1450000.0</t>
  </si>
  <si>
    <t>2518182.0</t>
  </si>
  <si>
    <t>251818.0</t>
  </si>
  <si>
    <t>2770000.0</t>
  </si>
  <si>
    <t>30180000.0</t>
  </si>
  <si>
    <t>3018000.0</t>
  </si>
  <si>
    <t>33198000.0</t>
  </si>
  <si>
    <t>7973636.0</t>
  </si>
  <si>
    <t>797364.0</t>
  </si>
  <si>
    <t>8771000.0</t>
  </si>
  <si>
    <t>37970909.0</t>
  </si>
  <si>
    <t>3797091.0</t>
  </si>
  <si>
    <t>41768000.0</t>
  </si>
  <si>
    <t>1202080317</t>
  </si>
  <si>
    <t>김두환</t>
  </si>
  <si>
    <t>10040639</t>
  </si>
  <si>
    <t>8611818.0</t>
  </si>
  <si>
    <t>861182.0</t>
  </si>
  <si>
    <t>9473000.0</t>
  </si>
  <si>
    <t>1202090029</t>
  </si>
  <si>
    <t>김경열</t>
  </si>
  <si>
    <t>921818.0</t>
  </si>
  <si>
    <t>92182.0</t>
  </si>
  <si>
    <t>1014000.0</t>
  </si>
  <si>
    <t>14847273.0</t>
  </si>
  <si>
    <t>1484727.0</t>
  </si>
  <si>
    <t>16332000.0</t>
  </si>
  <si>
    <t>10002829</t>
  </si>
  <si>
    <t>4829091.0</t>
  </si>
  <si>
    <t>482909.0</t>
  </si>
  <si>
    <t>5312000.0</t>
  </si>
  <si>
    <t>2923636.0</t>
  </si>
  <si>
    <t>292364.0</t>
  </si>
  <si>
    <t>3216000.0</t>
  </si>
  <si>
    <t>10038249</t>
  </si>
  <si>
    <t>14530909.0</t>
  </si>
  <si>
    <t>1453091.0</t>
  </si>
  <si>
    <t>15984000.0</t>
  </si>
  <si>
    <t>11910000.0</t>
  </si>
  <si>
    <t>1191000.0</t>
  </si>
  <si>
    <t>13101000.0</t>
  </si>
  <si>
    <t>10579091.0</t>
  </si>
  <si>
    <t>1057909.0</t>
  </si>
  <si>
    <t>11637000.0</t>
  </si>
  <si>
    <t>48664593.0</t>
  </si>
  <si>
    <t>4866459.0</t>
  </si>
  <si>
    <t>53531052.0</t>
  </si>
  <si>
    <t>13151818.0</t>
  </si>
  <si>
    <t>1315182.0</t>
  </si>
  <si>
    <t>14467000.0</t>
  </si>
  <si>
    <t>29098182.0</t>
  </si>
  <si>
    <t>2909818.0</t>
  </si>
  <si>
    <t>32008000.0</t>
  </si>
  <si>
    <t>24214545.0</t>
  </si>
  <si>
    <t>2421455.0</t>
  </si>
  <si>
    <t>26636000.0</t>
  </si>
  <si>
    <t>12329091.0</t>
  </si>
  <si>
    <t>1232909.0</t>
  </si>
  <si>
    <t>13562000.0</t>
  </si>
  <si>
    <t>29781818.0</t>
  </si>
  <si>
    <t>2978182.0</t>
  </si>
  <si>
    <t>32760000.0</t>
  </si>
  <si>
    <t>29151818.0</t>
  </si>
  <si>
    <t>2915182.0</t>
  </si>
  <si>
    <t>32067000.0</t>
  </si>
  <si>
    <t>23948182.0</t>
  </si>
  <si>
    <t>2394818.0</t>
  </si>
  <si>
    <t>26343000.0</t>
  </si>
  <si>
    <t>33580909.0</t>
  </si>
  <si>
    <t>3358091.0</t>
  </si>
  <si>
    <t>36939000.0</t>
  </si>
  <si>
    <t>7460909.0</t>
  </si>
  <si>
    <t>746091.0</t>
  </si>
  <si>
    <t>8207000.0</t>
  </si>
  <si>
    <t>A11</t>
  </si>
  <si>
    <t>DW_병원인천</t>
  </si>
  <si>
    <t>1202180073</t>
  </si>
  <si>
    <t>나천</t>
  </si>
  <si>
    <t>10032388</t>
  </si>
  <si>
    <t>3554545.0</t>
  </si>
  <si>
    <t>355455.0</t>
  </si>
  <si>
    <t>3910000.0</t>
  </si>
  <si>
    <t>14166364.0</t>
  </si>
  <si>
    <t>1416636.0</t>
  </si>
  <si>
    <t>15583000.0</t>
  </si>
  <si>
    <t>38327273.0</t>
  </si>
  <si>
    <t>3832727.0</t>
  </si>
  <si>
    <t>42160000.0</t>
  </si>
  <si>
    <t>8683636.0</t>
  </si>
  <si>
    <t>868364.0</t>
  </si>
  <si>
    <t>9552000.0</t>
  </si>
  <si>
    <t>35258182.0</t>
  </si>
  <si>
    <t>3525818.0</t>
  </si>
  <si>
    <t>38784000.0</t>
  </si>
  <si>
    <t>11374545.0</t>
  </si>
  <si>
    <t>1137455.0</t>
  </si>
  <si>
    <t>12512000.0</t>
  </si>
  <si>
    <t>10033740</t>
  </si>
  <si>
    <t>299245454.0</t>
  </si>
  <si>
    <t>29924546.0</t>
  </si>
  <si>
    <t>329170000.0</t>
  </si>
  <si>
    <t>1047273.0</t>
  </si>
  <si>
    <t>104727.0</t>
  </si>
  <si>
    <t>1152000.0</t>
  </si>
  <si>
    <t>12800000.0</t>
  </si>
  <si>
    <t>1280000.0</t>
  </si>
  <si>
    <t>14080000.0</t>
  </si>
  <si>
    <t>4467273.0</t>
  </si>
  <si>
    <t>446727.0</t>
  </si>
  <si>
    <t>4914000.0</t>
  </si>
  <si>
    <t>12501818.0</t>
  </si>
  <si>
    <t>1250182.0</t>
  </si>
  <si>
    <t>13752000.0</t>
  </si>
  <si>
    <t>5447273.0</t>
  </si>
  <si>
    <t>544727.0</t>
  </si>
  <si>
    <t>5992000.0</t>
  </si>
  <si>
    <t>19153636.0</t>
  </si>
  <si>
    <t>1915364.0</t>
  </si>
  <si>
    <t>21069000.0</t>
  </si>
  <si>
    <t>1202210096</t>
  </si>
  <si>
    <t>임채환</t>
  </si>
  <si>
    <t>938182.0</t>
  </si>
  <si>
    <t>93818.0</t>
  </si>
  <si>
    <t>1032000.0</t>
  </si>
  <si>
    <t>13090909.0</t>
  </si>
  <si>
    <t>1309091.0</t>
  </si>
  <si>
    <t>14400000.0</t>
  </si>
  <si>
    <t>10670909.0</t>
  </si>
  <si>
    <t>1067091.0</t>
  </si>
  <si>
    <t>11738000.0</t>
  </si>
  <si>
    <t>13890000.0</t>
  </si>
  <si>
    <t>1389000.0</t>
  </si>
  <si>
    <t>15279000.0</t>
  </si>
  <si>
    <t>14320909.0</t>
  </si>
  <si>
    <t>1432091.0</t>
  </si>
  <si>
    <t>15753000.0</t>
  </si>
  <si>
    <t>1202210586</t>
  </si>
  <si>
    <t>김탄</t>
  </si>
  <si>
    <t>10038148</t>
  </si>
  <si>
    <t>1230000.0</t>
  </si>
  <si>
    <t>123000.0</t>
  </si>
  <si>
    <t>1353000.0</t>
  </si>
  <si>
    <t>A03</t>
  </si>
  <si>
    <t>DW_병원서울1</t>
  </si>
  <si>
    <t>1202220104</t>
  </si>
  <si>
    <t>김태완</t>
  </si>
  <si>
    <t>10075257</t>
  </si>
  <si>
    <t>1803636.0</t>
  </si>
  <si>
    <t>180364.0</t>
  </si>
  <si>
    <t>1984000.0</t>
  </si>
  <si>
    <t>6494545.0</t>
  </si>
  <si>
    <t>649455.0</t>
  </si>
  <si>
    <t>7144000.0</t>
  </si>
  <si>
    <t>9522727.0</t>
  </si>
  <si>
    <t>952273.0</t>
  </si>
  <si>
    <t>10475000.0</t>
  </si>
  <si>
    <t>28694545.0</t>
  </si>
  <si>
    <t>2869455.0</t>
  </si>
  <si>
    <t>31564000.0</t>
  </si>
  <si>
    <t>6299091.0</t>
  </si>
  <si>
    <t>629909.0</t>
  </si>
  <si>
    <t>6929000.0</t>
  </si>
  <si>
    <t>5067273.0</t>
  </si>
  <si>
    <t>506727.0</t>
  </si>
  <si>
    <t>5574000.0</t>
  </si>
  <si>
    <t>11239091.0</t>
  </si>
  <si>
    <t>1123909.0</t>
  </si>
  <si>
    <t>12363000.0</t>
  </si>
  <si>
    <t>28692727.0</t>
  </si>
  <si>
    <t>2869273.0</t>
  </si>
  <si>
    <t>31562000.0</t>
  </si>
  <si>
    <t>12616364.0</t>
  </si>
  <si>
    <t>1261636.0</t>
  </si>
  <si>
    <t>13878000.0</t>
  </si>
  <si>
    <t>18392000.0</t>
  </si>
  <si>
    <t>1839200.0</t>
  </si>
  <si>
    <t>20231200.0</t>
  </si>
  <si>
    <t>1202230196</t>
  </si>
  <si>
    <t>남용진</t>
  </si>
  <si>
    <t>10033023</t>
  </si>
  <si>
    <t>23772727.0</t>
  </si>
  <si>
    <t>2377273.0</t>
  </si>
  <si>
    <t>26150000.0</t>
  </si>
  <si>
    <t>6288182.0</t>
  </si>
  <si>
    <t>628818.0</t>
  </si>
  <si>
    <t>6917000.0</t>
  </si>
  <si>
    <t>DW_ETC로컬본부</t>
  </si>
  <si>
    <t>1208</t>
  </si>
  <si>
    <t>DW_지방4사업부</t>
  </si>
  <si>
    <t>A68</t>
  </si>
  <si>
    <t>DW_대전2</t>
  </si>
  <si>
    <t>1202240259</t>
  </si>
  <si>
    <t>권동후</t>
  </si>
  <si>
    <t>2103636.0</t>
  </si>
  <si>
    <t>210364.0</t>
  </si>
  <si>
    <t>2314000.0</t>
  </si>
  <si>
    <t>14425455.0</t>
  </si>
  <si>
    <t>1442545.0</t>
  </si>
  <si>
    <t>15868000.0</t>
  </si>
  <si>
    <t>2732727.0</t>
  </si>
  <si>
    <t>273273.0</t>
  </si>
  <si>
    <t>3006000.0</t>
  </si>
  <si>
    <t>1202500460</t>
  </si>
  <si>
    <t>정성훈</t>
  </si>
  <si>
    <t>10040990</t>
  </si>
  <si>
    <t>872727.0</t>
  </si>
  <si>
    <t>87273.0</t>
  </si>
  <si>
    <t>960000.0</t>
  </si>
  <si>
    <t>19737273.0</t>
  </si>
  <si>
    <t>1973727.0</t>
  </si>
  <si>
    <t>21711000.0</t>
  </si>
  <si>
    <t>2026.03</t>
  </si>
  <si>
    <t>10038792</t>
  </si>
  <si>
    <t>966364.0</t>
  </si>
  <si>
    <t>96636.0</t>
  </si>
  <si>
    <t>1063000.0</t>
  </si>
  <si>
    <t>15540909.0</t>
  </si>
  <si>
    <t>1554091.0</t>
  </si>
  <si>
    <t>17095000.0</t>
  </si>
  <si>
    <t>13065455.0</t>
  </si>
  <si>
    <t>1306545.0</t>
  </si>
  <si>
    <t>14372000.0</t>
  </si>
  <si>
    <t>26133636.0</t>
  </si>
  <si>
    <t>2613364.0</t>
  </si>
  <si>
    <t>28747000.0</t>
  </si>
  <si>
    <t>9868182.0</t>
  </si>
  <si>
    <t>986818.0</t>
  </si>
  <si>
    <t>10855000.0</t>
  </si>
  <si>
    <t>31994545.0</t>
  </si>
  <si>
    <t>3199455.0</t>
  </si>
  <si>
    <t>35194000.0</t>
  </si>
  <si>
    <t>4944545.0</t>
  </si>
  <si>
    <t>494455.0</t>
  </si>
  <si>
    <t>5439000.0</t>
  </si>
  <si>
    <t>9429091.0</t>
  </si>
  <si>
    <t>942909.0</t>
  </si>
  <si>
    <t>10372000.0</t>
  </si>
  <si>
    <t>10019113</t>
  </si>
  <si>
    <t>860909.0</t>
  </si>
  <si>
    <t>86091.0</t>
  </si>
  <si>
    <t>947000.0</t>
  </si>
  <si>
    <t>1501818.0</t>
  </si>
  <si>
    <t>150182.0</t>
  </si>
  <si>
    <t>1652000.0</t>
  </si>
  <si>
    <t>3747273.0</t>
  </si>
  <si>
    <t>374727.0</t>
  </si>
  <si>
    <t>4122000.0</t>
  </si>
  <si>
    <t>16250909.0</t>
  </si>
  <si>
    <t>1625091.0</t>
  </si>
  <si>
    <t>17876000.0</t>
  </si>
  <si>
    <t>1202020123</t>
  </si>
  <si>
    <t>황수경</t>
  </si>
  <si>
    <t>10050471</t>
  </si>
  <si>
    <t>1530000.0</t>
  </si>
  <si>
    <t>153000.0</t>
  </si>
  <si>
    <t>1683000.0</t>
  </si>
  <si>
    <t>A65</t>
  </si>
  <si>
    <t>DW_광주1</t>
  </si>
  <si>
    <t>1202020333</t>
  </si>
  <si>
    <t>조문성</t>
  </si>
  <si>
    <t>10091292</t>
  </si>
  <si>
    <t>1905455.0</t>
  </si>
  <si>
    <t>190545.0</t>
  </si>
  <si>
    <t>2096000.0</t>
  </si>
  <si>
    <t>9147273.0</t>
  </si>
  <si>
    <t>914727.0</t>
  </si>
  <si>
    <t>10062000.0</t>
  </si>
  <si>
    <t>1832727.0</t>
  </si>
  <si>
    <t>183273.0</t>
  </si>
  <si>
    <t>2016000.0</t>
  </si>
  <si>
    <t>10068728</t>
  </si>
  <si>
    <t>9730909.0</t>
  </si>
  <si>
    <t>973091.0</t>
  </si>
  <si>
    <t>10704000.0</t>
  </si>
  <si>
    <t>4838182.0</t>
  </si>
  <si>
    <t>483818.0</t>
  </si>
  <si>
    <t>5322000.0</t>
  </si>
  <si>
    <t>2863636.0</t>
  </si>
  <si>
    <t>286364.0</t>
  </si>
  <si>
    <t>3150000.0</t>
  </si>
  <si>
    <t>1202060441</t>
  </si>
  <si>
    <t>김정란</t>
  </si>
  <si>
    <t>10026494</t>
  </si>
  <si>
    <t>6361818.0</t>
  </si>
  <si>
    <t>636182.0</t>
  </si>
  <si>
    <t>6998000.0</t>
  </si>
  <si>
    <t>7290909.0</t>
  </si>
  <si>
    <t>729091.0</t>
  </si>
  <si>
    <t>8020000.0</t>
  </si>
  <si>
    <t>41894545.0</t>
  </si>
  <si>
    <t>4189455.0</t>
  </si>
  <si>
    <t>46084000.0</t>
  </si>
  <si>
    <t>22005455.0</t>
  </si>
  <si>
    <t>2200545.0</t>
  </si>
  <si>
    <t>24206000.0</t>
  </si>
  <si>
    <t>7462727.0</t>
  </si>
  <si>
    <t>746273.0</t>
  </si>
  <si>
    <t>8209000.0</t>
  </si>
  <si>
    <t>1146364.0</t>
  </si>
  <si>
    <t>114636.0</t>
  </si>
  <si>
    <t>1261000.0</t>
  </si>
  <si>
    <t>10100887</t>
  </si>
  <si>
    <t>유한회사마이파트너(의료기기)</t>
  </si>
  <si>
    <t>22654545.0</t>
  </si>
  <si>
    <t>2265455.0</t>
  </si>
  <si>
    <t>24920000.0</t>
  </si>
  <si>
    <t>23980000.0</t>
  </si>
  <si>
    <t>2398000.0</t>
  </si>
  <si>
    <t>26378000.0</t>
  </si>
  <si>
    <t>22892727.0</t>
  </si>
  <si>
    <t>2289273.0</t>
  </si>
  <si>
    <t>25182000.0</t>
  </si>
  <si>
    <t>4174545.0</t>
  </si>
  <si>
    <t>417455.0</t>
  </si>
  <si>
    <t>4592000.0</t>
  </si>
  <si>
    <t>19287273.0</t>
  </si>
  <si>
    <t>1928727.0</t>
  </si>
  <si>
    <t>21216000.0</t>
  </si>
  <si>
    <t>1202100055</t>
  </si>
  <si>
    <t>이승헌</t>
  </si>
  <si>
    <t>10015909</t>
  </si>
  <si>
    <t>8130909.0</t>
  </si>
  <si>
    <t>813091.0</t>
  </si>
  <si>
    <t>8944000.0</t>
  </si>
  <si>
    <t>8931818.0</t>
  </si>
  <si>
    <t>893182.0</t>
  </si>
  <si>
    <t>9825000.0</t>
  </si>
  <si>
    <t>1202100291</t>
  </si>
  <si>
    <t>이광현</t>
  </si>
  <si>
    <t>10042063</t>
  </si>
  <si>
    <t>1363636.0</t>
  </si>
  <si>
    <t>136364.0</t>
  </si>
  <si>
    <t>1500000.0</t>
  </si>
  <si>
    <t>6542727.0</t>
  </si>
  <si>
    <t>654273.0</t>
  </si>
  <si>
    <t>7197000.0</t>
  </si>
  <si>
    <t>10038513</t>
  </si>
  <si>
    <t>1158182.0</t>
  </si>
  <si>
    <t>115818.0</t>
  </si>
  <si>
    <t>1274000.0</t>
  </si>
  <si>
    <t>63513992.0</t>
  </si>
  <si>
    <t>6351399.0</t>
  </si>
  <si>
    <t>69865391.0</t>
  </si>
  <si>
    <t>14640000.0</t>
  </si>
  <si>
    <t>1464000.0</t>
  </si>
  <si>
    <t>16104000.0</t>
  </si>
  <si>
    <t>10033614</t>
  </si>
  <si>
    <t>7005818.0</t>
  </si>
  <si>
    <t>700582.0</t>
  </si>
  <si>
    <t>7706400.0</t>
  </si>
  <si>
    <t>23363636.0</t>
  </si>
  <si>
    <t>2336364.0</t>
  </si>
  <si>
    <t>25700000.0</t>
  </si>
  <si>
    <t>1202160100</t>
  </si>
  <si>
    <t>배중환</t>
  </si>
  <si>
    <t>2220000.0</t>
  </si>
  <si>
    <t>222000.0</t>
  </si>
  <si>
    <t>2442000.0</t>
  </si>
  <si>
    <t>11223636.0</t>
  </si>
  <si>
    <t>1122364.0</t>
  </si>
  <si>
    <t>12346000.0</t>
  </si>
  <si>
    <t>17160000.0</t>
  </si>
  <si>
    <t>1716000.0</t>
  </si>
  <si>
    <t>18876000.0</t>
  </si>
  <si>
    <t>1202170006</t>
  </si>
  <si>
    <t>김수민</t>
  </si>
  <si>
    <t>10082404</t>
  </si>
  <si>
    <t>145455.0</t>
  </si>
  <si>
    <t>14545.0</t>
  </si>
  <si>
    <t>160000.0</t>
  </si>
  <si>
    <t>27986364.0</t>
  </si>
  <si>
    <t>2798636.0</t>
  </si>
  <si>
    <t>30785000.0</t>
  </si>
  <si>
    <t>21895455.0</t>
  </si>
  <si>
    <t>2189545.0</t>
  </si>
  <si>
    <t>24085000.0</t>
  </si>
  <si>
    <t>24735455.0</t>
  </si>
  <si>
    <t>2473545.0</t>
  </si>
  <si>
    <t>27209000.0</t>
  </si>
  <si>
    <t>1202170133</t>
  </si>
  <si>
    <t>정원종</t>
  </si>
  <si>
    <t>10032387</t>
  </si>
  <si>
    <t>614545.0</t>
  </si>
  <si>
    <t>61455.0</t>
  </si>
  <si>
    <t>676000.0</t>
  </si>
  <si>
    <t>27130000.0</t>
  </si>
  <si>
    <t>2713000.0</t>
  </si>
  <si>
    <t>29843000.0</t>
  </si>
  <si>
    <t>12707273.0</t>
  </si>
  <si>
    <t>1270727.0</t>
  </si>
  <si>
    <t>13978000.0</t>
  </si>
  <si>
    <t>2139091.0</t>
  </si>
  <si>
    <t>213909.0</t>
  </si>
  <si>
    <t>2353000.0</t>
  </si>
  <si>
    <t>7556364.0</t>
  </si>
  <si>
    <t>755636.0</t>
  </si>
  <si>
    <t>8312000.0</t>
  </si>
  <si>
    <t>35592727.0</t>
  </si>
  <si>
    <t>3559273.0</t>
  </si>
  <si>
    <t>39152000.0</t>
  </si>
  <si>
    <t>8000000.0</t>
  </si>
  <si>
    <t>800000.0</t>
  </si>
  <si>
    <t>8800000.0</t>
  </si>
  <si>
    <t>1202180481</t>
  </si>
  <si>
    <t>이정효</t>
  </si>
  <si>
    <t>90801818.0</t>
  </si>
  <si>
    <t>9080182.0</t>
  </si>
  <si>
    <t>99882000.0</t>
  </si>
  <si>
    <t>1202180565</t>
  </si>
  <si>
    <t>이용재</t>
  </si>
  <si>
    <t>10033277</t>
  </si>
  <si>
    <t>12640000.0</t>
  </si>
  <si>
    <t>1264000.0</t>
  </si>
  <si>
    <t>13904000.0</t>
  </si>
  <si>
    <t>33860000.0</t>
  </si>
  <si>
    <t>3386000.0</t>
  </si>
  <si>
    <t>37246000.0</t>
  </si>
  <si>
    <t>7912727.0</t>
  </si>
  <si>
    <t>791273.0</t>
  </si>
  <si>
    <t>8704000.0</t>
  </si>
  <si>
    <t>1202190236</t>
  </si>
  <si>
    <t>차재형</t>
  </si>
  <si>
    <t>10035968</t>
  </si>
  <si>
    <t>8610000.0</t>
  </si>
  <si>
    <t>861000.0</t>
  </si>
  <si>
    <t>9471000.0</t>
  </si>
  <si>
    <t>1149091.0</t>
  </si>
  <si>
    <t>114909.0</t>
  </si>
  <si>
    <t>1202200070</t>
  </si>
  <si>
    <t>김형태</t>
  </si>
  <si>
    <t>10033888</t>
  </si>
  <si>
    <t>9630909.0</t>
  </si>
  <si>
    <t>963091.0</t>
  </si>
  <si>
    <t>10594000.0</t>
  </si>
  <si>
    <t>297818.0</t>
  </si>
  <si>
    <t>3276000.0</t>
  </si>
  <si>
    <t>7469091.0</t>
  </si>
  <si>
    <t>746909.0</t>
  </si>
  <si>
    <t>8216000.0</t>
  </si>
  <si>
    <t>1202200281</t>
  </si>
  <si>
    <t>김주형</t>
  </si>
  <si>
    <t>10099847</t>
  </si>
  <si>
    <t>11025455.0</t>
  </si>
  <si>
    <t>1102545.0</t>
  </si>
  <si>
    <t>12128000.0</t>
  </si>
  <si>
    <t>17693636.0</t>
  </si>
  <si>
    <t>1769364.0</t>
  </si>
  <si>
    <t>19463000.0</t>
  </si>
  <si>
    <t>3882727.0</t>
  </si>
  <si>
    <t>388273.0</t>
  </si>
  <si>
    <t>4271000.0</t>
  </si>
  <si>
    <t>22085455.0</t>
  </si>
  <si>
    <t>2208545.0</t>
  </si>
  <si>
    <t>24294000.0</t>
  </si>
  <si>
    <t>10243636.0</t>
  </si>
  <si>
    <t>1024364.0</t>
  </si>
  <si>
    <t>11268000.0</t>
  </si>
  <si>
    <t>8840000.0</t>
  </si>
  <si>
    <t>884000.0</t>
  </si>
  <si>
    <t>9724000.0</t>
  </si>
  <si>
    <t>A51</t>
  </si>
  <si>
    <t>DW_병원전주</t>
  </si>
  <si>
    <t>1202210223</t>
  </si>
  <si>
    <t>박지산</t>
  </si>
  <si>
    <t>10038671</t>
  </si>
  <si>
    <t>852727.0</t>
  </si>
  <si>
    <t>85273.0</t>
  </si>
  <si>
    <t>938000.0</t>
  </si>
  <si>
    <t>16145455.0</t>
  </si>
  <si>
    <t>1614545.0</t>
  </si>
  <si>
    <t>17760000.0</t>
  </si>
  <si>
    <t>1202210505</t>
  </si>
  <si>
    <t>임창희</t>
  </si>
  <si>
    <t>10067605</t>
  </si>
  <si>
    <t>4969091.0</t>
  </si>
  <si>
    <t>496909.0</t>
  </si>
  <si>
    <t>5466000.0</t>
  </si>
  <si>
    <t>5268182.0</t>
  </si>
  <si>
    <t>526818.0</t>
  </si>
  <si>
    <t>5795000.0</t>
  </si>
  <si>
    <t>3301818.0</t>
  </si>
  <si>
    <t>330182.0</t>
  </si>
  <si>
    <t>3632000.0</t>
  </si>
  <si>
    <t>5876364.0</t>
  </si>
  <si>
    <t>587636.0</t>
  </si>
  <si>
    <t>6464000.0</t>
  </si>
  <si>
    <t>8572727.0</t>
  </si>
  <si>
    <t>857273.0</t>
  </si>
  <si>
    <t>9430000.0</t>
  </si>
  <si>
    <t>70129091.0</t>
  </si>
  <si>
    <t>7012909.0</t>
  </si>
  <si>
    <t>77142000.0</t>
  </si>
  <si>
    <t>5550909.0</t>
  </si>
  <si>
    <t>555091.0</t>
  </si>
  <si>
    <t>6106000.0</t>
  </si>
  <si>
    <t>4870000.0</t>
  </si>
  <si>
    <t>487000.0</t>
  </si>
  <si>
    <t>5357000.0</t>
  </si>
  <si>
    <t>10069441</t>
  </si>
  <si>
    <t>3068182.0</t>
  </si>
  <si>
    <t>306818.0</t>
  </si>
  <si>
    <t>3375000.0</t>
  </si>
  <si>
    <t>15162727.0</t>
  </si>
  <si>
    <t>1516273.0</t>
  </si>
  <si>
    <t>16679000.0</t>
  </si>
  <si>
    <t>25980909.0</t>
  </si>
  <si>
    <t>2598091.0</t>
  </si>
  <si>
    <t>28579000.0</t>
  </si>
  <si>
    <t>11533636.0</t>
  </si>
  <si>
    <t>1153364.0</t>
  </si>
  <si>
    <t>12687000.0</t>
  </si>
  <si>
    <t>21267273.0</t>
  </si>
  <si>
    <t>2126727.0</t>
  </si>
  <si>
    <t>23394000.0</t>
  </si>
  <si>
    <t>10105796</t>
  </si>
  <si>
    <t>259090909.0</t>
  </si>
  <si>
    <t>25909091.0</t>
  </si>
  <si>
    <t>285000000.0</t>
  </si>
  <si>
    <t>80772727.0</t>
  </si>
  <si>
    <t>8077273.0</t>
  </si>
  <si>
    <t>88850000.0</t>
  </si>
  <si>
    <t>6350000.0</t>
  </si>
  <si>
    <t>635000.0</t>
  </si>
  <si>
    <t>6985000.0</t>
  </si>
  <si>
    <t>1202240168</t>
  </si>
  <si>
    <t>전창규</t>
  </si>
  <si>
    <t>10037680</t>
  </si>
  <si>
    <t>11590909.0</t>
  </si>
  <si>
    <t>1159091.0</t>
  </si>
  <si>
    <t>12750000.0</t>
  </si>
  <si>
    <t>1202240170</t>
  </si>
  <si>
    <t>권근륜</t>
  </si>
  <si>
    <t>10096603</t>
  </si>
  <si>
    <t>3135455.0</t>
  </si>
  <si>
    <t>313545.0</t>
  </si>
  <si>
    <t>3449000.0</t>
  </si>
  <si>
    <t>3297273.0</t>
  </si>
  <si>
    <t>329727.0</t>
  </si>
  <si>
    <t>3627000.0</t>
  </si>
  <si>
    <t>13095455.0</t>
  </si>
  <si>
    <t>1309545.0</t>
  </si>
  <si>
    <t>14405000.0</t>
  </si>
  <si>
    <t>43177273.0</t>
  </si>
  <si>
    <t>4317727.0</t>
  </si>
  <si>
    <t>47495000.0</t>
  </si>
  <si>
    <t>39478182.0</t>
  </si>
  <si>
    <t>3947818.0</t>
  </si>
  <si>
    <t>43426000.0</t>
  </si>
  <si>
    <t>2036364.0</t>
  </si>
  <si>
    <t>203636.0</t>
  </si>
  <si>
    <t>2240000.0</t>
  </si>
  <si>
    <t>18998182.0</t>
  </si>
  <si>
    <t>1899818.0</t>
  </si>
  <si>
    <t>20898000.0</t>
  </si>
  <si>
    <t>2026.04</t>
  </si>
  <si>
    <t>1202110077</t>
  </si>
  <si>
    <t>신화현</t>
  </si>
  <si>
    <t>10032062</t>
  </si>
  <si>
    <t>홍익병원</t>
  </si>
  <si>
    <t>1202110156</t>
  </si>
  <si>
    <t>정재환</t>
  </si>
  <si>
    <t>10066681</t>
  </si>
  <si>
    <t>빛가람종합병원</t>
  </si>
  <si>
    <t>1202180550</t>
  </si>
  <si>
    <t>김재인</t>
  </si>
  <si>
    <t>10071000</t>
  </si>
  <si>
    <t>광주365재활병원</t>
  </si>
  <si>
    <t>1202220460</t>
  </si>
  <si>
    <t>김용민</t>
  </si>
  <si>
    <t>10032311</t>
  </si>
  <si>
    <t>성모윌병원</t>
  </si>
  <si>
    <t>10089241</t>
  </si>
  <si>
    <t>미라클병원</t>
  </si>
  <si>
    <t>10033270</t>
  </si>
  <si>
    <t>(학)가톨릭대학교부천성모병원</t>
  </si>
  <si>
    <t>1202230191</t>
  </si>
  <si>
    <t>최대우</t>
  </si>
  <si>
    <t>10037576</t>
  </si>
  <si>
    <t>(재)예수병원유지재단</t>
  </si>
  <si>
    <t>1202230520</t>
  </si>
  <si>
    <t>박상우</t>
  </si>
  <si>
    <t>1202230677</t>
  </si>
  <si>
    <t>기동아</t>
  </si>
  <si>
    <t>1202230681</t>
  </si>
  <si>
    <t>김민한</t>
  </si>
  <si>
    <t>A66</t>
  </si>
  <si>
    <t>DW_광주2</t>
  </si>
  <si>
    <t>1202600513</t>
  </si>
  <si>
    <t>김태화</t>
  </si>
  <si>
    <t>10073012</t>
  </si>
  <si>
    <t>영암한국병원</t>
  </si>
  <si>
    <t>2026.05</t>
  </si>
  <si>
    <t>-5344669.0</t>
  </si>
  <si>
    <t>-534467.0</t>
  </si>
  <si>
    <t>-5879136.0</t>
  </si>
  <si>
    <t>행 레이블</t>
  </si>
  <si>
    <t>합계 : 매출금액</t>
  </si>
  <si>
    <t>판매처명 (130처)</t>
    <phoneticPr fontId="2" type="noConversion"/>
  </si>
  <si>
    <t>사용량</t>
  </si>
  <si>
    <t>내역</t>
  </si>
  <si>
    <t>기준회전일</t>
  </si>
  <si>
    <t>변경회전일</t>
  </si>
  <si>
    <t>사원명</t>
  </si>
  <si>
    <t>의견</t>
  </si>
  <si>
    <t>DW07</t>
  </si>
  <si>
    <t>DW_병원(일반)</t>
  </si>
  <si>
    <t>‘일산백병원’의 경우 거래처 대금 지급 기준상 4~6개월 내 2월분 26,150,000원, 3월분 88,850,000원이 입금되었어야 하나, 미지급으로 인해 1억 원 이상이 되어 현재 7개월 대금 지급 기준에 해당됩니다.</t>
  </si>
  <si>
    <t>우선은 담당자의 예외 회전일 월별 관리가 필요할 것으로 판단되며,</t>
  </si>
  <si>
    <t>향후 매출 발생 시 평균 매출액 기준으로 기준 회전일을 적용하는 방향이 적절할 것으로 보입니다.</t>
  </si>
  <si>
    <t>-</t>
  </si>
  <si>
    <t>월 매출 1천만 원 이하이며, 결제 지연 기간은 3개월이나</t>
  </si>
  <si>
    <t>기준 회전일이 4개월로 설정되어 있어 기준 회전일 변경 대상에 해당하지 않습니다.</t>
  </si>
  <si>
    <t>인제대학교부산백병원</t>
  </si>
  <si>
    <t>향후 매출 발생 시 평균 매출액 기준으로 기준 회전일을 적용하는 방향이 적절</t>
  </si>
  <si>
    <t>인제대학교해운대백병원</t>
  </si>
  <si>
    <t>2026.05</t>
    <phoneticPr fontId="2" type="noConversion"/>
  </si>
  <si>
    <t>2026.05</t>
    <phoneticPr fontId="2" type="noConversion"/>
  </si>
  <si>
    <t/>
  </si>
  <si>
    <t>판매처명 (130처)</t>
  </si>
  <si>
    <t>센트럴병원(원주)</t>
  </si>
  <si>
    <t>의료법인성수의료재단(인천백병원)</t>
  </si>
  <si>
    <t>의료법인영문의료재단(다보스)</t>
  </si>
  <si>
    <t>의료법인대산의료재단 (익산병원)</t>
  </si>
  <si>
    <t>(의)한마음의료재단제일병원(여수제일)</t>
  </si>
  <si>
    <t>카톨릭병원(대구)</t>
  </si>
  <si>
    <t>유한회사마이파트너(의료기기)-해피뷰병원(4099125282)</t>
  </si>
  <si>
    <t>합계 : 매출</t>
  </si>
  <si>
    <t>합계 : 매출20</t>
  </si>
  <si>
    <t>합계 : 수금19</t>
  </si>
  <si>
    <t>의인의료재단차병원</t>
  </si>
  <si>
    <t>척편한병원</t>
  </si>
  <si>
    <t>의료법인일심의료재단포천우리병원</t>
  </si>
  <si>
    <t>의료법인양평의료재단</t>
  </si>
  <si>
    <t>혜민병원</t>
  </si>
  <si>
    <t>씨엔씨재활의학과병원</t>
  </si>
  <si>
    <t>화순전남대학교병원</t>
  </si>
  <si>
    <t>석촌의료재단성주무강병원</t>
  </si>
  <si>
    <t>서일의료재단기장병원</t>
  </si>
  <si>
    <t>엠에스(MS)재건병원</t>
  </si>
  <si>
    <t>의료법인남촌의료재단</t>
  </si>
  <si>
    <t>씨엔씨푸른병원</t>
  </si>
  <si>
    <t>연세오케이병원</t>
  </si>
  <si>
    <t>새동산병원</t>
  </si>
  <si>
    <t>중앙메디컬병원</t>
  </si>
  <si>
    <t>대구예스병원</t>
  </si>
  <si>
    <t>씨어스 월 납입</t>
  </si>
  <si>
    <t>2026.06</t>
    <phoneticPr fontId="2" type="noConversion"/>
  </si>
  <si>
    <t>희명병원</t>
  </si>
  <si>
    <t>의료법인자인의료재단더자인병원</t>
  </si>
  <si>
    <t>강일병원</t>
  </si>
  <si>
    <t>동아대학교의료원</t>
  </si>
  <si>
    <t>인당의료재단부민병원</t>
  </si>
  <si>
    <t>팔팔병원</t>
  </si>
  <si>
    <t>선한병원</t>
  </si>
  <si>
    <t>정읍한국병원</t>
  </si>
  <si>
    <t>아중요양병원</t>
  </si>
  <si>
    <t>청담해리슨병원</t>
  </si>
  <si>
    <t>의료법인효경의료재단(효성요양병원)</t>
  </si>
  <si>
    <t>의료법인나눔과행복의료재단</t>
  </si>
  <si>
    <t>2026.07</t>
  </si>
  <si>
    <t>향동포레요양병원</t>
  </si>
  <si>
    <t>한양대학교병원</t>
  </si>
  <si>
    <t>광주21세기병원</t>
  </si>
  <si>
    <t>의료법인서명의료재단세명병원</t>
  </si>
  <si>
    <t>올바로병원</t>
  </si>
  <si>
    <t>나은필병원</t>
  </si>
  <si>
    <t>큰힘병원</t>
  </si>
  <si>
    <t>더스마트병원</t>
  </si>
  <si>
    <t>의료법인라움의료재단세웅병원</t>
  </si>
  <si>
    <t>2026.07</t>
    <phoneticPr fontId="2" type="noConversion"/>
  </si>
  <si>
    <t>2026.07</t>
    <phoneticPr fontId="2" type="noConversion"/>
  </si>
  <si>
    <t>신용등급</t>
    <phoneticPr fontId="2" type="noConversion"/>
  </si>
  <si>
    <t>사업자</t>
    <phoneticPr fontId="2" type="noConversion"/>
  </si>
  <si>
    <t>개인</t>
    <phoneticPr fontId="2" type="noConversion"/>
  </si>
  <si>
    <t>신용점수</t>
    <phoneticPr fontId="2" type="noConversion"/>
  </si>
  <si>
    <t>미제출</t>
    <phoneticPr fontId="2" type="noConversion"/>
  </si>
  <si>
    <t>bbb-</t>
  </si>
  <si>
    <t>bb+</t>
  </si>
  <si>
    <t>A-</t>
  </si>
  <si>
    <t>bb-</t>
  </si>
  <si>
    <t>bb</t>
  </si>
  <si>
    <t>a-</t>
  </si>
  <si>
    <t>a+</t>
  </si>
  <si>
    <t>aa+</t>
  </si>
  <si>
    <t>a</t>
  </si>
  <si>
    <t>b+</t>
  </si>
  <si>
    <t>b</t>
  </si>
  <si>
    <t>ccc+</t>
  </si>
  <si>
    <t>b-</t>
  </si>
  <si>
    <t>aa</t>
  </si>
  <si>
    <t>bbb</t>
  </si>
  <si>
    <t>ccc</t>
  </si>
  <si>
    <t>BB+</t>
  </si>
  <si>
    <t>BB-</t>
  </si>
  <si>
    <t>BBB-</t>
  </si>
  <si>
    <t>aaa</t>
  </si>
  <si>
    <t>BB</t>
  </si>
  <si>
    <t>bbb+</t>
  </si>
  <si>
    <t>aa-</t>
  </si>
  <si>
    <t>BBB+</t>
  </si>
  <si>
    <t>CCC+</t>
  </si>
  <si>
    <t>B+</t>
  </si>
  <si>
    <t>B0</t>
  </si>
  <si>
    <t xml:space="preserve">BBB-
</t>
  </si>
  <si>
    <t>2026.08</t>
    <phoneticPr fontId="2" type="noConversion"/>
  </si>
  <si>
    <t>2026.08</t>
    <phoneticPr fontId="2" type="noConversion"/>
  </si>
  <si>
    <t>클래스병원</t>
  </si>
  <si>
    <t>개인</t>
  </si>
  <si>
    <t>구로성심병원</t>
  </si>
  <si>
    <t>의료법인한국의료재단</t>
  </si>
  <si>
    <t>우리병원</t>
  </si>
  <si>
    <t>경상국립대학교병원</t>
  </si>
  <si>
    <t>든든한병원</t>
  </si>
  <si>
    <t>분당베스트병원</t>
  </si>
  <si>
    <t>천안우리병원</t>
  </si>
  <si>
    <t>CCC-</t>
  </si>
  <si>
    <t>BB0</t>
  </si>
  <si>
    <t>B</t>
  </si>
  <si>
    <t>미제출</t>
  </si>
  <si>
    <t>법인</t>
  </si>
  <si>
    <t>사용량</t>
    <phoneticPr fontId="2" type="noConversion"/>
  </si>
  <si>
    <t>2026-04-21</t>
  </si>
  <si>
    <t>2026-04-03</t>
  </si>
  <si>
    <t>사용량</t>
    <phoneticPr fontId="2" type="noConversion"/>
  </si>
  <si>
    <t>2025-12-24</t>
  </si>
  <si>
    <t>2026.09</t>
    <phoneticPr fontId="2" type="noConversion"/>
  </si>
  <si>
    <t>2026.09</t>
    <phoneticPr fontId="2" type="noConversion"/>
  </si>
  <si>
    <t>자애요양병원</t>
  </si>
  <si>
    <t>동국대학교의료원(경주)</t>
  </si>
  <si>
    <t>동남원자력의학원</t>
  </si>
  <si>
    <t>서울세계로병원</t>
  </si>
  <si>
    <t>남양주백병원</t>
  </si>
  <si>
    <t>예미담요양병원</t>
  </si>
  <si>
    <t>10055464</t>
  </si>
  <si>
    <t>담대한외과의원</t>
  </si>
  <si>
    <t>2026-06-18</t>
  </si>
  <si>
    <t>2026-05-11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</si>
</sst>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_-;\-* #,##0.0_-;_-* &quot;-&quot;_-;_-@_-"/>
    <numFmt numFmtId="177" formatCode="_-* #,##0_-;\-* #,##0_-;_-* \-_-;_-@_-"/>
    <numFmt numFmtId="178" formatCode="_-* #,##0.000_-;\-* #,##0.000_-;_-* &quot;-&quot;_-;_-@_-"/>
    <numFmt numFmtId="180" formatCode="_-* #,##0.0000_-;\-* #,##0.0000_-;_-* &quot;-&quot;_-;_-@_-"/>
  </numFmts>
  <fonts count="25" x14ac:knownFonts="1">
    <font>
      <sz val="10"/>
      <name val="Arial"/>
    </font>
    <font>
      <sz val="10"/>
      <name val="Arial"/>
      <family val="2"/>
    </font>
    <font>
      <sz val="8"/>
      <name val="돋움"/>
      <family val="3"/>
      <charset val="129"/>
    </font>
    <font>
      <sz val="9"/>
      <name val="나눔고딕"/>
      <family val="3"/>
      <charset val="129"/>
    </font>
    <font>
      <sz val="11"/>
      <name val="조선일보명조"/>
      <family val="1"/>
      <charset val="129"/>
    </font>
    <font>
      <sz val="9"/>
      <color rgb="FFFF0000"/>
      <name val="나눔고딕"/>
      <family val="3"/>
      <charset val="129"/>
    </font>
    <font>
      <b/>
      <sz val="9"/>
      <name val="Noto Sans KR"/>
      <family val="3"/>
      <charset val="129"/>
    </font>
    <font>
      <sz val="9"/>
      <name val="Noto Sans KR"/>
      <family val="3"/>
      <charset val="129"/>
    </font>
    <font>
      <b/>
      <sz val="9"/>
      <name val="나눔고딕"/>
      <family val="3"/>
      <charset val="129"/>
    </font>
    <font>
      <sz val="9"/>
      <name val="Arial"/>
      <family val="2"/>
    </font>
    <font>
      <b/>
      <sz val="9"/>
      <color rgb="FF980000"/>
      <name val="Noto Sans KR"/>
      <family val="3"/>
      <charset val="129"/>
    </font>
    <font>
      <b/>
      <sz val="9"/>
      <color rgb="FFF3F3F3"/>
      <name val="Noto Sans KR"/>
      <family val="3"/>
      <charset val="129"/>
    </font>
    <font>
      <b/>
      <sz val="9"/>
      <color rgb="FFFF0000"/>
      <name val="Noto Sans KR"/>
      <family val="3"/>
      <charset val="129"/>
    </font>
    <font>
      <sz val="9"/>
      <color rgb="FF134F5C"/>
      <name val="Noto Sans KR"/>
      <family val="3"/>
      <charset val="129"/>
    </font>
    <font>
      <b/>
      <sz val="9"/>
      <color rgb="FF4A86E8"/>
      <name val="Noto Sans KR"/>
      <family val="3"/>
      <charset val="129"/>
    </font>
    <font>
      <b/>
      <sz val="9"/>
      <color rgb="FF38761D"/>
      <name val="Noto Sans KR"/>
      <family val="3"/>
      <charset val="129"/>
    </font>
    <font>
      <strike/>
      <sz val="9"/>
      <name val="나눔고딕"/>
      <family val="3"/>
      <charset val="129"/>
    </font>
    <font>
      <sz val="12"/>
      <name val="조선일보명조"/>
      <family val="1"/>
      <charset val="129"/>
    </font>
    <font>
      <b/>
      <sz val="9"/>
      <color indexed="81"/>
      <name val="돋움"/>
      <family val="3"/>
      <charset val="129"/>
    </font>
    <font>
      <b/>
      <sz val="9"/>
      <color indexed="81"/>
      <name val="나눔고딕"/>
      <family val="3"/>
      <charset val="129"/>
    </font>
    <font>
      <sz val="9"/>
      <color theme="1"/>
      <name val="맑은 고딕"/>
      <family val="2"/>
      <scheme val="minor"/>
    </font>
    <font>
      <b/>
      <sz val="10"/>
      <color indexed="81"/>
      <name val="나눔고딕"/>
      <family val="3"/>
      <charset val="129"/>
    </font>
    <font>
      <sz val="9"/>
      <color rgb="FF000000"/>
      <name val="나눔고딕"/>
      <family val="3"/>
      <charset val="129"/>
    </font>
    <font>
      <b/>
      <sz val="9"/>
      <color indexed="81"/>
      <name val="Tahoma"/>
      <family val="2"/>
    </font>
    <font>
      <sz val="10"/>
      <color theme="1"/>
      <name val="조선일보명조"/>
      <family val="1"/>
      <charset val="129"/>
    </font>
  </fonts>
  <fills count="10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DDDDD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79998168889431442"/>
        <bgColor indexed="64"/>
      </patternFill>
    </fill>
  </fills>
  <borders count="54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indexed="64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indexed="64"/>
      </bottom>
      <diagonal/>
    </border>
    <border>
      <left style="thin">
        <color theme="0" tint="-0.24994659260841701"/>
      </left>
      <right style="thin">
        <color theme="0" tint="-0.24994659260841701"/>
      </right>
      <top/>
      <bottom/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/>
      <top/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/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666666"/>
      </right>
      <top style="medium">
        <color rgb="FFCCCCCC"/>
      </top>
      <bottom style="medium">
        <color rgb="FFCCCCCC"/>
      </bottom>
      <diagonal/>
    </border>
    <border>
      <left style="medium">
        <color rgb="FF666666"/>
      </left>
      <right/>
      <top style="medium">
        <color rgb="FFCCCCCC"/>
      </top>
      <bottom style="medium">
        <color rgb="FFCCCCCC"/>
      </bottom>
      <diagonal/>
    </border>
    <border>
      <left/>
      <right/>
      <top/>
      <bottom style="medium">
        <color rgb="FF434343"/>
      </bottom>
      <diagonal/>
    </border>
    <border>
      <left/>
      <right style="medium">
        <color rgb="FF666666"/>
      </right>
      <top/>
      <bottom style="medium">
        <color rgb="FF434343"/>
      </bottom>
      <diagonal/>
    </border>
    <border>
      <left/>
      <right/>
      <top style="medium">
        <color rgb="FFCCCCCC"/>
      </top>
      <bottom style="medium">
        <color rgb="FF434343"/>
      </bottom>
      <diagonal/>
    </border>
    <border>
      <left/>
      <right style="medium">
        <color rgb="FF666666"/>
      </right>
      <top style="medium">
        <color rgb="FFCCCCCC"/>
      </top>
      <bottom style="medium">
        <color rgb="FF434343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41" fontId="1" fillId="0" borderId="0" applyFont="0" applyFill="0" applyBorder="0" applyAlignment="0" applyProtection="0">
      <alignment vertical="center"/>
    </xf>
    <xf numFmtId="0" fontId="1" fillId="0" borderId="0"/>
    <xf numFmtId="9" fontId="1" fillId="0" borderId="0" applyFont="0" applyFill="0" applyBorder="0" applyAlignment="0" applyProtection="0">
      <alignment vertical="center"/>
    </xf>
  </cellStyleXfs>
  <cellXfs count="197">
    <xf numFmtId="0" fontId="0" fillId="0" borderId="0" xfId="0" applyAlignment="1">
      <alignment vertical="top"/>
    </xf>
    <xf numFmtId="0" fontId="1" fillId="0" borderId="0" xfId="2" applyAlignment="1">
      <alignment vertical="top"/>
    </xf>
    <xf numFmtId="0" fontId="1" fillId="0" borderId="0" xfId="2" applyNumberFormat="1" applyAlignment="1">
      <alignment vertical="top"/>
    </xf>
    <xf numFmtId="0" fontId="1" fillId="0" borderId="0" xfId="2" pivotButton="1" applyAlignment="1">
      <alignment vertical="top"/>
    </xf>
    <xf numFmtId="176" fontId="3" fillId="0" borderId="8" xfId="1" applyNumberFormat="1" applyFont="1" applyBorder="1" applyAlignment="1">
      <alignment horizontal="center" vertical="center"/>
    </xf>
    <xf numFmtId="176" fontId="3" fillId="0" borderId="3" xfId="1" applyNumberFormat="1" applyFont="1" applyFill="1" applyBorder="1" applyAlignment="1">
      <alignment horizontal="center" vertical="center"/>
    </xf>
    <xf numFmtId="176" fontId="3" fillId="3" borderId="7" xfId="1" applyNumberFormat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center" vertical="center"/>
    </xf>
    <xf numFmtId="41" fontId="3" fillId="0" borderId="0" xfId="1" applyFont="1" applyFill="1" applyBorder="1" applyAlignment="1">
      <alignment horizontal="right" vertical="center"/>
    </xf>
    <xf numFmtId="176" fontId="3" fillId="3" borderId="5" xfId="1" applyNumberFormat="1" applyFont="1" applyFill="1" applyBorder="1" applyAlignment="1">
      <alignment vertical="center"/>
    </xf>
    <xf numFmtId="176" fontId="3" fillId="0" borderId="6" xfId="1" applyNumberFormat="1" applyFont="1" applyBorder="1" applyAlignment="1">
      <alignment vertical="center"/>
    </xf>
    <xf numFmtId="176" fontId="3" fillId="0" borderId="2" xfId="1" applyNumberFormat="1" applyFont="1" applyFill="1" applyBorder="1" applyAlignment="1">
      <alignment vertical="center"/>
    </xf>
    <xf numFmtId="176" fontId="3" fillId="3" borderId="9" xfId="1" applyNumberFormat="1" applyFont="1" applyFill="1" applyBorder="1" applyAlignment="1">
      <alignment vertical="center"/>
    </xf>
    <xf numFmtId="176" fontId="3" fillId="0" borderId="10" xfId="1" applyNumberFormat="1" applyFont="1" applyBorder="1" applyAlignment="1">
      <alignment vertical="center"/>
    </xf>
    <xf numFmtId="176" fontId="3" fillId="0" borderId="0" xfId="1" applyNumberFormat="1" applyFont="1" applyFill="1" applyBorder="1" applyAlignment="1">
      <alignment vertical="center"/>
    </xf>
    <xf numFmtId="176" fontId="3" fillId="0" borderId="10" xfId="1" applyNumberFormat="1" applyFont="1" applyFill="1" applyBorder="1" applyAlignment="1">
      <alignment vertical="center"/>
    </xf>
    <xf numFmtId="176" fontId="3" fillId="3" borderId="11" xfId="1" applyNumberFormat="1" applyFont="1" applyFill="1" applyBorder="1" applyAlignment="1">
      <alignment vertical="center"/>
    </xf>
    <xf numFmtId="176" fontId="3" fillId="0" borderId="4" xfId="1" applyNumberFormat="1" applyFont="1" applyBorder="1" applyAlignment="1">
      <alignment vertical="center"/>
    </xf>
    <xf numFmtId="176" fontId="3" fillId="0" borderId="1" xfId="1" applyNumberFormat="1" applyFont="1" applyFill="1" applyBorder="1" applyAlignment="1">
      <alignment vertical="center"/>
    </xf>
    <xf numFmtId="41" fontId="3" fillId="0" borderId="0" xfId="1" applyFont="1" applyAlignment="1">
      <alignment vertical="center"/>
    </xf>
    <xf numFmtId="0" fontId="3" fillId="0" borderId="0" xfId="2" applyFont="1" applyAlignment="1">
      <alignment vertical="center"/>
    </xf>
    <xf numFmtId="9" fontId="3" fillId="2" borderId="21" xfId="3" applyFont="1" applyFill="1" applyBorder="1" applyAlignment="1">
      <alignment horizontal="center" vertical="center"/>
    </xf>
    <xf numFmtId="9" fontId="3" fillId="0" borderId="1" xfId="3" applyFont="1" applyFill="1" applyBorder="1" applyAlignment="1">
      <alignment horizontal="center" vertical="center"/>
    </xf>
    <xf numFmtId="9" fontId="3" fillId="2" borderId="20" xfId="3" applyFont="1" applyFill="1" applyBorder="1" applyAlignment="1">
      <alignment horizontal="center" vertical="center"/>
    </xf>
    <xf numFmtId="9" fontId="3" fillId="0" borderId="0" xfId="3" applyFont="1" applyFill="1" applyBorder="1" applyAlignment="1">
      <alignment horizontal="center" vertical="center"/>
    </xf>
    <xf numFmtId="0" fontId="3" fillId="0" borderId="0" xfId="2" applyFont="1" applyFill="1" applyBorder="1" applyAlignment="1">
      <alignment vertical="center"/>
    </xf>
    <xf numFmtId="0" fontId="3" fillId="0" borderId="14" xfId="2" applyFont="1" applyFill="1" applyBorder="1" applyAlignment="1">
      <alignment horizontal="center" vertical="center"/>
    </xf>
    <xf numFmtId="0" fontId="3" fillId="0" borderId="0" xfId="2" applyFont="1" applyFill="1" applyBorder="1" applyAlignment="1">
      <alignment horizontal="center" vertical="center"/>
    </xf>
    <xf numFmtId="0" fontId="3" fillId="0" borderId="2" xfId="2" applyFont="1" applyFill="1" applyBorder="1" applyAlignment="1">
      <alignment vertical="center"/>
    </xf>
    <xf numFmtId="0" fontId="3" fillId="0" borderId="0" xfId="2" applyFont="1" applyAlignment="1">
      <alignment horizontal="center" vertical="center"/>
    </xf>
    <xf numFmtId="0" fontId="3" fillId="2" borderId="20" xfId="2" applyFont="1" applyFill="1" applyBorder="1" applyAlignment="1">
      <alignment horizontal="center" vertical="center"/>
    </xf>
    <xf numFmtId="3" fontId="3" fillId="2" borderId="19" xfId="2" applyNumberFormat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0" xfId="2" applyFont="1" applyFill="1" applyAlignment="1">
      <alignment vertical="center"/>
    </xf>
    <xf numFmtId="41" fontId="3" fillId="0" borderId="0" xfId="1" applyFont="1" applyFill="1" applyAlignment="1">
      <alignment vertical="center"/>
    </xf>
    <xf numFmtId="41" fontId="3" fillId="0" borderId="0" xfId="1" applyFont="1" applyFill="1" applyAlignment="1">
      <alignment horizontal="center" vertical="center"/>
    </xf>
    <xf numFmtId="176" fontId="3" fillId="0" borderId="0" xfId="1" applyNumberFormat="1" applyFont="1" applyFill="1" applyAlignment="1">
      <alignment vertical="center"/>
    </xf>
    <xf numFmtId="176" fontId="3" fillId="0" borderId="0" xfId="1" applyNumberFormat="1" applyFont="1" applyAlignment="1">
      <alignment vertical="center"/>
    </xf>
    <xf numFmtId="176" fontId="3" fillId="0" borderId="0" xfId="1" applyNumberFormat="1" applyFont="1" applyBorder="1" applyAlignment="1">
      <alignment vertical="center"/>
    </xf>
    <xf numFmtId="0" fontId="3" fillId="0" borderId="0" xfId="2" applyFont="1" applyBorder="1" applyAlignment="1">
      <alignment vertical="center"/>
    </xf>
    <xf numFmtId="0" fontId="3" fillId="0" borderId="0" xfId="2" applyFont="1" applyFill="1" applyAlignment="1">
      <alignment horizontal="center" vertical="center"/>
    </xf>
    <xf numFmtId="176" fontId="3" fillId="0" borderId="0" xfId="1" applyNumberFormat="1" applyFont="1" applyAlignment="1">
      <alignment horizontal="center" vertical="center"/>
    </xf>
    <xf numFmtId="0" fontId="3" fillId="0" borderId="16" xfId="2" applyFont="1" applyFill="1" applyBorder="1" applyAlignment="1">
      <alignment horizontal="center" vertical="center"/>
    </xf>
    <xf numFmtId="0" fontId="5" fillId="0" borderId="3" xfId="2" applyFont="1" applyFill="1" applyBorder="1" applyAlignment="1">
      <alignment horizontal="center" vertical="center"/>
    </xf>
    <xf numFmtId="0" fontId="5" fillId="0" borderId="8" xfId="2" applyFont="1" applyFill="1" applyBorder="1" applyAlignment="1">
      <alignment horizontal="center" vertical="center"/>
    </xf>
    <xf numFmtId="0" fontId="3" fillId="0" borderId="15" xfId="2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0" fontId="3" fillId="0" borderId="17" xfId="2" applyFont="1" applyFill="1" applyBorder="1" applyAlignment="1">
      <alignment horizontal="center" vertical="center"/>
    </xf>
    <xf numFmtId="176" fontId="3" fillId="0" borderId="10" xfId="1" applyNumberFormat="1" applyFont="1" applyFill="1" applyBorder="1" applyAlignment="1">
      <alignment horizontal="center" vertical="center"/>
    </xf>
    <xf numFmtId="14" fontId="3" fillId="0" borderId="0" xfId="2" applyNumberFormat="1" applyFont="1" applyFill="1" applyAlignment="1">
      <alignment horizontal="center" vertical="center"/>
    </xf>
    <xf numFmtId="176" fontId="3" fillId="2" borderId="10" xfId="1" applyNumberFormat="1" applyFont="1" applyFill="1" applyBorder="1" applyAlignment="1">
      <alignment horizontal="center" vertical="center"/>
    </xf>
    <xf numFmtId="14" fontId="3" fillId="0" borderId="0" xfId="2" applyNumberFormat="1" applyFont="1" applyFill="1" applyAlignment="1">
      <alignment horizontal="center" vertical="center" wrapText="1"/>
    </xf>
    <xf numFmtId="14" fontId="3" fillId="0" borderId="0" xfId="2" applyNumberFormat="1" applyFont="1" applyFill="1" applyBorder="1" applyAlignment="1">
      <alignment horizontal="center" vertical="center"/>
    </xf>
    <xf numFmtId="14" fontId="3" fillId="0" borderId="0" xfId="2" applyNumberFormat="1" applyFont="1" applyFill="1" applyBorder="1" applyAlignment="1">
      <alignment horizontal="center" vertical="center" wrapText="1"/>
    </xf>
    <xf numFmtId="41" fontId="3" fillId="0" borderId="18" xfId="1" applyFont="1" applyFill="1" applyBorder="1" applyAlignment="1">
      <alignment horizontal="center" vertical="center"/>
    </xf>
    <xf numFmtId="176" fontId="3" fillId="0" borderId="1" xfId="1" applyNumberFormat="1" applyFont="1" applyFill="1" applyBorder="1" applyAlignment="1">
      <alignment horizontal="center" vertical="center"/>
    </xf>
    <xf numFmtId="176" fontId="3" fillId="0" borderId="4" xfId="1" applyNumberFormat="1" applyFont="1" applyFill="1" applyBorder="1" applyAlignment="1">
      <alignment horizontal="center" vertical="center"/>
    </xf>
    <xf numFmtId="41" fontId="7" fillId="0" borderId="31" xfId="1" applyFont="1" applyFill="1" applyBorder="1" applyAlignment="1">
      <alignment horizontal="center" vertical="center" wrapText="1"/>
    </xf>
    <xf numFmtId="41" fontId="3" fillId="0" borderId="31" xfId="1" applyFont="1" applyFill="1" applyBorder="1" applyAlignment="1">
      <alignment horizontal="center" vertical="center" wrapText="1"/>
    </xf>
    <xf numFmtId="41" fontId="8" fillId="0" borderId="32" xfId="1" applyFont="1" applyFill="1" applyBorder="1" applyAlignment="1">
      <alignment horizontal="center" vertical="center" wrapText="1"/>
    </xf>
    <xf numFmtId="41" fontId="9" fillId="0" borderId="31" xfId="1" applyFont="1" applyBorder="1" applyAlignment="1">
      <alignment vertical="center" wrapText="1"/>
    </xf>
    <xf numFmtId="41" fontId="10" fillId="0" borderId="31" xfId="1" applyFont="1" applyBorder="1" applyAlignment="1">
      <alignment horizontal="center" vertical="center" wrapText="1"/>
    </xf>
    <xf numFmtId="41" fontId="11" fillId="0" borderId="31" xfId="1" applyFont="1" applyBorder="1" applyAlignment="1">
      <alignment horizontal="center" vertical="center" wrapText="1"/>
    </xf>
    <xf numFmtId="41" fontId="12" fillId="0" borderId="32" xfId="1" applyFont="1" applyBorder="1" applyAlignment="1">
      <alignment horizontal="center" vertical="center" wrapText="1"/>
    </xf>
    <xf numFmtId="41" fontId="7" fillId="0" borderId="31" xfId="1" applyFont="1" applyBorder="1" applyAlignment="1">
      <alignment horizontal="center" vertical="center" wrapText="1"/>
    </xf>
    <xf numFmtId="41" fontId="13" fillId="0" borderId="31" xfId="1" applyFont="1" applyBorder="1" applyAlignment="1">
      <alignment horizontal="center" vertical="center" wrapText="1"/>
    </xf>
    <xf numFmtId="41" fontId="6" fillId="0" borderId="31" xfId="1" applyFont="1" applyBorder="1" applyAlignment="1">
      <alignment horizontal="center" vertical="center" wrapText="1"/>
    </xf>
    <xf numFmtId="41" fontId="14" fillId="0" borderId="32" xfId="1" applyFont="1" applyBorder="1" applyAlignment="1">
      <alignment horizontal="center" vertical="center" wrapText="1"/>
    </xf>
    <xf numFmtId="41" fontId="15" fillId="0" borderId="32" xfId="1" applyFont="1" applyBorder="1" applyAlignment="1">
      <alignment horizontal="center" vertical="center" wrapText="1"/>
    </xf>
    <xf numFmtId="41" fontId="9" fillId="0" borderId="32" xfId="1" applyFont="1" applyBorder="1" applyAlignment="1">
      <alignment vertical="center" wrapText="1"/>
    </xf>
    <xf numFmtId="41" fontId="7" fillId="0" borderId="34" xfId="1" applyFont="1" applyFill="1" applyBorder="1" applyAlignment="1">
      <alignment horizontal="center" vertical="center" wrapText="1"/>
    </xf>
    <xf numFmtId="41" fontId="3" fillId="0" borderId="34" xfId="1" applyFont="1" applyFill="1" applyBorder="1" applyAlignment="1">
      <alignment horizontal="center" vertical="center" wrapText="1"/>
    </xf>
    <xf numFmtId="41" fontId="8" fillId="0" borderId="35" xfId="1" applyFont="1" applyFill="1" applyBorder="1" applyAlignment="1">
      <alignment horizontal="center" vertical="center" wrapText="1"/>
    </xf>
    <xf numFmtId="41" fontId="9" fillId="0" borderId="34" xfId="1" applyFont="1" applyBorder="1" applyAlignment="1">
      <alignment vertical="center" wrapText="1"/>
    </xf>
    <xf numFmtId="41" fontId="10" fillId="0" borderId="34" xfId="1" applyFont="1" applyBorder="1" applyAlignment="1">
      <alignment horizontal="center" vertical="center" wrapText="1"/>
    </xf>
    <xf numFmtId="41" fontId="11" fillId="0" borderId="34" xfId="1" applyFont="1" applyBorder="1" applyAlignment="1">
      <alignment horizontal="center" vertical="center" wrapText="1"/>
    </xf>
    <xf numFmtId="41" fontId="12" fillId="0" borderId="35" xfId="1" applyFont="1" applyBorder="1" applyAlignment="1">
      <alignment horizontal="center" vertical="center" wrapText="1"/>
    </xf>
    <xf numFmtId="0" fontId="16" fillId="0" borderId="0" xfId="2" applyFont="1" applyFill="1" applyBorder="1" applyAlignment="1">
      <alignment vertical="center"/>
    </xf>
    <xf numFmtId="14" fontId="3" fillId="0" borderId="2" xfId="2" applyNumberFormat="1" applyFont="1" applyFill="1" applyBorder="1" applyAlignment="1">
      <alignment horizontal="center" vertical="center"/>
    </xf>
    <xf numFmtId="0" fontId="4" fillId="0" borderId="24" xfId="0" applyFont="1" applyBorder="1" applyAlignment="1">
      <alignment horizontal="center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26" xfId="0" applyFont="1" applyBorder="1" applyAlignment="1">
      <alignment horizontal="center" vertical="center"/>
    </xf>
    <xf numFmtId="0" fontId="4" fillId="0" borderId="27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17" fillId="0" borderId="0" xfId="0" applyFont="1" applyAlignment="1">
      <alignment vertical="center"/>
    </xf>
    <xf numFmtId="0" fontId="3" fillId="0" borderId="14" xfId="2" applyNumberFormat="1" applyFont="1" applyFill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176" fontId="3" fillId="0" borderId="5" xfId="1" quotePrefix="1" applyNumberFormat="1" applyFont="1" applyBorder="1" applyAlignment="1">
      <alignment horizontal="center" vertical="center"/>
    </xf>
    <xf numFmtId="41" fontId="6" fillId="0" borderId="31" xfId="1" applyFont="1" applyFill="1" applyBorder="1" applyAlignment="1">
      <alignment horizontal="center" vertical="center" wrapText="1"/>
    </xf>
    <xf numFmtId="176" fontId="3" fillId="0" borderId="5" xfId="1" applyNumberFormat="1" applyFont="1" applyFill="1" applyBorder="1" applyAlignment="1">
      <alignment horizontal="center" vertical="center"/>
    </xf>
    <xf numFmtId="176" fontId="3" fillId="0" borderId="5" xfId="1" quotePrefix="1" applyNumberFormat="1" applyFont="1" applyFill="1" applyBorder="1" applyAlignment="1">
      <alignment horizontal="center" vertical="center"/>
    </xf>
    <xf numFmtId="176" fontId="3" fillId="0" borderId="7" xfId="1" applyNumberFormat="1" applyFont="1" applyFill="1" applyBorder="1" applyAlignment="1">
      <alignment horizontal="center" vertical="center"/>
    </xf>
    <xf numFmtId="176" fontId="3" fillId="0" borderId="5" xfId="1" applyNumberFormat="1" applyFont="1" applyFill="1" applyBorder="1" applyAlignment="1">
      <alignment vertical="center"/>
    </xf>
    <xf numFmtId="176" fontId="3" fillId="0" borderId="9" xfId="1" applyNumberFormat="1" applyFont="1" applyFill="1" applyBorder="1" applyAlignment="1">
      <alignment vertical="center"/>
    </xf>
    <xf numFmtId="176" fontId="3" fillId="0" borderId="11" xfId="1" applyNumberFormat="1" applyFont="1" applyFill="1" applyBorder="1" applyAlignment="1">
      <alignment vertical="center"/>
    </xf>
    <xf numFmtId="41" fontId="9" fillId="0" borderId="31" xfId="1" applyFont="1" applyFill="1" applyBorder="1" applyAlignment="1">
      <alignment vertical="center" wrapText="1"/>
    </xf>
    <xf numFmtId="41" fontId="11" fillId="0" borderId="31" xfId="1" applyFont="1" applyFill="1" applyBorder="1" applyAlignment="1">
      <alignment horizontal="center" vertical="center" wrapText="1"/>
    </xf>
    <xf numFmtId="41" fontId="13" fillId="0" borderId="31" xfId="1" applyFont="1" applyFill="1" applyBorder="1" applyAlignment="1">
      <alignment horizontal="center" vertical="center" wrapText="1"/>
    </xf>
    <xf numFmtId="41" fontId="9" fillId="0" borderId="34" xfId="1" applyFont="1" applyFill="1" applyBorder="1" applyAlignment="1">
      <alignment vertical="center" wrapText="1"/>
    </xf>
    <xf numFmtId="41" fontId="11" fillId="0" borderId="34" xfId="1" applyFont="1" applyFill="1" applyBorder="1" applyAlignment="1">
      <alignment horizontal="center" vertical="center" wrapText="1"/>
    </xf>
    <xf numFmtId="0" fontId="3" fillId="4" borderId="17" xfId="2" applyFont="1" applyFill="1" applyBorder="1" applyAlignment="1">
      <alignment horizontal="center" vertical="center"/>
    </xf>
    <xf numFmtId="0" fontId="3" fillId="5" borderId="14" xfId="2" applyFont="1" applyFill="1" applyBorder="1" applyAlignment="1">
      <alignment horizontal="center" vertical="center"/>
    </xf>
    <xf numFmtId="0" fontId="3" fillId="5" borderId="0" xfId="2" applyFont="1" applyFill="1" applyBorder="1" applyAlignment="1">
      <alignment vertical="center"/>
    </xf>
    <xf numFmtId="0" fontId="3" fillId="5" borderId="17" xfId="2" applyFont="1" applyFill="1" applyBorder="1" applyAlignment="1">
      <alignment horizontal="center" vertical="center"/>
    </xf>
    <xf numFmtId="14" fontId="3" fillId="5" borderId="0" xfId="2" applyNumberFormat="1" applyFont="1" applyFill="1" applyBorder="1" applyAlignment="1">
      <alignment horizontal="center" vertical="center"/>
    </xf>
    <xf numFmtId="14" fontId="3" fillId="5" borderId="0" xfId="2" applyNumberFormat="1" applyFont="1" applyFill="1" applyAlignment="1">
      <alignment horizontal="center" vertical="center"/>
    </xf>
    <xf numFmtId="176" fontId="3" fillId="5" borderId="0" xfId="1" applyNumberFormat="1" applyFont="1" applyFill="1" applyBorder="1" applyAlignment="1">
      <alignment vertical="center"/>
    </xf>
    <xf numFmtId="176" fontId="3" fillId="5" borderId="10" xfId="1" applyNumberFormat="1" applyFont="1" applyFill="1" applyBorder="1" applyAlignment="1">
      <alignment horizontal="center" vertical="center"/>
    </xf>
    <xf numFmtId="176" fontId="3" fillId="5" borderId="10" xfId="1" applyNumberFormat="1" applyFont="1" applyFill="1" applyBorder="1" applyAlignment="1">
      <alignment vertical="center"/>
    </xf>
    <xf numFmtId="0" fontId="3" fillId="5" borderId="0" xfId="2" applyFont="1" applyFill="1" applyAlignment="1">
      <alignment vertical="center"/>
    </xf>
    <xf numFmtId="0" fontId="3" fillId="5" borderId="14" xfId="2" applyNumberFormat="1" applyFont="1" applyFill="1" applyBorder="1" applyAlignment="1">
      <alignment horizontal="center" vertical="center"/>
    </xf>
    <xf numFmtId="0" fontId="3" fillId="6" borderId="17" xfId="2" applyFont="1" applyFill="1" applyBorder="1" applyAlignment="1">
      <alignment horizontal="center" vertical="center"/>
    </xf>
    <xf numFmtId="176" fontId="5" fillId="0" borderId="0" xfId="1" applyNumberFormat="1" applyFont="1" applyFill="1" applyBorder="1" applyAlignment="1">
      <alignment vertical="center"/>
    </xf>
    <xf numFmtId="176" fontId="5" fillId="3" borderId="9" xfId="1" applyNumberFormat="1" applyFont="1" applyFill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0" fontId="20" fillId="0" borderId="0" xfId="0" applyNumberFormat="1" applyFont="1"/>
    <xf numFmtId="0" fontId="0" fillId="0" borderId="0" xfId="0" pivotButton="1" applyAlignment="1">
      <alignment vertical="top"/>
    </xf>
    <xf numFmtId="0" fontId="0" fillId="0" borderId="0" xfId="0" applyAlignment="1">
      <alignment horizontal="left" vertical="top"/>
    </xf>
    <xf numFmtId="41" fontId="0" fillId="0" borderId="0" xfId="1" applyFont="1" applyAlignment="1">
      <alignment vertical="top"/>
    </xf>
    <xf numFmtId="41" fontId="3" fillId="0" borderId="0" xfId="1" applyFont="1" applyFill="1" applyBorder="1" applyAlignment="1">
      <alignment vertical="center"/>
    </xf>
    <xf numFmtId="0" fontId="22" fillId="7" borderId="38" xfId="0" applyFont="1" applyFill="1" applyBorder="1" applyAlignment="1">
      <alignment horizontal="center" vertical="center" wrapText="1"/>
    </xf>
    <xf numFmtId="0" fontId="22" fillId="7" borderId="39" xfId="0" applyFont="1" applyFill="1" applyBorder="1" applyAlignment="1">
      <alignment horizontal="center" vertical="center" wrapText="1"/>
    </xf>
    <xf numFmtId="0" fontId="22" fillId="6" borderId="39" xfId="0" applyFont="1" applyFill="1" applyBorder="1" applyAlignment="1">
      <alignment horizontal="center" vertical="center" wrapText="1"/>
    </xf>
    <xf numFmtId="0" fontId="22" fillId="6" borderId="40" xfId="0" applyFont="1" applyFill="1" applyBorder="1" applyAlignment="1">
      <alignment horizontal="center" vertical="center" wrapText="1"/>
    </xf>
    <xf numFmtId="0" fontId="22" fillId="8" borderId="0" xfId="0" applyFont="1" applyFill="1" applyAlignment="1">
      <alignment horizontal="left" vertical="center" wrapText="1"/>
    </xf>
    <xf numFmtId="0" fontId="22" fillId="8" borderId="46" xfId="0" applyFont="1" applyFill="1" applyBorder="1" applyAlignment="1">
      <alignment horizontal="left" vertical="center" wrapText="1"/>
    </xf>
    <xf numFmtId="0" fontId="0" fillId="8" borderId="46" xfId="0" applyFill="1" applyBorder="1" applyAlignment="1">
      <alignment horizontal="left" vertical="center" wrapText="1"/>
    </xf>
    <xf numFmtId="0" fontId="22" fillId="8" borderId="45" xfId="0" applyFont="1" applyFill="1" applyBorder="1" applyAlignment="1">
      <alignment horizontal="left" vertical="center" wrapText="1"/>
    </xf>
    <xf numFmtId="0" fontId="22" fillId="8" borderId="39" xfId="0" applyFont="1" applyFill="1" applyBorder="1" applyAlignment="1">
      <alignment horizontal="center" vertical="center" wrapText="1"/>
    </xf>
    <xf numFmtId="0" fontId="22" fillId="8" borderId="47" xfId="0" applyFont="1" applyFill="1" applyBorder="1" applyAlignment="1">
      <alignment horizontal="left" vertical="center" wrapText="1"/>
    </xf>
    <xf numFmtId="0" fontId="22" fillId="8" borderId="41" xfId="0" applyFont="1" applyFill="1" applyBorder="1" applyAlignment="1">
      <alignment horizontal="center" vertical="center" wrapText="1"/>
    </xf>
    <xf numFmtId="176" fontId="3" fillId="0" borderId="5" xfId="1" quotePrefix="1" applyNumberFormat="1" applyFont="1" applyBorder="1" applyAlignment="1">
      <alignment horizontal="center" vertical="center"/>
    </xf>
    <xf numFmtId="0" fontId="3" fillId="0" borderId="12" xfId="2" applyFont="1" applyFill="1" applyBorder="1" applyAlignment="1">
      <alignment vertical="center"/>
    </xf>
    <xf numFmtId="0" fontId="3" fillId="0" borderId="13" xfId="2" applyFont="1" applyFill="1" applyBorder="1" applyAlignment="1">
      <alignment vertical="center"/>
    </xf>
    <xf numFmtId="0" fontId="3" fillId="0" borderId="3" xfId="2" applyFont="1" applyFill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176" fontId="3" fillId="6" borderId="10" xfId="1" applyNumberFormat="1" applyFont="1" applyFill="1" applyBorder="1" applyAlignment="1">
      <alignment vertical="center"/>
    </xf>
    <xf numFmtId="176" fontId="3" fillId="9" borderId="10" xfId="1" applyNumberFormat="1" applyFont="1" applyFill="1" applyBorder="1" applyAlignment="1">
      <alignment vertical="center"/>
    </xf>
    <xf numFmtId="176" fontId="3" fillId="9" borderId="0" xfId="1" applyNumberFormat="1" applyFont="1" applyFill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0" fontId="3" fillId="0" borderId="0" xfId="2" applyNumberFormat="1" applyFont="1" applyFill="1" applyBorder="1" applyAlignment="1">
      <alignment horizontal="center" vertical="center"/>
    </xf>
    <xf numFmtId="3" fontId="0" fillId="0" borderId="0" xfId="0" applyNumberFormat="1" applyAlignment="1">
      <alignment vertical="top"/>
    </xf>
    <xf numFmtId="176" fontId="3" fillId="0" borderId="5" xfId="1" quotePrefix="1" applyNumberFormat="1" applyFont="1" applyBorder="1" applyAlignment="1">
      <alignment horizontal="center" vertical="center"/>
    </xf>
    <xf numFmtId="176" fontId="5" fillId="0" borderId="0" xfId="1" applyNumberFormat="1" applyFont="1" applyBorder="1" applyAlignment="1">
      <alignment vertical="center"/>
    </xf>
    <xf numFmtId="176" fontId="5" fillId="0" borderId="9" xfId="1" applyNumberFormat="1" applyFont="1" applyFill="1" applyBorder="1" applyAlignment="1">
      <alignment vertical="center"/>
    </xf>
    <xf numFmtId="0" fontId="5" fillId="0" borderId="17" xfId="2" applyFont="1" applyFill="1" applyBorder="1" applyAlignment="1">
      <alignment horizontal="center" vertical="center"/>
    </xf>
    <xf numFmtId="177" fontId="24" fillId="0" borderId="0" xfId="0" applyNumberFormat="1" applyFont="1" applyAlignment="1">
      <alignment vertical="center"/>
    </xf>
    <xf numFmtId="178" fontId="3" fillId="0" borderId="0" xfId="1" applyNumberFormat="1" applyFont="1" applyAlignment="1">
      <alignment vertical="center"/>
    </xf>
    <xf numFmtId="176" fontId="5" fillId="0" borderId="10" xfId="1" applyNumberFormat="1" applyFont="1" applyBorder="1" applyAlignment="1">
      <alignment vertical="center"/>
    </xf>
    <xf numFmtId="176" fontId="3" fillId="0" borderId="5" xfId="1" quotePrefix="1" applyNumberFormat="1" applyFont="1" applyBorder="1" applyAlignment="1">
      <alignment horizontal="center" vertical="center"/>
    </xf>
    <xf numFmtId="41" fontId="3" fillId="0" borderId="5" xfId="1" applyFont="1" applyFill="1" applyBorder="1" applyAlignment="1">
      <alignment horizontal="center" vertical="center"/>
    </xf>
    <xf numFmtId="41" fontId="3" fillId="0" borderId="2" xfId="1" applyFont="1" applyFill="1" applyBorder="1" applyAlignment="1">
      <alignment horizontal="center" vertical="center"/>
    </xf>
    <xf numFmtId="41" fontId="3" fillId="0" borderId="1" xfId="1" applyFont="1" applyFill="1" applyBorder="1" applyAlignment="1">
      <alignment horizontal="center" vertical="center"/>
    </xf>
    <xf numFmtId="176" fontId="3" fillId="0" borderId="5" xfId="1" applyNumberFormat="1" applyFont="1" applyBorder="1" applyAlignment="1">
      <alignment horizontal="center" vertical="center"/>
    </xf>
    <xf numFmtId="176" fontId="3" fillId="0" borderId="6" xfId="1" applyNumberFormat="1" applyFont="1" applyBorder="1" applyAlignment="1">
      <alignment horizontal="center" vertical="center"/>
    </xf>
    <xf numFmtId="176" fontId="3" fillId="0" borderId="5" xfId="1" quotePrefix="1" applyNumberFormat="1" applyFont="1" applyBorder="1" applyAlignment="1">
      <alignment horizontal="center" vertical="center"/>
    </xf>
    <xf numFmtId="41" fontId="6" fillId="0" borderId="31" xfId="1" applyFont="1" applyFill="1" applyBorder="1" applyAlignment="1">
      <alignment horizontal="center" vertical="center" wrapText="1"/>
    </xf>
    <xf numFmtId="41" fontId="6" fillId="0" borderId="32" xfId="1" applyFont="1" applyFill="1" applyBorder="1" applyAlignment="1">
      <alignment horizontal="center" vertical="center" wrapText="1"/>
    </xf>
    <xf numFmtId="41" fontId="6" fillId="0" borderId="36" xfId="1" applyFont="1" applyFill="1" applyBorder="1" applyAlignment="1">
      <alignment horizontal="center" vertical="center" wrapText="1"/>
    </xf>
    <xf numFmtId="41" fontId="6" fillId="0" borderId="37" xfId="1" applyFont="1" applyFill="1" applyBorder="1" applyAlignment="1">
      <alignment horizontal="center" vertical="center" wrapText="1"/>
    </xf>
    <xf numFmtId="41" fontId="7" fillId="0" borderId="33" xfId="1" applyFont="1" applyBorder="1" applyAlignment="1">
      <alignment vertical="center" wrapText="1"/>
    </xf>
    <xf numFmtId="41" fontId="7" fillId="0" borderId="31" xfId="1" applyFont="1" applyBorder="1" applyAlignment="1">
      <alignment vertical="center" wrapText="1"/>
    </xf>
    <xf numFmtId="176" fontId="3" fillId="0" borderId="15" xfId="1" applyNumberFormat="1" applyFont="1" applyFill="1" applyBorder="1" applyAlignment="1">
      <alignment horizontal="center" vertical="center"/>
    </xf>
    <xf numFmtId="176" fontId="3" fillId="0" borderId="2" xfId="1" applyNumberFormat="1" applyFont="1" applyFill="1" applyBorder="1" applyAlignment="1">
      <alignment horizontal="center" vertical="center"/>
    </xf>
    <xf numFmtId="176" fontId="3" fillId="0" borderId="6" xfId="1" applyNumberFormat="1" applyFont="1" applyFill="1" applyBorder="1" applyAlignment="1">
      <alignment horizontal="center" vertical="center"/>
    </xf>
    <xf numFmtId="41" fontId="7" fillId="0" borderId="33" xfId="1" applyFont="1" applyFill="1" applyBorder="1" applyAlignment="1">
      <alignment vertical="center" wrapText="1"/>
    </xf>
    <xf numFmtId="41" fontId="7" fillId="0" borderId="31" xfId="1" applyFont="1" applyFill="1" applyBorder="1" applyAlignment="1">
      <alignment vertical="center" wrapText="1"/>
    </xf>
    <xf numFmtId="41" fontId="3" fillId="0" borderId="53" xfId="1" applyFont="1" applyFill="1" applyBorder="1" applyAlignment="1">
      <alignment horizontal="center" vertical="center"/>
    </xf>
    <xf numFmtId="0" fontId="3" fillId="0" borderId="2" xfId="2" applyFont="1" applyFill="1" applyBorder="1" applyAlignment="1">
      <alignment horizontal="center" vertical="center"/>
    </xf>
    <xf numFmtId="0" fontId="3" fillId="0" borderId="3" xfId="2" applyFont="1" applyFill="1" applyBorder="1" applyAlignment="1">
      <alignment horizontal="center" vertical="center"/>
    </xf>
    <xf numFmtId="0" fontId="3" fillId="0" borderId="12" xfId="2" applyFont="1" applyFill="1" applyBorder="1" applyAlignment="1">
      <alignment horizontal="center" vertical="center"/>
    </xf>
    <xf numFmtId="0" fontId="3" fillId="0" borderId="13" xfId="2" applyFont="1" applyFill="1" applyBorder="1" applyAlignment="1">
      <alignment horizontal="center" vertical="center"/>
    </xf>
    <xf numFmtId="0" fontId="4" fillId="0" borderId="26" xfId="0" applyFont="1" applyBorder="1" applyAlignment="1">
      <alignment horizontal="center" vertical="center" wrapText="1"/>
    </xf>
    <xf numFmtId="0" fontId="4" fillId="0" borderId="2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4" fillId="0" borderId="29" xfId="0" applyFont="1" applyBorder="1" applyAlignment="1">
      <alignment horizontal="center" vertical="center"/>
    </xf>
    <xf numFmtId="0" fontId="4" fillId="0" borderId="22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22" fillId="8" borderId="42" xfId="0" applyFont="1" applyFill="1" applyBorder="1" applyAlignment="1">
      <alignment horizontal="center" vertical="center" wrapText="1"/>
    </xf>
    <xf numFmtId="0" fontId="22" fillId="8" borderId="44" xfId="0" applyFont="1" applyFill="1" applyBorder="1" applyAlignment="1">
      <alignment horizontal="center" vertical="center" wrapText="1"/>
    </xf>
    <xf numFmtId="0" fontId="22" fillId="8" borderId="43" xfId="0" applyFont="1" applyFill="1" applyBorder="1" applyAlignment="1">
      <alignment horizontal="center" vertical="center" wrapText="1"/>
    </xf>
    <xf numFmtId="0" fontId="22" fillId="8" borderId="50" xfId="0" applyFont="1" applyFill="1" applyBorder="1" applyAlignment="1">
      <alignment horizontal="center" vertical="center" wrapText="1"/>
    </xf>
    <xf numFmtId="0" fontId="22" fillId="8" borderId="51" xfId="0" applyFont="1" applyFill="1" applyBorder="1" applyAlignment="1">
      <alignment horizontal="center" vertical="center" wrapText="1"/>
    </xf>
    <xf numFmtId="0" fontId="22" fillId="8" borderId="52" xfId="0" applyFont="1" applyFill="1" applyBorder="1" applyAlignment="1">
      <alignment horizontal="center" vertical="center" wrapText="1"/>
    </xf>
    <xf numFmtId="0" fontId="22" fillId="8" borderId="48" xfId="0" applyFont="1" applyFill="1" applyBorder="1" applyAlignment="1">
      <alignment horizontal="center" vertical="center" wrapText="1"/>
    </xf>
    <xf numFmtId="0" fontId="22" fillId="8" borderId="10" xfId="0" applyFont="1" applyFill="1" applyBorder="1" applyAlignment="1">
      <alignment horizontal="center" vertical="center" wrapText="1"/>
    </xf>
    <xf numFmtId="0" fontId="22" fillId="8" borderId="49" xfId="0" applyFont="1" applyFill="1" applyBorder="1" applyAlignment="1">
      <alignment horizontal="center" vertical="center" wrapText="1"/>
    </xf>
    <xf numFmtId="180" fontId="3" fillId="3" borderId="9" xfId="1" applyNumberFormat="1" applyFont="1" applyFill="1" applyBorder="1" applyAlignment="1">
      <alignment vertical="center"/>
    </xf>
  </cellXfs>
  <cellStyles count="4">
    <cellStyle name="백분율 2" xfId="3"/>
    <cellStyle name="쉼표 [0]" xfId="1" builtinId="6"/>
    <cellStyle name="표준" xfId="0" builtinId="0"/>
    <cellStyle name="표준 2" xfId="2"/>
  </cellStyles>
  <dxfs count="57"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7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39994506668294322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39994506668294322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8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  <dxf>
      <fill>
        <patternFill>
          <bgColor theme="9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4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3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116541</xdr:colOff>
      <xdr:row>2</xdr:row>
      <xdr:rowOff>179294</xdr:rowOff>
    </xdr:from>
    <xdr:to>
      <xdr:col>15</xdr:col>
      <xdr:colOff>430681</xdr:colOff>
      <xdr:row>19</xdr:row>
      <xdr:rowOff>112094</xdr:rowOff>
    </xdr:to>
    <xdr:pic>
      <xdr:nvPicPr>
        <xdr:cNvPr id="2" name="그림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61647" y="681318"/>
          <a:ext cx="5961905" cy="420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8152;&#50689;)%2026&#45380;%206&#50900;%20&#50493;&#53356;%20&#47588;&#5263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4277;&#50976;)raw(9&#50900;&#47560;&#44048;)_&#52572;&#51333;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8152;&#50689;)%2026&#45380;%205&#50900;&#45804;%20&#50493;&#53356;%20&#47588;&#52636;&#54788;&#54889;_0612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48152;&#50689;)%2026&#45380;%207&#50900;%20&#50493;&#53356;&#47588;&#52636;&#54788;&#54889;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/&#50689;&#50629;&#44288;&#47532;1&#54016;/05.%20&#44060;&#48324;&#44277;&#44036;/&#49569;&#50696;&#51652;/&#55092;&#51648;&#53685;/(&#50756;&#47308;)%204&#50900;&#45804;%20&#50493;&#53356;%20&#47588;&#52636;_05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4"/>
      <sheetName val="Sheet2"/>
      <sheetName val="Data"/>
    </sheetNames>
    <sheetDataSet>
      <sheetData sheetId="0">
        <row r="2">
          <cell r="D2">
            <v>1000000</v>
          </cell>
        </row>
        <row r="3">
          <cell r="A3" t="str">
            <v>판매처</v>
          </cell>
          <cell r="B3" t="str">
            <v>판매처명</v>
          </cell>
          <cell r="C3" t="str">
            <v>합계 : 합계</v>
          </cell>
          <cell r="D3">
            <v>2277.6728850000013</v>
          </cell>
        </row>
        <row r="4">
          <cell r="A4">
            <v>10002829</v>
          </cell>
          <cell r="B4" t="str">
            <v>운암한국병원</v>
          </cell>
          <cell r="C4">
            <v>25312000</v>
          </cell>
          <cell r="D4">
            <v>25.312000000000001</v>
          </cell>
        </row>
        <row r="5">
          <cell r="A5">
            <v>10003599</v>
          </cell>
          <cell r="B5" t="str">
            <v>의료법인온그룹의료재단온병원</v>
          </cell>
          <cell r="C5">
            <v>2200000</v>
          </cell>
          <cell r="D5">
            <v>2.2000000000000002</v>
          </cell>
        </row>
        <row r="6">
          <cell r="A6">
            <v>10006513</v>
          </cell>
          <cell r="B6" t="str">
            <v>서울대학교병원</v>
          </cell>
          <cell r="C6">
            <v>2509000</v>
          </cell>
          <cell r="D6">
            <v>2.5089999999999999</v>
          </cell>
        </row>
        <row r="7">
          <cell r="A7">
            <v>10006915</v>
          </cell>
          <cell r="B7" t="str">
            <v>해븐리병원</v>
          </cell>
          <cell r="C7">
            <v>9696000</v>
          </cell>
          <cell r="D7">
            <v>9.6959999999999997</v>
          </cell>
        </row>
        <row r="8">
          <cell r="A8">
            <v>10008171</v>
          </cell>
          <cell r="B8" t="str">
            <v>현대병원</v>
          </cell>
          <cell r="C8">
            <v>17250000</v>
          </cell>
          <cell r="D8">
            <v>17.25</v>
          </cell>
        </row>
        <row r="9">
          <cell r="A9">
            <v>10008739</v>
          </cell>
          <cell r="B9" t="str">
            <v>씨엠병원</v>
          </cell>
          <cell r="C9">
            <v>3513780</v>
          </cell>
          <cell r="D9">
            <v>3.5137800000000001</v>
          </cell>
        </row>
        <row r="10">
          <cell r="A10">
            <v>10014151</v>
          </cell>
          <cell r="B10" t="str">
            <v>의료법인한양의료재단</v>
          </cell>
          <cell r="C10">
            <v>21613000</v>
          </cell>
          <cell r="D10">
            <v>21.613</v>
          </cell>
        </row>
        <row r="11">
          <cell r="A11">
            <v>10014574</v>
          </cell>
          <cell r="B11" t="str">
            <v>에스포항병원</v>
          </cell>
          <cell r="C11">
            <v>34251000</v>
          </cell>
          <cell r="D11">
            <v>34.250999999999998</v>
          </cell>
        </row>
        <row r="12">
          <cell r="A12">
            <v>10014653</v>
          </cell>
          <cell r="B12" t="str">
            <v>원주센텀병원</v>
          </cell>
          <cell r="C12">
            <v>1500000</v>
          </cell>
          <cell r="D12">
            <v>1.5</v>
          </cell>
        </row>
        <row r="13">
          <cell r="A13">
            <v>10015488</v>
          </cell>
          <cell r="B13" t="str">
            <v>의인의료재단차병원</v>
          </cell>
          <cell r="C13">
            <v>10320000</v>
          </cell>
          <cell r="D13">
            <v>10.32</v>
          </cell>
        </row>
        <row r="14">
          <cell r="A14">
            <v>10017056</v>
          </cell>
          <cell r="B14" t="str">
            <v>명지성모병원</v>
          </cell>
          <cell r="C14">
            <v>7202000</v>
          </cell>
          <cell r="D14">
            <v>7.202</v>
          </cell>
        </row>
        <row r="15">
          <cell r="A15">
            <v>10019113</v>
          </cell>
          <cell r="B15" t="str">
            <v>정병원</v>
          </cell>
          <cell r="C15">
            <v>1853000</v>
          </cell>
          <cell r="D15">
            <v>1.853</v>
          </cell>
        </row>
        <row r="16">
          <cell r="A16">
            <v>10021506</v>
          </cell>
          <cell r="B16" t="str">
            <v>의료법인석경의료재단</v>
          </cell>
          <cell r="C16">
            <v>27211000</v>
          </cell>
          <cell r="D16">
            <v>27.210999999999999</v>
          </cell>
        </row>
        <row r="17">
          <cell r="A17">
            <v>10021890</v>
          </cell>
          <cell r="B17" t="str">
            <v>강영의료재단문산중앙병원</v>
          </cell>
          <cell r="C17">
            <v>14847000</v>
          </cell>
          <cell r="D17">
            <v>14.847</v>
          </cell>
        </row>
        <row r="18">
          <cell r="A18">
            <v>10022281</v>
          </cell>
          <cell r="B18" t="str">
            <v>남양주21세기병원</v>
          </cell>
          <cell r="C18">
            <v>1872000</v>
          </cell>
          <cell r="D18">
            <v>1.8720000000000001</v>
          </cell>
        </row>
        <row r="19">
          <cell r="A19">
            <v>10026494</v>
          </cell>
          <cell r="B19" t="str">
            <v>해남우리병원</v>
          </cell>
          <cell r="C19">
            <v>10439000</v>
          </cell>
          <cell r="D19">
            <v>10.439</v>
          </cell>
        </row>
        <row r="20">
          <cell r="A20">
            <v>10031447</v>
          </cell>
          <cell r="B20" t="str">
            <v>신촌연세병원</v>
          </cell>
          <cell r="C20">
            <v>5878000</v>
          </cell>
          <cell r="D20">
            <v>5.8780000000000001</v>
          </cell>
        </row>
        <row r="21">
          <cell r="A21">
            <v>10031830</v>
          </cell>
          <cell r="B21" t="str">
            <v>청구성심병원</v>
          </cell>
          <cell r="C21">
            <v>47353000</v>
          </cell>
          <cell r="D21">
            <v>47.353000000000002</v>
          </cell>
        </row>
        <row r="22">
          <cell r="A22">
            <v>10032062</v>
          </cell>
          <cell r="B22" t="str">
            <v>홍익병원</v>
          </cell>
          <cell r="C22">
            <v>5161000</v>
          </cell>
          <cell r="D22">
            <v>5.1609999999999996</v>
          </cell>
        </row>
        <row r="23">
          <cell r="A23">
            <v>10032148</v>
          </cell>
          <cell r="B23" t="str">
            <v>희명병원</v>
          </cell>
          <cell r="C23">
            <v>7189000</v>
          </cell>
          <cell r="D23">
            <v>7.1890000000000001</v>
          </cell>
        </row>
        <row r="24">
          <cell r="A24">
            <v>10032163</v>
          </cell>
          <cell r="B24" t="str">
            <v>척편한병원</v>
          </cell>
          <cell r="C24">
            <v>3716000</v>
          </cell>
          <cell r="D24">
            <v>3.7160000000000002</v>
          </cell>
        </row>
        <row r="25">
          <cell r="A25">
            <v>10032311</v>
          </cell>
          <cell r="B25" t="str">
            <v>성모윌병원</v>
          </cell>
          <cell r="C25">
            <v>10160000</v>
          </cell>
          <cell r="D25">
            <v>10.16</v>
          </cell>
        </row>
        <row r="26">
          <cell r="A26">
            <v>10032387</v>
          </cell>
          <cell r="B26" t="str">
            <v>의료법인센텀의료재단센텀종합병원</v>
          </cell>
          <cell r="C26">
            <v>11651000</v>
          </cell>
          <cell r="D26">
            <v>11.651</v>
          </cell>
        </row>
        <row r="27">
          <cell r="A27">
            <v>10032388</v>
          </cell>
          <cell r="B27" t="str">
            <v>의료법인안은의료재단부평세림병원</v>
          </cell>
          <cell r="C27">
            <v>7046000</v>
          </cell>
          <cell r="D27">
            <v>7.0460000000000003</v>
          </cell>
        </row>
        <row r="28">
          <cell r="A28">
            <v>10032706</v>
          </cell>
          <cell r="B28" t="str">
            <v>의료법인백성의료재단안중백병원</v>
          </cell>
          <cell r="C28">
            <v>16497000</v>
          </cell>
          <cell r="D28">
            <v>16.497</v>
          </cell>
        </row>
        <row r="29">
          <cell r="A29">
            <v>10032728</v>
          </cell>
          <cell r="B29" t="str">
            <v>의료법인양진의료재단평택성모병원</v>
          </cell>
          <cell r="C29">
            <v>39876000</v>
          </cell>
          <cell r="D29">
            <v>39.875999999999998</v>
          </cell>
        </row>
        <row r="30">
          <cell r="A30">
            <v>10032805</v>
          </cell>
          <cell r="B30" t="str">
            <v>여주새로운병원</v>
          </cell>
          <cell r="C30">
            <v>4252000</v>
          </cell>
          <cell r="D30">
            <v>4.2519999999999998</v>
          </cell>
        </row>
        <row r="31">
          <cell r="A31">
            <v>10032898</v>
          </cell>
          <cell r="B31" t="str">
            <v>의료법인쓰임받는사람들의료재단(양주예쓰병원)</v>
          </cell>
          <cell r="C31">
            <v>5000000</v>
          </cell>
          <cell r="D31">
            <v>5</v>
          </cell>
        </row>
        <row r="32">
          <cell r="A32">
            <v>10032900</v>
          </cell>
          <cell r="B32" t="str">
            <v>의료법인일심의료재단포천우리병원</v>
          </cell>
          <cell r="C32">
            <v>12515000</v>
          </cell>
          <cell r="D32">
            <v>12.515000000000001</v>
          </cell>
        </row>
        <row r="33">
          <cell r="A33">
            <v>10032935</v>
          </cell>
          <cell r="B33" t="str">
            <v>추병원</v>
          </cell>
          <cell r="C33">
            <v>21712000</v>
          </cell>
          <cell r="D33">
            <v>21.712</v>
          </cell>
        </row>
        <row r="34">
          <cell r="A34">
            <v>10033027</v>
          </cell>
          <cell r="B34" t="str">
            <v>의료법인자인의료재단더자인병원</v>
          </cell>
          <cell r="C34">
            <v>3616000</v>
          </cell>
          <cell r="D34">
            <v>3.6160000000000001</v>
          </cell>
        </row>
        <row r="35">
          <cell r="A35">
            <v>10033043</v>
          </cell>
          <cell r="B35" t="str">
            <v>메디인병원</v>
          </cell>
          <cell r="C35">
            <v>7645000</v>
          </cell>
          <cell r="D35">
            <v>7.6449999999999996</v>
          </cell>
        </row>
        <row r="36">
          <cell r="A36">
            <v>10033160</v>
          </cell>
          <cell r="B36" t="str">
            <v>(의)대진의료재단분당제생병원</v>
          </cell>
          <cell r="C36">
            <v>67012353</v>
          </cell>
          <cell r="D36">
            <v>67.012353000000004</v>
          </cell>
        </row>
        <row r="37">
          <cell r="A37">
            <v>10033270</v>
          </cell>
          <cell r="B37" t="str">
            <v>(학)가톨릭대학교부천성모병원</v>
          </cell>
          <cell r="C37">
            <v>62372000</v>
          </cell>
          <cell r="D37">
            <v>62.372</v>
          </cell>
        </row>
        <row r="38">
          <cell r="A38">
            <v>10033272</v>
          </cell>
          <cell r="B38" t="str">
            <v>부천순천향대학교의과대학부속병원</v>
          </cell>
          <cell r="C38">
            <v>23052000</v>
          </cell>
          <cell r="D38">
            <v>23.052</v>
          </cell>
        </row>
        <row r="39">
          <cell r="A39">
            <v>10033277</v>
          </cell>
          <cell r="B39" t="str">
            <v>의료법인대인의료재단다니엘병원</v>
          </cell>
          <cell r="C39">
            <v>17088000</v>
          </cell>
          <cell r="D39">
            <v>17.088000000000001</v>
          </cell>
        </row>
        <row r="40">
          <cell r="A40">
            <v>10033479</v>
          </cell>
          <cell r="B40" t="str">
            <v>의료법인양평의료재단</v>
          </cell>
          <cell r="C40">
            <v>2480000</v>
          </cell>
          <cell r="D40">
            <v>2.48</v>
          </cell>
        </row>
        <row r="41">
          <cell r="A41">
            <v>10033614</v>
          </cell>
          <cell r="B41" t="str">
            <v>(의)대아의료재단</v>
          </cell>
          <cell r="C41">
            <v>26988000</v>
          </cell>
          <cell r="D41">
            <v>26.988</v>
          </cell>
        </row>
        <row r="42">
          <cell r="A42">
            <v>10033886</v>
          </cell>
          <cell r="B42" t="str">
            <v>의료법인우리의료재단</v>
          </cell>
          <cell r="C42">
            <v>44343000</v>
          </cell>
          <cell r="D42">
            <v>44.343000000000004</v>
          </cell>
        </row>
        <row r="43">
          <cell r="A43">
            <v>10033888</v>
          </cell>
          <cell r="B43" t="str">
            <v>인천가톨릭학원가톨릭관동대학교국제성모병원</v>
          </cell>
          <cell r="C43">
            <v>30081000</v>
          </cell>
          <cell r="D43">
            <v>30.081</v>
          </cell>
        </row>
        <row r="44">
          <cell r="A44">
            <v>10034679</v>
          </cell>
          <cell r="B44" t="str">
            <v>서울성심병원</v>
          </cell>
          <cell r="C44">
            <v>10131000</v>
          </cell>
          <cell r="D44">
            <v>10.131</v>
          </cell>
        </row>
        <row r="45">
          <cell r="A45">
            <v>10034681</v>
          </cell>
          <cell r="B45" t="str">
            <v>강일병원</v>
          </cell>
          <cell r="C45">
            <v>5070000</v>
          </cell>
          <cell r="D45">
            <v>5.07</v>
          </cell>
        </row>
        <row r="46">
          <cell r="A46">
            <v>10034707</v>
          </cell>
          <cell r="B46" t="str">
            <v>혜민병원</v>
          </cell>
          <cell r="C46">
            <v>16544000</v>
          </cell>
          <cell r="D46">
            <v>16.544</v>
          </cell>
        </row>
        <row r="47">
          <cell r="A47">
            <v>10034942</v>
          </cell>
          <cell r="B47" t="str">
            <v>서울노보스병원</v>
          </cell>
          <cell r="C47">
            <v>12058000</v>
          </cell>
          <cell r="D47">
            <v>12.058</v>
          </cell>
        </row>
        <row r="48">
          <cell r="A48">
            <v>10035069</v>
          </cell>
          <cell r="B48" t="str">
            <v>검단탑종합병원</v>
          </cell>
          <cell r="C48">
            <v>31965200</v>
          </cell>
          <cell r="D48">
            <v>31.965199999999999</v>
          </cell>
        </row>
        <row r="49">
          <cell r="A49">
            <v>10035078</v>
          </cell>
          <cell r="B49" t="str">
            <v>사랑플러스병원</v>
          </cell>
          <cell r="C49">
            <v>6291000</v>
          </cell>
          <cell r="D49">
            <v>6.2910000000000004</v>
          </cell>
        </row>
        <row r="50">
          <cell r="A50">
            <v>10035562</v>
          </cell>
          <cell r="B50" t="str">
            <v>의료법인선덕의료재단대성병원</v>
          </cell>
          <cell r="C50">
            <v>12766000</v>
          </cell>
          <cell r="D50">
            <v>12.766</v>
          </cell>
        </row>
        <row r="51">
          <cell r="A51">
            <v>10035927</v>
          </cell>
          <cell r="B51" t="str">
            <v>뿌리병원</v>
          </cell>
          <cell r="C51">
            <v>12415000</v>
          </cell>
          <cell r="D51">
            <v>12.414999999999999</v>
          </cell>
        </row>
        <row r="52">
          <cell r="A52">
            <v>10035968</v>
          </cell>
          <cell r="B52" t="str">
            <v>아산충무병원</v>
          </cell>
          <cell r="C52">
            <v>13700000</v>
          </cell>
          <cell r="D52">
            <v>13.7</v>
          </cell>
        </row>
        <row r="53">
          <cell r="A53">
            <v>10036016</v>
          </cell>
          <cell r="B53" t="str">
            <v>시원병원</v>
          </cell>
          <cell r="C53">
            <v>2432000</v>
          </cell>
          <cell r="D53">
            <v>2.4319999999999999</v>
          </cell>
        </row>
        <row r="54">
          <cell r="A54">
            <v>10036166</v>
          </cell>
          <cell r="B54" t="str">
            <v>씨엔씨재활의학과병원</v>
          </cell>
          <cell r="C54">
            <v>10787000</v>
          </cell>
          <cell r="D54">
            <v>10.787000000000001</v>
          </cell>
        </row>
        <row r="55">
          <cell r="A55">
            <v>10036320</v>
          </cell>
          <cell r="B55" t="str">
            <v>대전한국병원</v>
          </cell>
          <cell r="C55">
            <v>22501000</v>
          </cell>
          <cell r="D55">
            <v>22.501000000000001</v>
          </cell>
        </row>
        <row r="56">
          <cell r="A56">
            <v>10036531</v>
          </cell>
          <cell r="B56" t="str">
            <v>건양대학교부여병원</v>
          </cell>
          <cell r="C56">
            <v>5068000</v>
          </cell>
          <cell r="D56">
            <v>5.0679999999999996</v>
          </cell>
        </row>
        <row r="57">
          <cell r="A57">
            <v>10036590</v>
          </cell>
          <cell r="B57" t="str">
            <v>당진종합병원</v>
          </cell>
          <cell r="C57">
            <v>28381000</v>
          </cell>
          <cell r="D57">
            <v>28.381</v>
          </cell>
        </row>
        <row r="58">
          <cell r="A58">
            <v>10036633</v>
          </cell>
          <cell r="B58" t="str">
            <v>예산명지병원</v>
          </cell>
          <cell r="C58">
            <v>9574000</v>
          </cell>
          <cell r="D58">
            <v>9.5739999999999998</v>
          </cell>
        </row>
        <row r="59">
          <cell r="A59">
            <v>10036639</v>
          </cell>
          <cell r="B59" t="str">
            <v>서산중앙병원</v>
          </cell>
          <cell r="C59">
            <v>68335000</v>
          </cell>
          <cell r="D59">
            <v>68.334999999999994</v>
          </cell>
        </row>
        <row r="60">
          <cell r="A60">
            <v>10037576</v>
          </cell>
          <cell r="B60" t="str">
            <v>(재)예수병원유지재단</v>
          </cell>
          <cell r="C60">
            <v>25476000</v>
          </cell>
          <cell r="D60">
            <v>25.475999999999999</v>
          </cell>
        </row>
        <row r="61">
          <cell r="A61">
            <v>10037680</v>
          </cell>
          <cell r="B61" t="str">
            <v>원광대학교병원</v>
          </cell>
          <cell r="C61">
            <v>10774000</v>
          </cell>
          <cell r="D61">
            <v>10.773999999999999</v>
          </cell>
        </row>
        <row r="62">
          <cell r="A62">
            <v>10037863</v>
          </cell>
          <cell r="B62" t="str">
            <v>광주씨티병원</v>
          </cell>
          <cell r="C62">
            <v>6512000</v>
          </cell>
          <cell r="D62">
            <v>6.5119999999999996</v>
          </cell>
        </row>
        <row r="63">
          <cell r="A63">
            <v>10037883</v>
          </cell>
          <cell r="B63" t="str">
            <v>화순성심병원</v>
          </cell>
          <cell r="C63">
            <v>24737000</v>
          </cell>
          <cell r="D63">
            <v>24.736999999999998</v>
          </cell>
        </row>
        <row r="64">
          <cell r="A64">
            <v>10037916</v>
          </cell>
          <cell r="B64" t="str">
            <v>전남대학교병원</v>
          </cell>
          <cell r="C64">
            <v>4283387</v>
          </cell>
          <cell r="D64">
            <v>4.2833870000000003</v>
          </cell>
        </row>
        <row r="65">
          <cell r="A65">
            <v>10037919</v>
          </cell>
          <cell r="B65" t="str">
            <v>화순전남대학교병원</v>
          </cell>
          <cell r="C65">
            <v>5812665</v>
          </cell>
          <cell r="D65">
            <v>5.812665</v>
          </cell>
        </row>
        <row r="66">
          <cell r="A66">
            <v>10038148</v>
          </cell>
          <cell r="B66" t="str">
            <v>KS병원</v>
          </cell>
          <cell r="C66">
            <v>8807000</v>
          </cell>
          <cell r="D66">
            <v>8.8070000000000004</v>
          </cell>
        </row>
        <row r="67">
          <cell r="A67">
            <v>10038249</v>
          </cell>
          <cell r="B67" t="str">
            <v>광주한국병원</v>
          </cell>
          <cell r="C67">
            <v>27963000</v>
          </cell>
          <cell r="D67">
            <v>27.963000000000001</v>
          </cell>
        </row>
        <row r="68">
          <cell r="A68">
            <v>10038259</v>
          </cell>
          <cell r="B68" t="str">
            <v>동아병원</v>
          </cell>
          <cell r="C68">
            <v>8772000</v>
          </cell>
          <cell r="D68">
            <v>8.7720000000000002</v>
          </cell>
        </row>
        <row r="69">
          <cell r="A69">
            <v>10038346</v>
          </cell>
          <cell r="B69" t="str">
            <v>목포기독병원</v>
          </cell>
          <cell r="C69">
            <v>19804000</v>
          </cell>
          <cell r="D69">
            <v>19.803999999999998</v>
          </cell>
        </row>
        <row r="70">
          <cell r="A70">
            <v>10038463</v>
          </cell>
          <cell r="B70" t="str">
            <v>고흥윤호21병원</v>
          </cell>
          <cell r="C70">
            <v>7475000</v>
          </cell>
          <cell r="D70">
            <v>7.4749999999999996</v>
          </cell>
        </row>
        <row r="71">
          <cell r="A71">
            <v>10038513</v>
          </cell>
          <cell r="B71" t="str">
            <v>의료법인장호녹동현대병원</v>
          </cell>
          <cell r="C71">
            <v>7834000</v>
          </cell>
          <cell r="D71">
            <v>7.8339999999999996</v>
          </cell>
        </row>
        <row r="72">
          <cell r="A72">
            <v>10038606</v>
          </cell>
          <cell r="B72" t="str">
            <v>(의)한마음의료재단여수제일병원</v>
          </cell>
          <cell r="C72">
            <v>14428000</v>
          </cell>
          <cell r="D72">
            <v>14.428000000000001</v>
          </cell>
        </row>
        <row r="73">
          <cell r="A73">
            <v>10038671</v>
          </cell>
          <cell r="B73" t="str">
            <v>전주고려병원</v>
          </cell>
          <cell r="C73">
            <v>16696000</v>
          </cell>
          <cell r="D73">
            <v>16.696000000000002</v>
          </cell>
        </row>
        <row r="74">
          <cell r="A74">
            <v>10038792</v>
          </cell>
          <cell r="B74" t="str">
            <v>추새로병원</v>
          </cell>
          <cell r="C74">
            <v>1983000</v>
          </cell>
          <cell r="D74">
            <v>1.9830000000000001</v>
          </cell>
        </row>
        <row r="75">
          <cell r="A75">
            <v>10039210</v>
          </cell>
          <cell r="B75" t="str">
            <v>의료법인백천의료재단</v>
          </cell>
          <cell r="C75">
            <v>22010000</v>
          </cell>
          <cell r="D75">
            <v>22.01</v>
          </cell>
        </row>
        <row r="76">
          <cell r="A76">
            <v>10039242</v>
          </cell>
          <cell r="B76" t="str">
            <v>수성한미병원</v>
          </cell>
          <cell r="C76">
            <v>4381000</v>
          </cell>
          <cell r="D76">
            <v>4.3810000000000002</v>
          </cell>
        </row>
        <row r="77">
          <cell r="A77">
            <v>10039694</v>
          </cell>
          <cell r="B77" t="str">
            <v>석촌의료재단성주무강병원</v>
          </cell>
          <cell r="C77">
            <v>1263000</v>
          </cell>
          <cell r="D77">
            <v>1.2629999999999999</v>
          </cell>
        </row>
        <row r="78">
          <cell r="A78">
            <v>10040095</v>
          </cell>
          <cell r="B78" t="str">
            <v>새천년병원</v>
          </cell>
          <cell r="C78">
            <v>7126000</v>
          </cell>
          <cell r="D78">
            <v>7.1260000000000003</v>
          </cell>
        </row>
        <row r="79">
          <cell r="A79">
            <v>10040523</v>
          </cell>
          <cell r="B79" t="str">
            <v>동아대학교의료원</v>
          </cell>
          <cell r="C79">
            <v>9335000</v>
          </cell>
          <cell r="D79">
            <v>9.3350000000000009</v>
          </cell>
        </row>
        <row r="80">
          <cell r="A80">
            <v>10040545</v>
          </cell>
          <cell r="B80" t="str">
            <v>부산본병원</v>
          </cell>
          <cell r="C80">
            <v>7585000</v>
          </cell>
          <cell r="D80">
            <v>7.585</v>
          </cell>
        </row>
        <row r="81">
          <cell r="A81">
            <v>10040635</v>
          </cell>
          <cell r="B81" t="str">
            <v>인제대학교부산백병원</v>
          </cell>
          <cell r="C81">
            <v>12814000</v>
          </cell>
          <cell r="D81">
            <v>12.814</v>
          </cell>
        </row>
        <row r="82">
          <cell r="A82">
            <v>10040639</v>
          </cell>
          <cell r="B82" t="str">
            <v>학교법인동의병원</v>
          </cell>
          <cell r="C82">
            <v>20407000</v>
          </cell>
          <cell r="D82">
            <v>20.407</v>
          </cell>
        </row>
        <row r="83">
          <cell r="A83">
            <v>10040724</v>
          </cell>
          <cell r="B83" t="str">
            <v>인당의료재단부민병원</v>
          </cell>
          <cell r="C83">
            <v>417891900</v>
          </cell>
          <cell r="D83">
            <v>417.89190000000002</v>
          </cell>
        </row>
        <row r="84">
          <cell r="A84">
            <v>10040990</v>
          </cell>
          <cell r="B84" t="str">
            <v>연세에스병원</v>
          </cell>
          <cell r="C84">
            <v>2224000</v>
          </cell>
          <cell r="D84">
            <v>2.2240000000000002</v>
          </cell>
        </row>
        <row r="85">
          <cell r="A85">
            <v>10041141</v>
          </cell>
          <cell r="B85" t="str">
            <v>의료법인혜명심의료재단(울산병원)</v>
          </cell>
          <cell r="C85">
            <v>11072000</v>
          </cell>
          <cell r="D85">
            <v>11.071999999999999</v>
          </cell>
        </row>
        <row r="86">
          <cell r="A86">
            <v>10041259</v>
          </cell>
          <cell r="B86" t="str">
            <v>새통영병원</v>
          </cell>
          <cell r="C86">
            <v>18202000</v>
          </cell>
          <cell r="D86">
            <v>18.202000000000002</v>
          </cell>
        </row>
        <row r="87">
          <cell r="A87">
            <v>10041416</v>
          </cell>
          <cell r="B87" t="str">
            <v>의료법인갑을의료재단갑을장유병원</v>
          </cell>
          <cell r="C87">
            <v>14060000</v>
          </cell>
          <cell r="D87">
            <v>14.06</v>
          </cell>
        </row>
        <row r="88">
          <cell r="A88">
            <v>10041441</v>
          </cell>
          <cell r="B88" t="str">
            <v>김해굿모닝병원</v>
          </cell>
          <cell r="C88">
            <v>368000</v>
          </cell>
          <cell r="D88">
            <v>0.36799999999999999</v>
          </cell>
        </row>
        <row r="89">
          <cell r="A89">
            <v>10041502</v>
          </cell>
          <cell r="B89" t="str">
            <v>(의)한라의료재단</v>
          </cell>
          <cell r="C89">
            <v>25000000</v>
          </cell>
          <cell r="D89">
            <v>25</v>
          </cell>
        </row>
        <row r="90">
          <cell r="A90">
            <v>10041592</v>
          </cell>
          <cell r="B90" t="str">
            <v>비에이치에스한서병원</v>
          </cell>
          <cell r="C90">
            <v>52024000</v>
          </cell>
          <cell r="D90">
            <v>52.024000000000001</v>
          </cell>
        </row>
        <row r="91">
          <cell r="A91">
            <v>10041601</v>
          </cell>
          <cell r="B91" t="str">
            <v>인제대학교해운대백병원</v>
          </cell>
          <cell r="C91">
            <v>13843000</v>
          </cell>
          <cell r="D91">
            <v>13.843</v>
          </cell>
        </row>
        <row r="92">
          <cell r="A92">
            <v>10041740</v>
          </cell>
          <cell r="B92" t="str">
            <v>서울산보람병원</v>
          </cell>
          <cell r="C92">
            <v>4537000</v>
          </cell>
          <cell r="D92">
            <v>4.5369999999999999</v>
          </cell>
        </row>
        <row r="93">
          <cell r="A93">
            <v>10041832</v>
          </cell>
          <cell r="B93" t="str">
            <v>서일의료재단기장병원</v>
          </cell>
          <cell r="C93">
            <v>22640000</v>
          </cell>
          <cell r="D93">
            <v>22.64</v>
          </cell>
        </row>
        <row r="94">
          <cell r="A94">
            <v>10042063</v>
          </cell>
          <cell r="B94" t="str">
            <v>장튼위튼병원</v>
          </cell>
          <cell r="C94">
            <v>1748000</v>
          </cell>
          <cell r="D94">
            <v>1.748</v>
          </cell>
        </row>
        <row r="95">
          <cell r="A95">
            <v>10042527</v>
          </cell>
          <cell r="B95" t="str">
            <v>엠에스(MS)재건병원</v>
          </cell>
          <cell r="C95">
            <v>9600000</v>
          </cell>
          <cell r="D95">
            <v>9.6</v>
          </cell>
        </row>
        <row r="96">
          <cell r="A96">
            <v>10042934</v>
          </cell>
          <cell r="B96" t="str">
            <v>의료법인남촌의료재단</v>
          </cell>
          <cell r="C96">
            <v>435000</v>
          </cell>
          <cell r="D96">
            <v>0.435</v>
          </cell>
        </row>
        <row r="97">
          <cell r="A97">
            <v>10044981</v>
          </cell>
          <cell r="B97" t="str">
            <v>신일병원</v>
          </cell>
          <cell r="C97">
            <v>9568000</v>
          </cell>
          <cell r="D97">
            <v>9.5679999999999996</v>
          </cell>
        </row>
        <row r="98">
          <cell r="A98">
            <v>10045059</v>
          </cell>
          <cell r="B98" t="str">
            <v>팔팔병원</v>
          </cell>
          <cell r="C98">
            <v>1744000</v>
          </cell>
          <cell r="D98">
            <v>1.744</v>
          </cell>
        </row>
        <row r="99">
          <cell r="A99">
            <v>10045809</v>
          </cell>
          <cell r="B99" t="str">
            <v>의료법인영동의료재단의정부백병원</v>
          </cell>
          <cell r="C99">
            <v>11791000</v>
          </cell>
          <cell r="D99">
            <v>11.791</v>
          </cell>
        </row>
        <row r="100">
          <cell r="A100">
            <v>10046570</v>
          </cell>
          <cell r="B100" t="str">
            <v>의료법인성지의료재단(성지병원)</v>
          </cell>
          <cell r="C100">
            <v>24089000</v>
          </cell>
          <cell r="D100">
            <v>24.088999999999999</v>
          </cell>
        </row>
        <row r="101">
          <cell r="A101">
            <v>10046609</v>
          </cell>
          <cell r="B101" t="str">
            <v>씨엔씨푸른병원</v>
          </cell>
          <cell r="C101">
            <v>10400000</v>
          </cell>
          <cell r="D101">
            <v>10.4</v>
          </cell>
        </row>
        <row r="102">
          <cell r="A102">
            <v>10046731</v>
          </cell>
          <cell r="B102" t="str">
            <v>의료법인규웅의료재단(대청병원)</v>
          </cell>
          <cell r="C102">
            <v>38800000</v>
          </cell>
          <cell r="D102">
            <v>38.799999999999997</v>
          </cell>
        </row>
        <row r="103">
          <cell r="A103">
            <v>10046812</v>
          </cell>
          <cell r="B103" t="str">
            <v>의료법인은성의료재단좋은선린병원</v>
          </cell>
          <cell r="C103">
            <v>17061000</v>
          </cell>
          <cell r="D103">
            <v>17.061</v>
          </cell>
        </row>
        <row r="104">
          <cell r="A104">
            <v>10047292</v>
          </cell>
          <cell r="B104" t="str">
            <v>의료법인숭인의료재단김해복음병원</v>
          </cell>
          <cell r="C104">
            <v>44222000</v>
          </cell>
          <cell r="D104">
            <v>44.222000000000001</v>
          </cell>
        </row>
        <row r="105">
          <cell r="A105">
            <v>10050471</v>
          </cell>
          <cell r="B105" t="str">
            <v>성지의료재단제천성지병원</v>
          </cell>
          <cell r="C105">
            <v>4563000</v>
          </cell>
          <cell r="D105">
            <v>4.5629999999999997</v>
          </cell>
        </row>
        <row r="106">
          <cell r="A106">
            <v>10050868</v>
          </cell>
          <cell r="B106" t="str">
            <v>연세오케이병원</v>
          </cell>
          <cell r="C106">
            <v>6404000</v>
          </cell>
          <cell r="D106">
            <v>6.4039999999999999</v>
          </cell>
        </row>
        <row r="107">
          <cell r="A107">
            <v>10060702</v>
          </cell>
          <cell r="B107" t="str">
            <v>동탄시티병원</v>
          </cell>
          <cell r="C107">
            <v>12928000</v>
          </cell>
          <cell r="D107">
            <v>12.928000000000001</v>
          </cell>
        </row>
        <row r="108">
          <cell r="A108">
            <v>10061894</v>
          </cell>
          <cell r="B108" t="str">
            <v>선한병원</v>
          </cell>
          <cell r="C108">
            <v>864000</v>
          </cell>
          <cell r="D108">
            <v>0.86399999999999999</v>
          </cell>
        </row>
        <row r="109">
          <cell r="A109">
            <v>10061981</v>
          </cell>
          <cell r="B109" t="str">
            <v>새손병원</v>
          </cell>
          <cell r="C109">
            <v>4030000</v>
          </cell>
          <cell r="D109">
            <v>4.03</v>
          </cell>
        </row>
        <row r="110">
          <cell r="A110">
            <v>10063044</v>
          </cell>
          <cell r="B110" t="str">
            <v>의료법인명인의료재단</v>
          </cell>
          <cell r="C110">
            <v>41301600</v>
          </cell>
          <cell r="D110">
            <v>41.301600000000001</v>
          </cell>
        </row>
        <row r="111">
          <cell r="A111">
            <v>10066681</v>
          </cell>
          <cell r="B111" t="str">
            <v>빛가람종합병원</v>
          </cell>
          <cell r="C111">
            <v>4384000</v>
          </cell>
          <cell r="D111">
            <v>4.3840000000000003</v>
          </cell>
        </row>
        <row r="112">
          <cell r="A112">
            <v>10067605</v>
          </cell>
          <cell r="B112" t="str">
            <v>에이스병원(남양주)</v>
          </cell>
          <cell r="C112">
            <v>9965000</v>
          </cell>
          <cell r="D112">
            <v>9.9649999999999999</v>
          </cell>
        </row>
        <row r="113">
          <cell r="A113">
            <v>10068728</v>
          </cell>
          <cell r="B113" t="str">
            <v>엘병원</v>
          </cell>
          <cell r="C113">
            <v>17408000</v>
          </cell>
          <cell r="D113">
            <v>17.408000000000001</v>
          </cell>
        </row>
        <row r="114">
          <cell r="A114">
            <v>10069147</v>
          </cell>
          <cell r="B114" t="str">
            <v>의료법인혜인의료재단한국병원</v>
          </cell>
          <cell r="C114">
            <v>35424000</v>
          </cell>
          <cell r="D114">
            <v>35.423999999999999</v>
          </cell>
        </row>
        <row r="115">
          <cell r="A115">
            <v>10069441</v>
          </cell>
          <cell r="B115" t="str">
            <v>의료법인행도의료재단(해동병원)</v>
          </cell>
          <cell r="C115">
            <v>13146000</v>
          </cell>
          <cell r="D115">
            <v>13.146000000000001</v>
          </cell>
        </row>
        <row r="116">
          <cell r="A116">
            <v>10070268</v>
          </cell>
          <cell r="B116" t="str">
            <v>천안리턴병원</v>
          </cell>
          <cell r="C116">
            <v>13783000</v>
          </cell>
          <cell r="D116">
            <v>13.782999999999999</v>
          </cell>
        </row>
        <row r="117">
          <cell r="A117">
            <v>10071000</v>
          </cell>
          <cell r="B117" t="str">
            <v>광주365재활병원</v>
          </cell>
          <cell r="C117">
            <v>14987000</v>
          </cell>
          <cell r="D117">
            <v>14.987</v>
          </cell>
        </row>
        <row r="118">
          <cell r="A118">
            <v>10073012</v>
          </cell>
          <cell r="B118" t="str">
            <v>영암한국병원</v>
          </cell>
          <cell r="C118">
            <v>8061000</v>
          </cell>
          <cell r="D118">
            <v>8.0609999999999999</v>
          </cell>
        </row>
        <row r="119">
          <cell r="A119">
            <v>10074449</v>
          </cell>
          <cell r="B119" t="str">
            <v>중앙대학교광명병원</v>
          </cell>
          <cell r="C119">
            <v>2803000</v>
          </cell>
          <cell r="D119">
            <v>2.8029999999999999</v>
          </cell>
        </row>
        <row r="120">
          <cell r="A120">
            <v>10075257</v>
          </cell>
          <cell r="B120" t="str">
            <v>하남S병원</v>
          </cell>
          <cell r="C120">
            <v>4291000</v>
          </cell>
          <cell r="D120">
            <v>4.2910000000000004</v>
          </cell>
        </row>
        <row r="121">
          <cell r="A121">
            <v>10077968</v>
          </cell>
          <cell r="B121" t="str">
            <v>정읍한국병원</v>
          </cell>
          <cell r="C121">
            <v>61000</v>
          </cell>
          <cell r="D121">
            <v>6.0999999999999999E-2</v>
          </cell>
        </row>
        <row r="122">
          <cell r="A122">
            <v>10082404</v>
          </cell>
          <cell r="B122" t="str">
            <v>거인병원</v>
          </cell>
          <cell r="C122">
            <v>5315000</v>
          </cell>
          <cell r="D122">
            <v>5.3150000000000004</v>
          </cell>
        </row>
        <row r="123">
          <cell r="A123">
            <v>10083322</v>
          </cell>
          <cell r="B123" t="str">
            <v>아중요양병원</v>
          </cell>
          <cell r="C123">
            <v>4706000</v>
          </cell>
          <cell r="D123">
            <v>4.7060000000000004</v>
          </cell>
        </row>
        <row r="124">
          <cell r="A124">
            <v>10084743</v>
          </cell>
          <cell r="B124" t="str">
            <v>새동산병원</v>
          </cell>
          <cell r="C124">
            <v>11487000</v>
          </cell>
          <cell r="D124">
            <v>11.487</v>
          </cell>
        </row>
        <row r="125">
          <cell r="A125">
            <v>10086968</v>
          </cell>
          <cell r="B125" t="str">
            <v>청담해리슨병원</v>
          </cell>
          <cell r="C125">
            <v>2688000</v>
          </cell>
          <cell r="D125">
            <v>2.6880000000000002</v>
          </cell>
        </row>
        <row r="126">
          <cell r="A126">
            <v>10087161</v>
          </cell>
          <cell r="B126" t="str">
            <v>중앙메디컬병원</v>
          </cell>
          <cell r="C126">
            <v>1469000</v>
          </cell>
          <cell r="D126">
            <v>1.4690000000000001</v>
          </cell>
        </row>
        <row r="127">
          <cell r="A127">
            <v>10089241</v>
          </cell>
          <cell r="B127" t="str">
            <v>미라클병원</v>
          </cell>
          <cell r="C127">
            <v>868000</v>
          </cell>
          <cell r="D127">
            <v>0.86799999999999999</v>
          </cell>
        </row>
        <row r="128">
          <cell r="A128">
            <v>10091292</v>
          </cell>
          <cell r="B128" t="str">
            <v>박철홍정형외과의원</v>
          </cell>
          <cell r="C128">
            <v>1952000</v>
          </cell>
          <cell r="D128">
            <v>1.952</v>
          </cell>
        </row>
        <row r="129">
          <cell r="A129">
            <v>10096603</v>
          </cell>
          <cell r="B129" t="str">
            <v>의료법인인덕의료재단복주회복병원</v>
          </cell>
          <cell r="C129">
            <v>21436000</v>
          </cell>
          <cell r="D129">
            <v>21.436</v>
          </cell>
        </row>
        <row r="130">
          <cell r="A130">
            <v>10099847</v>
          </cell>
          <cell r="B130" t="str">
            <v>더필병원</v>
          </cell>
          <cell r="C130">
            <v>19603000</v>
          </cell>
          <cell r="D130">
            <v>19.603000000000002</v>
          </cell>
        </row>
        <row r="131">
          <cell r="A131">
            <v>10103688</v>
          </cell>
          <cell r="B131" t="str">
            <v>한빛병원</v>
          </cell>
          <cell r="C131">
            <v>10231000</v>
          </cell>
          <cell r="D131">
            <v>10.231</v>
          </cell>
        </row>
        <row r="132">
          <cell r="A132">
            <v>10111228</v>
          </cell>
          <cell r="B132" t="str">
            <v>대구예스병원</v>
          </cell>
          <cell r="C132">
            <v>16640000</v>
          </cell>
          <cell r="D132">
            <v>16.64</v>
          </cell>
        </row>
        <row r="133">
          <cell r="A133">
            <v>10112263</v>
          </cell>
          <cell r="B133" t="str">
            <v>의료법인효경의료재단(효성요양병원)</v>
          </cell>
          <cell r="C133">
            <v>7800000</v>
          </cell>
          <cell r="D133">
            <v>7.8</v>
          </cell>
        </row>
        <row r="134">
          <cell r="A134">
            <v>10112774</v>
          </cell>
          <cell r="B134" t="str">
            <v>의료법인나눔과행복의료재단</v>
          </cell>
          <cell r="C134">
            <v>9186000</v>
          </cell>
          <cell r="D134">
            <v>9.1859999999999999</v>
          </cell>
        </row>
      </sheetData>
      <sheetData sheetId="1"/>
      <sheetData sheetId="2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w"/>
    </sheetNames>
    <sheetDataSet>
      <sheetData sheetId="0">
        <row r="19">
          <cell r="AX19">
            <v>2880000.2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"/>
      <sheetName val="Sheet2"/>
      <sheetName val="Data"/>
    </sheetNames>
    <sheetDataSet>
      <sheetData sheetId="0">
        <row r="3">
          <cell r="A3" t="str">
            <v>판매처</v>
          </cell>
          <cell r="B3" t="str">
            <v>판매처명</v>
          </cell>
          <cell r="C3" t="str">
            <v>실납처</v>
          </cell>
          <cell r="D3" t="str">
            <v>실납처명</v>
          </cell>
          <cell r="E3" t="str">
            <v>채널</v>
          </cell>
          <cell r="F3" t="str">
            <v>합계 : 기준가</v>
          </cell>
        </row>
        <row r="4">
          <cell r="A4">
            <v>10002829</v>
          </cell>
          <cell r="B4" t="str">
            <v>운암한국병원</v>
          </cell>
          <cell r="C4" t="str">
            <v>10002829</v>
          </cell>
          <cell r="D4" t="str">
            <v>운암한국병원</v>
          </cell>
          <cell r="E4" t="str">
            <v>DW11</v>
          </cell>
          <cell r="F4">
            <v>20848000</v>
          </cell>
          <cell r="G4">
            <v>20.847999999999999</v>
          </cell>
        </row>
        <row r="5">
          <cell r="A5">
            <v>10003599</v>
          </cell>
          <cell r="B5" t="str">
            <v>의료법인온그룹의료재단온병원</v>
          </cell>
          <cell r="C5" t="str">
            <v>10003599</v>
          </cell>
          <cell r="D5" t="str">
            <v>의료법인온그룹의료재단온병원</v>
          </cell>
          <cell r="E5" t="str">
            <v>DW11</v>
          </cell>
          <cell r="F5">
            <v>14279000</v>
          </cell>
          <cell r="G5">
            <v>14.279</v>
          </cell>
        </row>
        <row r="6">
          <cell r="A6">
            <v>10006513</v>
          </cell>
          <cell r="B6" t="str">
            <v>서울대병원</v>
          </cell>
          <cell r="C6" t="str">
            <v>10006513</v>
          </cell>
          <cell r="D6" t="str">
            <v>서울대병원</v>
          </cell>
          <cell r="E6" t="str">
            <v>DW11</v>
          </cell>
          <cell r="F6">
            <v>3575000</v>
          </cell>
          <cell r="G6">
            <v>3.5750000000000002</v>
          </cell>
        </row>
        <row r="7">
          <cell r="A7">
            <v>10006915</v>
          </cell>
          <cell r="B7" t="str">
            <v>해븐리병원</v>
          </cell>
          <cell r="C7" t="str">
            <v>10006915</v>
          </cell>
          <cell r="D7" t="str">
            <v>해븐리병원</v>
          </cell>
          <cell r="E7" t="str">
            <v>DW11</v>
          </cell>
          <cell r="F7">
            <v>9440000</v>
          </cell>
          <cell r="G7">
            <v>9.44</v>
          </cell>
        </row>
        <row r="8">
          <cell r="A8">
            <v>10008171</v>
          </cell>
          <cell r="B8" t="str">
            <v>현대병원</v>
          </cell>
          <cell r="C8" t="str">
            <v>10008171</v>
          </cell>
          <cell r="D8" t="str">
            <v>현대병원</v>
          </cell>
          <cell r="E8" t="str">
            <v>DW11</v>
          </cell>
          <cell r="F8">
            <v>13519000</v>
          </cell>
          <cell r="G8">
            <v>13.519</v>
          </cell>
        </row>
        <row r="9">
          <cell r="A9">
            <v>10008739</v>
          </cell>
          <cell r="B9" t="str">
            <v>씨엠병원</v>
          </cell>
          <cell r="C9" t="str">
            <v>10008739</v>
          </cell>
          <cell r="D9" t="str">
            <v>씨엠병원</v>
          </cell>
          <cell r="E9" t="str">
            <v>DW11</v>
          </cell>
          <cell r="F9">
            <v>112902</v>
          </cell>
          <cell r="G9">
            <v>0.112902</v>
          </cell>
        </row>
        <row r="10">
          <cell r="A10">
            <v>10014151</v>
          </cell>
          <cell r="B10" t="str">
            <v>의료법인한양의료재단</v>
          </cell>
          <cell r="C10" t="str">
            <v>10014151</v>
          </cell>
          <cell r="D10" t="str">
            <v>의료법인한양의료재단</v>
          </cell>
          <cell r="E10" t="str">
            <v>DW11</v>
          </cell>
          <cell r="F10">
            <v>24146000</v>
          </cell>
          <cell r="G10">
            <v>24.146000000000001</v>
          </cell>
        </row>
        <row r="11">
          <cell r="A11">
            <v>10014574</v>
          </cell>
          <cell r="B11" t="str">
            <v>에스포항병원</v>
          </cell>
          <cell r="C11" t="str">
            <v>10014574</v>
          </cell>
          <cell r="D11" t="str">
            <v>에스포항병원</v>
          </cell>
          <cell r="E11" t="str">
            <v>DW11</v>
          </cell>
          <cell r="F11">
            <v>32683000</v>
          </cell>
          <cell r="G11">
            <v>32.683</v>
          </cell>
        </row>
        <row r="12">
          <cell r="A12">
            <v>10014653</v>
          </cell>
          <cell r="B12" t="str">
            <v>원주센텀병원</v>
          </cell>
          <cell r="C12" t="str">
            <v>10014653</v>
          </cell>
          <cell r="D12" t="str">
            <v>원주센텀병원</v>
          </cell>
          <cell r="E12" t="str">
            <v>DW11</v>
          </cell>
          <cell r="F12">
            <v>1500000</v>
          </cell>
          <cell r="G12">
            <v>1.5</v>
          </cell>
        </row>
        <row r="13">
          <cell r="A13">
            <v>10015488</v>
          </cell>
          <cell r="B13" t="str">
            <v>의인의료재단차병원</v>
          </cell>
          <cell r="C13" t="str">
            <v>10015488</v>
          </cell>
          <cell r="D13" t="str">
            <v>의인의료재단차병원</v>
          </cell>
          <cell r="E13" t="str">
            <v>DW11</v>
          </cell>
          <cell r="F13">
            <v>9920000</v>
          </cell>
          <cell r="G13">
            <v>9.92</v>
          </cell>
        </row>
        <row r="14">
          <cell r="A14">
            <v>10017056</v>
          </cell>
          <cell r="B14" t="str">
            <v>명지성모병원</v>
          </cell>
          <cell r="C14" t="str">
            <v>10017056</v>
          </cell>
          <cell r="D14" t="str">
            <v>명지성모병원</v>
          </cell>
          <cell r="E14" t="str">
            <v>DW11</v>
          </cell>
          <cell r="F14">
            <v>6344000</v>
          </cell>
          <cell r="G14">
            <v>6.3440000000000003</v>
          </cell>
        </row>
        <row r="15">
          <cell r="A15">
            <v>10019113</v>
          </cell>
          <cell r="B15" t="str">
            <v>정병원</v>
          </cell>
          <cell r="C15" t="str">
            <v>10019113</v>
          </cell>
          <cell r="D15" t="str">
            <v>정병원</v>
          </cell>
          <cell r="E15" t="str">
            <v>DW11</v>
          </cell>
          <cell r="F15">
            <v>2251000</v>
          </cell>
          <cell r="G15">
            <v>2.2509999999999999</v>
          </cell>
        </row>
        <row r="16">
          <cell r="A16">
            <v>10021506</v>
          </cell>
          <cell r="B16" t="str">
            <v>의료법인석경의료재단</v>
          </cell>
          <cell r="C16" t="str">
            <v>10021506</v>
          </cell>
          <cell r="D16" t="str">
            <v>의료법인석경의료재단</v>
          </cell>
          <cell r="E16" t="str">
            <v>DW11</v>
          </cell>
          <cell r="F16">
            <v>13186000</v>
          </cell>
          <cell r="G16">
            <v>13.186</v>
          </cell>
        </row>
        <row r="17">
          <cell r="A17">
            <v>10021890</v>
          </cell>
          <cell r="B17" t="str">
            <v>강영의료재단문산중앙병원</v>
          </cell>
          <cell r="C17" t="str">
            <v>10021890</v>
          </cell>
          <cell r="D17" t="str">
            <v>강영의료재단문산중앙병원</v>
          </cell>
          <cell r="E17" t="str">
            <v>DW11</v>
          </cell>
          <cell r="F17">
            <v>16339000</v>
          </cell>
          <cell r="G17">
            <v>16.338999999999999</v>
          </cell>
        </row>
        <row r="18">
          <cell r="A18">
            <v>10022281</v>
          </cell>
          <cell r="B18" t="str">
            <v>남양주21세기병원</v>
          </cell>
          <cell r="C18" t="str">
            <v>10022281</v>
          </cell>
          <cell r="D18" t="str">
            <v>남양주21세기병원</v>
          </cell>
          <cell r="E18" t="str">
            <v>DW11</v>
          </cell>
          <cell r="F18">
            <v>1936000</v>
          </cell>
          <cell r="G18">
            <v>1.9359999999999999</v>
          </cell>
        </row>
        <row r="19">
          <cell r="A19">
            <v>10026494</v>
          </cell>
          <cell r="B19" t="str">
            <v>해남우리병원</v>
          </cell>
          <cell r="C19" t="str">
            <v>10026494</v>
          </cell>
          <cell r="D19" t="str">
            <v>해남우리병원</v>
          </cell>
          <cell r="E19" t="str">
            <v>DW11</v>
          </cell>
          <cell r="F19">
            <v>9506000</v>
          </cell>
          <cell r="G19">
            <v>9.5060000000000002</v>
          </cell>
        </row>
        <row r="20">
          <cell r="A20">
            <v>10031447</v>
          </cell>
          <cell r="B20" t="str">
            <v>신촌연세병원</v>
          </cell>
          <cell r="C20" t="str">
            <v>10031447</v>
          </cell>
          <cell r="D20" t="str">
            <v>신촌연세병원</v>
          </cell>
          <cell r="E20" t="str">
            <v>DW11</v>
          </cell>
          <cell r="F20">
            <v>7102000</v>
          </cell>
          <cell r="G20">
            <v>7.1020000000000003</v>
          </cell>
        </row>
        <row r="21">
          <cell r="A21">
            <v>10031830</v>
          </cell>
          <cell r="B21" t="str">
            <v>청구성심병원</v>
          </cell>
          <cell r="C21" t="str">
            <v>10031830</v>
          </cell>
          <cell r="D21" t="str">
            <v>청구성심병원</v>
          </cell>
          <cell r="E21" t="str">
            <v>DW11</v>
          </cell>
          <cell r="F21">
            <v>49075000</v>
          </cell>
          <cell r="G21">
            <v>49.075000000000003</v>
          </cell>
        </row>
        <row r="22">
          <cell r="A22">
            <v>10032062</v>
          </cell>
          <cell r="B22" t="str">
            <v>홍익병원</v>
          </cell>
          <cell r="C22" t="str">
            <v>10032062</v>
          </cell>
          <cell r="D22" t="str">
            <v>홍익병원</v>
          </cell>
          <cell r="E22" t="str">
            <v>DW11</v>
          </cell>
          <cell r="F22">
            <v>5160000</v>
          </cell>
          <cell r="G22">
            <v>5.16</v>
          </cell>
        </row>
        <row r="23">
          <cell r="A23">
            <v>10032163</v>
          </cell>
          <cell r="B23" t="str">
            <v>척편한병원</v>
          </cell>
          <cell r="C23" t="str">
            <v>10032163</v>
          </cell>
          <cell r="D23" t="str">
            <v>척편한병원</v>
          </cell>
          <cell r="E23" t="str">
            <v>DW11</v>
          </cell>
          <cell r="F23">
            <v>2839000</v>
          </cell>
          <cell r="G23">
            <v>2.839</v>
          </cell>
        </row>
        <row r="24">
          <cell r="A24">
            <v>10032311</v>
          </cell>
          <cell r="B24" t="str">
            <v>성모윌병원</v>
          </cell>
          <cell r="C24" t="str">
            <v>10032311</v>
          </cell>
          <cell r="D24" t="str">
            <v>성모윌병원</v>
          </cell>
          <cell r="E24" t="str">
            <v>DW11</v>
          </cell>
          <cell r="F24">
            <v>4192000</v>
          </cell>
          <cell r="G24">
            <v>4.1920000000000002</v>
          </cell>
        </row>
        <row r="25">
          <cell r="A25">
            <v>10032387</v>
          </cell>
          <cell r="B25" t="str">
            <v>의료법인센텀의료재단센텀종합병원</v>
          </cell>
          <cell r="C25" t="str">
            <v>10032387</v>
          </cell>
          <cell r="D25" t="str">
            <v>의료법인센텀의료재단센텀종합병원</v>
          </cell>
          <cell r="E25" t="str">
            <v>DW11</v>
          </cell>
          <cell r="F25">
            <v>14365000</v>
          </cell>
          <cell r="G25">
            <v>14.365</v>
          </cell>
        </row>
        <row r="26">
          <cell r="A26">
            <v>10032388</v>
          </cell>
          <cell r="B26" t="str">
            <v>의료법인안은의료재단부평세림병원</v>
          </cell>
          <cell r="C26" t="str">
            <v>10032388</v>
          </cell>
          <cell r="D26" t="str">
            <v>의료법인안은의료재단부평세림병원</v>
          </cell>
          <cell r="E26" t="str">
            <v>DW11</v>
          </cell>
          <cell r="F26">
            <v>8213000</v>
          </cell>
          <cell r="G26">
            <v>8.2129999999999992</v>
          </cell>
        </row>
        <row r="27">
          <cell r="A27">
            <v>10032706</v>
          </cell>
          <cell r="B27" t="str">
            <v>의료법인백성의료재단안중백병원</v>
          </cell>
          <cell r="C27" t="str">
            <v>10032706</v>
          </cell>
          <cell r="D27" t="str">
            <v>의료법인백성의료재단안중백병원</v>
          </cell>
          <cell r="E27" t="str">
            <v>DW11</v>
          </cell>
          <cell r="F27">
            <v>34152000</v>
          </cell>
          <cell r="G27">
            <v>34.152000000000001</v>
          </cell>
        </row>
        <row r="28">
          <cell r="A28">
            <v>10032728</v>
          </cell>
          <cell r="B28" t="str">
            <v>의료법인양진의료재단평택성모병원</v>
          </cell>
          <cell r="C28" t="str">
            <v>10032728</v>
          </cell>
          <cell r="D28" t="str">
            <v>의료법인양진의료재단평택성모병원</v>
          </cell>
          <cell r="E28" t="str">
            <v>DW11</v>
          </cell>
          <cell r="F28">
            <v>44148000</v>
          </cell>
          <cell r="G28">
            <v>44.148000000000003</v>
          </cell>
        </row>
        <row r="29">
          <cell r="A29">
            <v>10032805</v>
          </cell>
          <cell r="B29" t="str">
            <v>여주새로운병원</v>
          </cell>
          <cell r="C29" t="str">
            <v>10032805</v>
          </cell>
          <cell r="D29" t="str">
            <v>여주새로운병원</v>
          </cell>
          <cell r="E29" t="str">
            <v>DW11</v>
          </cell>
          <cell r="F29">
            <v>3340000</v>
          </cell>
          <cell r="G29">
            <v>3.34</v>
          </cell>
        </row>
        <row r="30">
          <cell r="A30">
            <v>10032898</v>
          </cell>
          <cell r="B30" t="str">
            <v>의료법인쓰임받는사람들의료재단(양주예쓰병원)</v>
          </cell>
          <cell r="C30" t="str">
            <v>10032898</v>
          </cell>
          <cell r="D30" t="str">
            <v>의료법인쓰임받는사람들의료재단(양주예쓰병원)</v>
          </cell>
          <cell r="E30" t="str">
            <v>DW11</v>
          </cell>
          <cell r="F30">
            <v>5000000</v>
          </cell>
          <cell r="G30">
            <v>5</v>
          </cell>
        </row>
        <row r="31">
          <cell r="A31">
            <v>10032900</v>
          </cell>
          <cell r="B31" t="str">
            <v>의료법인일심의료재단포천우리병원</v>
          </cell>
          <cell r="C31" t="str">
            <v>10032900</v>
          </cell>
          <cell r="D31" t="str">
            <v>의료법인일심의료재단포천우리병원</v>
          </cell>
          <cell r="E31" t="str">
            <v>DW11</v>
          </cell>
          <cell r="F31">
            <v>19517000</v>
          </cell>
          <cell r="G31">
            <v>19.516999999999999</v>
          </cell>
        </row>
        <row r="32">
          <cell r="A32">
            <v>10032935</v>
          </cell>
          <cell r="B32" t="str">
            <v>추병원</v>
          </cell>
          <cell r="C32" t="str">
            <v>10032935</v>
          </cell>
          <cell r="D32" t="str">
            <v>추병원</v>
          </cell>
          <cell r="E32" t="str">
            <v>DW11</v>
          </cell>
          <cell r="F32">
            <v>23680000</v>
          </cell>
          <cell r="G32">
            <v>23.68</v>
          </cell>
        </row>
        <row r="33">
          <cell r="A33">
            <v>10033043</v>
          </cell>
          <cell r="B33" t="str">
            <v>메디인병원</v>
          </cell>
          <cell r="C33" t="str">
            <v>10033043</v>
          </cell>
          <cell r="D33" t="str">
            <v>메디인병원</v>
          </cell>
          <cell r="E33" t="str">
            <v>DW11</v>
          </cell>
          <cell r="F33">
            <v>9399000</v>
          </cell>
          <cell r="G33">
            <v>9.3989999999999991</v>
          </cell>
        </row>
        <row r="34">
          <cell r="A34">
            <v>10033160</v>
          </cell>
          <cell r="B34" t="str">
            <v>(의)대진의료재단분당제생병원</v>
          </cell>
          <cell r="C34" t="str">
            <v>10033160</v>
          </cell>
          <cell r="D34" t="str">
            <v>(의)대진의료재단분당제생병원</v>
          </cell>
          <cell r="E34" t="str">
            <v>DW11</v>
          </cell>
          <cell r="F34">
            <v>64716281</v>
          </cell>
          <cell r="G34">
            <v>64.716280999999995</v>
          </cell>
        </row>
        <row r="35">
          <cell r="A35">
            <v>10033270</v>
          </cell>
          <cell r="B35" t="str">
            <v>(학)가톨릭대학교부천성모병원</v>
          </cell>
          <cell r="C35" t="str">
            <v>10033270</v>
          </cell>
          <cell r="D35" t="str">
            <v>(학)가톨릭대학교부천성모병원</v>
          </cell>
          <cell r="E35" t="str">
            <v>DW11</v>
          </cell>
          <cell r="F35">
            <v>70906000</v>
          </cell>
          <cell r="G35">
            <v>70.906000000000006</v>
          </cell>
        </row>
        <row r="36">
          <cell r="A36">
            <v>10033272</v>
          </cell>
          <cell r="B36" t="str">
            <v>부천순천향대학교의과대학부속병원</v>
          </cell>
          <cell r="C36" t="str">
            <v>10033272</v>
          </cell>
          <cell r="D36" t="str">
            <v>부천순천향대학교의과대학부속병원</v>
          </cell>
          <cell r="E36" t="str">
            <v>DW11</v>
          </cell>
          <cell r="F36">
            <v>24794000</v>
          </cell>
          <cell r="G36">
            <v>24.794</v>
          </cell>
        </row>
        <row r="37">
          <cell r="A37">
            <v>10033277</v>
          </cell>
          <cell r="B37" t="str">
            <v>의료법인대인의료재단다니엘병원</v>
          </cell>
          <cell r="C37" t="str">
            <v>10033277</v>
          </cell>
          <cell r="D37" t="str">
            <v>의료법인대인의료재단다니엘병원</v>
          </cell>
          <cell r="E37" t="str">
            <v>DW11</v>
          </cell>
          <cell r="F37">
            <v>17824000</v>
          </cell>
          <cell r="G37">
            <v>17.824000000000002</v>
          </cell>
        </row>
        <row r="38">
          <cell r="A38">
            <v>10033479</v>
          </cell>
          <cell r="B38" t="str">
            <v>의료법인양평의료재단</v>
          </cell>
          <cell r="C38" t="str">
            <v>10033479</v>
          </cell>
          <cell r="D38" t="str">
            <v>의료법인양평의료재단</v>
          </cell>
          <cell r="E38" t="str">
            <v>DW11</v>
          </cell>
          <cell r="F38">
            <v>1968000</v>
          </cell>
          <cell r="G38">
            <v>1.968</v>
          </cell>
        </row>
        <row r="39">
          <cell r="A39">
            <v>10033614</v>
          </cell>
          <cell r="B39" t="str">
            <v>(의)대아의료재단</v>
          </cell>
          <cell r="C39" t="str">
            <v>10033614</v>
          </cell>
          <cell r="D39" t="str">
            <v>(의)대아의료재단</v>
          </cell>
          <cell r="E39" t="str">
            <v>DW11</v>
          </cell>
          <cell r="F39">
            <v>12090000</v>
          </cell>
          <cell r="G39">
            <v>12.09</v>
          </cell>
        </row>
        <row r="40">
          <cell r="A40">
            <v>10033886</v>
          </cell>
          <cell r="B40" t="str">
            <v>의료법인우리의료재단</v>
          </cell>
          <cell r="C40" t="str">
            <v>10033886</v>
          </cell>
          <cell r="D40" t="str">
            <v>의료법인우리의료재단</v>
          </cell>
          <cell r="E40" t="str">
            <v>DW11</v>
          </cell>
          <cell r="F40">
            <v>35698000</v>
          </cell>
          <cell r="G40">
            <v>35.698</v>
          </cell>
        </row>
        <row r="41">
          <cell r="A41">
            <v>10033888</v>
          </cell>
          <cell r="B41" t="str">
            <v>인천가톨릭학원가톨릭관동대학교국제성모병원</v>
          </cell>
          <cell r="C41" t="str">
            <v>10033888</v>
          </cell>
          <cell r="D41" t="str">
            <v>인천가톨릭학원가톨릭관동대학교국제성모병원</v>
          </cell>
          <cell r="E41" t="str">
            <v>DW11</v>
          </cell>
          <cell r="F41">
            <v>31449000</v>
          </cell>
          <cell r="G41">
            <v>31.449000000000002</v>
          </cell>
        </row>
        <row r="42">
          <cell r="A42">
            <v>10033992</v>
          </cell>
          <cell r="B42" t="str">
            <v>(의료)길의료재단</v>
          </cell>
          <cell r="C42" t="str">
            <v>10033992</v>
          </cell>
          <cell r="D42" t="str">
            <v>(의료)길의료재단</v>
          </cell>
          <cell r="E42" t="str">
            <v>DW11</v>
          </cell>
          <cell r="F42">
            <v>0</v>
          </cell>
          <cell r="G42">
            <v>0</v>
          </cell>
        </row>
        <row r="43">
          <cell r="A43">
            <v>10034679</v>
          </cell>
          <cell r="B43" t="str">
            <v>서울성심병원</v>
          </cell>
          <cell r="C43" t="str">
            <v>10034679</v>
          </cell>
          <cell r="D43" t="str">
            <v>서울성심병원</v>
          </cell>
          <cell r="E43" t="str">
            <v>DW11</v>
          </cell>
          <cell r="F43">
            <v>11513000</v>
          </cell>
          <cell r="G43">
            <v>11.513</v>
          </cell>
        </row>
        <row r="44">
          <cell r="A44">
            <v>10034707</v>
          </cell>
          <cell r="B44" t="str">
            <v>혜민병원</v>
          </cell>
          <cell r="C44" t="str">
            <v>10034707</v>
          </cell>
          <cell r="D44" t="str">
            <v>혜민병원</v>
          </cell>
          <cell r="E44" t="str">
            <v>DW11</v>
          </cell>
          <cell r="F44">
            <v>13442000</v>
          </cell>
          <cell r="G44">
            <v>13.442</v>
          </cell>
        </row>
        <row r="45">
          <cell r="A45">
            <v>10034942</v>
          </cell>
          <cell r="B45" t="str">
            <v>서울노보스병원</v>
          </cell>
          <cell r="C45" t="str">
            <v>10034942</v>
          </cell>
          <cell r="D45" t="str">
            <v>서울노보스병원</v>
          </cell>
          <cell r="E45" t="str">
            <v>DW11</v>
          </cell>
          <cell r="F45">
            <v>9579000</v>
          </cell>
          <cell r="G45">
            <v>9.5790000000000006</v>
          </cell>
        </row>
        <row r="46">
          <cell r="A46">
            <v>10035069</v>
          </cell>
          <cell r="B46" t="str">
            <v>검단탑종합병원</v>
          </cell>
          <cell r="C46" t="str">
            <v>10035069</v>
          </cell>
          <cell r="D46" t="str">
            <v>검단탑종합병원</v>
          </cell>
          <cell r="E46" t="str">
            <v>DW11</v>
          </cell>
          <cell r="F46">
            <v>30392800</v>
          </cell>
          <cell r="G46">
            <v>30.392800000000001</v>
          </cell>
        </row>
        <row r="47">
          <cell r="A47">
            <v>10035078</v>
          </cell>
          <cell r="B47" t="str">
            <v>사랑플러스병원</v>
          </cell>
          <cell r="C47" t="str">
            <v>10035078</v>
          </cell>
          <cell r="D47" t="str">
            <v>사랑플러스병원</v>
          </cell>
          <cell r="E47" t="str">
            <v>DW11</v>
          </cell>
          <cell r="F47">
            <v>7457000</v>
          </cell>
          <cell r="G47">
            <v>7.4569999999999999</v>
          </cell>
        </row>
        <row r="48">
          <cell r="A48">
            <v>10035562</v>
          </cell>
          <cell r="B48" t="str">
            <v>의료법인선덕의료재단대성병원</v>
          </cell>
          <cell r="C48" t="str">
            <v>10035562</v>
          </cell>
          <cell r="D48" t="str">
            <v>의료법인선덕의료재단대성병원</v>
          </cell>
          <cell r="E48" t="str">
            <v>DW11</v>
          </cell>
          <cell r="F48">
            <v>15093000</v>
          </cell>
          <cell r="G48">
            <v>15.093</v>
          </cell>
        </row>
        <row r="49">
          <cell r="A49">
            <v>10035927</v>
          </cell>
          <cell r="B49" t="str">
            <v>뿌리병원</v>
          </cell>
          <cell r="C49" t="str">
            <v>10035927</v>
          </cell>
          <cell r="D49" t="str">
            <v>뿌리병원</v>
          </cell>
          <cell r="E49" t="str">
            <v>DW11</v>
          </cell>
          <cell r="F49">
            <v>13273000</v>
          </cell>
          <cell r="G49">
            <v>13.273</v>
          </cell>
        </row>
        <row r="50">
          <cell r="A50">
            <v>10035968</v>
          </cell>
          <cell r="B50" t="str">
            <v>아산충무병원</v>
          </cell>
          <cell r="C50" t="str">
            <v>10035968</v>
          </cell>
          <cell r="D50" t="str">
            <v>아산충무병원</v>
          </cell>
          <cell r="E50" t="str">
            <v>DW11</v>
          </cell>
          <cell r="F50">
            <v>10692000</v>
          </cell>
          <cell r="G50">
            <v>10.692</v>
          </cell>
        </row>
        <row r="51">
          <cell r="A51">
            <v>10036016</v>
          </cell>
          <cell r="B51" t="str">
            <v>시원병원</v>
          </cell>
          <cell r="C51" t="str">
            <v>10036016</v>
          </cell>
          <cell r="D51" t="str">
            <v>시원병원</v>
          </cell>
          <cell r="E51" t="str">
            <v>DW11</v>
          </cell>
          <cell r="F51">
            <v>2880000</v>
          </cell>
          <cell r="G51">
            <v>2.88</v>
          </cell>
        </row>
        <row r="52">
          <cell r="A52">
            <v>10036166</v>
          </cell>
          <cell r="B52" t="str">
            <v>씨엔씨재활의학과병원</v>
          </cell>
          <cell r="C52" t="str">
            <v>10036166</v>
          </cell>
          <cell r="D52" t="str">
            <v>씨엔씨재활의학과병원</v>
          </cell>
          <cell r="E52" t="str">
            <v>DW11</v>
          </cell>
          <cell r="F52">
            <v>10400000</v>
          </cell>
          <cell r="G52">
            <v>10.4</v>
          </cell>
        </row>
        <row r="53">
          <cell r="A53">
            <v>10036320</v>
          </cell>
          <cell r="B53" t="str">
            <v>대전한국병원</v>
          </cell>
          <cell r="C53" t="str">
            <v>10036320</v>
          </cell>
          <cell r="D53" t="str">
            <v>대전한국병원</v>
          </cell>
          <cell r="E53" t="str">
            <v>DW11</v>
          </cell>
          <cell r="F53">
            <v>26408000</v>
          </cell>
          <cell r="G53">
            <v>26.408000000000001</v>
          </cell>
        </row>
        <row r="54">
          <cell r="A54">
            <v>10036531</v>
          </cell>
          <cell r="B54" t="str">
            <v>건양대학교부여병원</v>
          </cell>
          <cell r="C54" t="str">
            <v>10036531</v>
          </cell>
          <cell r="D54" t="str">
            <v>건양대학교부여병원</v>
          </cell>
          <cell r="E54" t="str">
            <v>DW11</v>
          </cell>
          <cell r="F54">
            <v>4524000</v>
          </cell>
          <cell r="G54">
            <v>4.524</v>
          </cell>
        </row>
        <row r="55">
          <cell r="A55">
            <v>10036590</v>
          </cell>
          <cell r="B55" t="str">
            <v>당진종합병원</v>
          </cell>
          <cell r="C55" t="str">
            <v>10036590</v>
          </cell>
          <cell r="D55" t="str">
            <v>당진종합병원</v>
          </cell>
          <cell r="E55" t="str">
            <v>DW11</v>
          </cell>
          <cell r="F55">
            <v>19387000</v>
          </cell>
          <cell r="G55">
            <v>19.387</v>
          </cell>
        </row>
        <row r="56">
          <cell r="A56">
            <v>10036633</v>
          </cell>
          <cell r="B56" t="str">
            <v>예산명지병원</v>
          </cell>
          <cell r="C56" t="str">
            <v>10036633</v>
          </cell>
          <cell r="D56" t="str">
            <v>예산명지병원</v>
          </cell>
          <cell r="E56" t="str">
            <v>DW11</v>
          </cell>
          <cell r="F56">
            <v>7635000</v>
          </cell>
          <cell r="G56">
            <v>7.6349999999999998</v>
          </cell>
        </row>
        <row r="57">
          <cell r="A57">
            <v>10036639</v>
          </cell>
          <cell r="B57" t="str">
            <v>서산중앙병원</v>
          </cell>
          <cell r="C57" t="str">
            <v>10036639</v>
          </cell>
          <cell r="D57" t="str">
            <v>서산중앙병원</v>
          </cell>
          <cell r="E57" t="str">
            <v>DW11</v>
          </cell>
          <cell r="F57">
            <v>73190000</v>
          </cell>
          <cell r="G57">
            <v>73.19</v>
          </cell>
        </row>
        <row r="58">
          <cell r="A58">
            <v>10037576</v>
          </cell>
          <cell r="B58" t="str">
            <v>(재)예수병원유지재단</v>
          </cell>
          <cell r="C58" t="str">
            <v>10037576</v>
          </cell>
          <cell r="D58" t="str">
            <v>(재)예수병원유지재단</v>
          </cell>
          <cell r="E58" t="str">
            <v>DW11</v>
          </cell>
          <cell r="F58">
            <v>28263000</v>
          </cell>
          <cell r="G58">
            <v>28.263000000000002</v>
          </cell>
        </row>
        <row r="59">
          <cell r="A59">
            <v>10037680</v>
          </cell>
          <cell r="B59" t="str">
            <v>원광대학교병원</v>
          </cell>
          <cell r="C59" t="str">
            <v>10037680</v>
          </cell>
          <cell r="D59" t="str">
            <v>원광대학교병원</v>
          </cell>
          <cell r="E59" t="str">
            <v>DW11</v>
          </cell>
          <cell r="F59">
            <v>17910000</v>
          </cell>
          <cell r="G59">
            <v>17.91</v>
          </cell>
        </row>
        <row r="60">
          <cell r="A60">
            <v>10037863</v>
          </cell>
          <cell r="B60" t="str">
            <v>광주씨티병원</v>
          </cell>
          <cell r="C60" t="str">
            <v>10037863</v>
          </cell>
          <cell r="D60" t="str">
            <v>광주씨티병원</v>
          </cell>
          <cell r="E60" t="str">
            <v>DW11</v>
          </cell>
          <cell r="F60">
            <v>4469000</v>
          </cell>
          <cell r="G60">
            <v>4.4690000000000003</v>
          </cell>
        </row>
        <row r="61">
          <cell r="A61">
            <v>10037883</v>
          </cell>
          <cell r="B61" t="str">
            <v>화순성심병원</v>
          </cell>
          <cell r="C61" t="str">
            <v>10037883</v>
          </cell>
          <cell r="D61" t="str">
            <v>화순성심병원</v>
          </cell>
          <cell r="E61" t="str">
            <v>DW11</v>
          </cell>
          <cell r="F61">
            <v>24317000</v>
          </cell>
          <cell r="G61">
            <v>24.317</v>
          </cell>
        </row>
        <row r="62">
          <cell r="A62">
            <v>10037919</v>
          </cell>
          <cell r="B62" t="str">
            <v>화순전남대학교병원</v>
          </cell>
          <cell r="C62" t="str">
            <v>10037919</v>
          </cell>
          <cell r="D62" t="str">
            <v>화순전남대학교병원</v>
          </cell>
          <cell r="E62" t="str">
            <v>DW11</v>
          </cell>
          <cell r="F62">
            <v>5133069</v>
          </cell>
          <cell r="G62">
            <v>5.1330689999999999</v>
          </cell>
        </row>
        <row r="63">
          <cell r="A63">
            <v>10038148</v>
          </cell>
          <cell r="B63" t="str">
            <v>KS병원</v>
          </cell>
          <cell r="C63" t="str">
            <v>10038148</v>
          </cell>
          <cell r="D63" t="str">
            <v>KS병원</v>
          </cell>
          <cell r="E63" t="str">
            <v>DW11</v>
          </cell>
          <cell r="F63">
            <v>7729000</v>
          </cell>
          <cell r="G63">
            <v>7.7290000000000001</v>
          </cell>
        </row>
        <row r="64">
          <cell r="A64">
            <v>10038249</v>
          </cell>
          <cell r="B64" t="str">
            <v>광주한국병원</v>
          </cell>
          <cell r="C64" t="str">
            <v>10038249</v>
          </cell>
          <cell r="D64" t="str">
            <v>광주한국병원</v>
          </cell>
          <cell r="E64" t="str">
            <v>DW11</v>
          </cell>
          <cell r="F64">
            <v>27422000</v>
          </cell>
          <cell r="G64">
            <v>27.422000000000001</v>
          </cell>
        </row>
        <row r="65">
          <cell r="A65">
            <v>10038259</v>
          </cell>
          <cell r="B65" t="str">
            <v>동아병원</v>
          </cell>
          <cell r="C65" t="str">
            <v>10038259</v>
          </cell>
          <cell r="D65" t="str">
            <v>동아병원</v>
          </cell>
          <cell r="E65" t="str">
            <v>DW11</v>
          </cell>
          <cell r="F65">
            <v>5888000</v>
          </cell>
          <cell r="G65">
            <v>5.8879999999999999</v>
          </cell>
        </row>
        <row r="66">
          <cell r="A66">
            <v>10038346</v>
          </cell>
          <cell r="B66" t="str">
            <v>목포기독병원</v>
          </cell>
          <cell r="C66" t="str">
            <v>10038346</v>
          </cell>
          <cell r="D66" t="str">
            <v>목포기독병원</v>
          </cell>
          <cell r="E66" t="str">
            <v>DW11</v>
          </cell>
          <cell r="F66">
            <v>20658000</v>
          </cell>
          <cell r="G66">
            <v>20.658000000000001</v>
          </cell>
        </row>
        <row r="67">
          <cell r="A67">
            <v>10038463</v>
          </cell>
          <cell r="B67" t="str">
            <v>고흥윤호21병원</v>
          </cell>
          <cell r="C67" t="str">
            <v>10038463</v>
          </cell>
          <cell r="D67" t="str">
            <v>고흥윤호21병원</v>
          </cell>
          <cell r="E67" t="str">
            <v>DW11</v>
          </cell>
          <cell r="F67">
            <v>6184000</v>
          </cell>
          <cell r="G67">
            <v>6.1840000000000002</v>
          </cell>
        </row>
        <row r="68">
          <cell r="A68">
            <v>10038513</v>
          </cell>
          <cell r="B68" t="str">
            <v>의료법인장호녹동현대병원</v>
          </cell>
          <cell r="C68" t="str">
            <v>10038513</v>
          </cell>
          <cell r="D68" t="str">
            <v>의료법인장호녹동현대병원</v>
          </cell>
          <cell r="E68" t="str">
            <v>DW11</v>
          </cell>
          <cell r="F68">
            <v>5170000</v>
          </cell>
          <cell r="G68">
            <v>5.17</v>
          </cell>
        </row>
        <row r="69">
          <cell r="A69">
            <v>10038606</v>
          </cell>
          <cell r="B69" t="str">
            <v>(의)한마음의료재단여수제일병원</v>
          </cell>
          <cell r="C69" t="str">
            <v>10038606</v>
          </cell>
          <cell r="D69" t="str">
            <v>(의)한마음의료재단여수제일병원</v>
          </cell>
          <cell r="E69" t="str">
            <v>DW11</v>
          </cell>
          <cell r="F69">
            <v>10734000</v>
          </cell>
          <cell r="G69">
            <v>10.734</v>
          </cell>
        </row>
        <row r="70">
          <cell r="A70">
            <v>10038671</v>
          </cell>
          <cell r="B70" t="str">
            <v>전주고려병원</v>
          </cell>
          <cell r="C70" t="str">
            <v>10038671</v>
          </cell>
          <cell r="D70" t="str">
            <v>전주고려병원</v>
          </cell>
          <cell r="E70" t="str">
            <v>DW11</v>
          </cell>
          <cell r="F70">
            <v>15088000</v>
          </cell>
          <cell r="G70">
            <v>15.087999999999999</v>
          </cell>
        </row>
        <row r="71">
          <cell r="A71">
            <v>10038694</v>
          </cell>
          <cell r="B71" t="str">
            <v>의료법인목포구암의료재단(목포중앙병원)</v>
          </cell>
          <cell r="C71" t="str">
            <v>10038694</v>
          </cell>
          <cell r="D71" t="str">
            <v>의료법인목포구암의료재단(목포중앙병원)</v>
          </cell>
          <cell r="E71" t="str">
            <v>DW11</v>
          </cell>
          <cell r="F71">
            <v>39650000</v>
          </cell>
          <cell r="G71">
            <v>39.65</v>
          </cell>
        </row>
        <row r="72">
          <cell r="A72">
            <v>10038792</v>
          </cell>
          <cell r="B72" t="str">
            <v>추새로병원</v>
          </cell>
          <cell r="C72" t="str">
            <v>10038792</v>
          </cell>
          <cell r="D72" t="str">
            <v>추새로병원</v>
          </cell>
          <cell r="E72" t="str">
            <v>DW11</v>
          </cell>
          <cell r="F72">
            <v>2545000</v>
          </cell>
          <cell r="G72">
            <v>2.5449999999999999</v>
          </cell>
        </row>
        <row r="73">
          <cell r="A73">
            <v>10039210</v>
          </cell>
          <cell r="B73" t="str">
            <v>의료법인백천의료재단</v>
          </cell>
          <cell r="C73" t="str">
            <v>10039210</v>
          </cell>
          <cell r="D73" t="str">
            <v>의료법인백천의료재단</v>
          </cell>
          <cell r="E73" t="str">
            <v>DW11</v>
          </cell>
          <cell r="F73">
            <v>24180000</v>
          </cell>
          <cell r="G73">
            <v>24.18</v>
          </cell>
        </row>
        <row r="74">
          <cell r="A74">
            <v>10039242</v>
          </cell>
          <cell r="B74" t="str">
            <v>수성한미병원</v>
          </cell>
          <cell r="C74" t="str">
            <v>10039242</v>
          </cell>
          <cell r="D74" t="str">
            <v>수성한미병원</v>
          </cell>
          <cell r="E74" t="str">
            <v>DW11</v>
          </cell>
          <cell r="F74">
            <v>4654000</v>
          </cell>
          <cell r="G74">
            <v>4.6539999999999999</v>
          </cell>
        </row>
        <row r="75">
          <cell r="A75">
            <v>10039694</v>
          </cell>
          <cell r="B75" t="str">
            <v>석촌의료재단성주무강병원</v>
          </cell>
          <cell r="C75" t="str">
            <v>10039694</v>
          </cell>
          <cell r="D75" t="str">
            <v>석촌의료재단성주무강병원</v>
          </cell>
          <cell r="E75" t="str">
            <v>DW11</v>
          </cell>
          <cell r="F75">
            <v>1088000</v>
          </cell>
          <cell r="G75">
            <v>1.0880000000000001</v>
          </cell>
        </row>
        <row r="76">
          <cell r="A76">
            <v>10040095</v>
          </cell>
          <cell r="B76" t="str">
            <v>새천년병원</v>
          </cell>
          <cell r="C76" t="str">
            <v>10040095</v>
          </cell>
          <cell r="D76" t="str">
            <v>새천년병원</v>
          </cell>
          <cell r="E76" t="str">
            <v>DW11</v>
          </cell>
          <cell r="F76">
            <v>7196000</v>
          </cell>
          <cell r="G76">
            <v>7.1959999999999997</v>
          </cell>
        </row>
        <row r="77">
          <cell r="A77">
            <v>10040545</v>
          </cell>
          <cell r="B77" t="str">
            <v>부산본병원</v>
          </cell>
          <cell r="C77" t="str">
            <v>10040545</v>
          </cell>
          <cell r="D77" t="str">
            <v>부산본병원</v>
          </cell>
          <cell r="E77" t="str">
            <v>DW11</v>
          </cell>
          <cell r="F77">
            <v>10085000</v>
          </cell>
          <cell r="G77">
            <v>10.085000000000001</v>
          </cell>
        </row>
        <row r="78">
          <cell r="A78">
            <v>10040639</v>
          </cell>
          <cell r="B78" t="str">
            <v>학교법인동의병원</v>
          </cell>
          <cell r="C78" t="str">
            <v>10040639</v>
          </cell>
          <cell r="D78" t="str">
            <v>학교법인동의병원</v>
          </cell>
          <cell r="E78" t="str">
            <v>DW11</v>
          </cell>
          <cell r="F78">
            <v>29472000</v>
          </cell>
          <cell r="G78">
            <v>29.472000000000001</v>
          </cell>
        </row>
        <row r="79">
          <cell r="A79">
            <v>10040990</v>
          </cell>
          <cell r="B79" t="str">
            <v>연세에스병원</v>
          </cell>
          <cell r="C79" t="str">
            <v>10040990</v>
          </cell>
          <cell r="D79" t="str">
            <v>연세에스병원</v>
          </cell>
          <cell r="E79" t="str">
            <v>DW11</v>
          </cell>
          <cell r="F79">
            <v>2352000</v>
          </cell>
          <cell r="G79">
            <v>2.3519999999999999</v>
          </cell>
        </row>
        <row r="80">
          <cell r="A80">
            <v>10041141</v>
          </cell>
          <cell r="B80" t="str">
            <v>의료법인혜명심의료재단(울산병원)</v>
          </cell>
          <cell r="C80" t="str">
            <v>10041141</v>
          </cell>
          <cell r="D80" t="str">
            <v>의료법인혜명심의료재단(울산병원)</v>
          </cell>
          <cell r="E80" t="str">
            <v>DW11</v>
          </cell>
          <cell r="F80">
            <v>11568000</v>
          </cell>
          <cell r="G80">
            <v>11.568</v>
          </cell>
        </row>
        <row r="81">
          <cell r="A81">
            <v>10041259</v>
          </cell>
          <cell r="B81" t="str">
            <v>새통영병원</v>
          </cell>
          <cell r="C81" t="str">
            <v>10041259</v>
          </cell>
          <cell r="D81" t="str">
            <v>새통영병원</v>
          </cell>
          <cell r="E81" t="str">
            <v>DW11</v>
          </cell>
          <cell r="F81">
            <v>1775000</v>
          </cell>
          <cell r="G81">
            <v>1.7749999999999999</v>
          </cell>
        </row>
        <row r="82">
          <cell r="A82">
            <v>10041441</v>
          </cell>
          <cell r="B82" t="str">
            <v>김해굿모닝병원</v>
          </cell>
          <cell r="C82" t="str">
            <v>10041441</v>
          </cell>
          <cell r="D82" t="str">
            <v>김해굿모닝병원</v>
          </cell>
          <cell r="E82" t="str">
            <v>DW11</v>
          </cell>
          <cell r="F82">
            <v>896000</v>
          </cell>
          <cell r="G82">
            <v>0.89600000000000002</v>
          </cell>
        </row>
        <row r="83">
          <cell r="A83">
            <v>10041502</v>
          </cell>
          <cell r="B83" t="str">
            <v>(의)한라의료재단</v>
          </cell>
          <cell r="C83" t="str">
            <v>10041502</v>
          </cell>
          <cell r="D83" t="str">
            <v>(의)한라의료재단</v>
          </cell>
          <cell r="E83" t="str">
            <v>DW11</v>
          </cell>
          <cell r="F83">
            <v>25000000</v>
          </cell>
          <cell r="G83">
            <v>25</v>
          </cell>
        </row>
        <row r="84">
          <cell r="A84">
            <v>10041592</v>
          </cell>
          <cell r="B84" t="str">
            <v>비에이치에스한서병원</v>
          </cell>
          <cell r="C84" t="str">
            <v>10041592</v>
          </cell>
          <cell r="D84" t="str">
            <v>비에이치에스한서병원</v>
          </cell>
          <cell r="E84" t="str">
            <v>DW11</v>
          </cell>
          <cell r="F84">
            <v>49379000</v>
          </cell>
          <cell r="G84">
            <v>49.378999999999998</v>
          </cell>
        </row>
        <row r="85">
          <cell r="A85">
            <v>10041601</v>
          </cell>
          <cell r="B85" t="str">
            <v>인제대학교해운대백병원</v>
          </cell>
          <cell r="C85" t="str">
            <v>10041601</v>
          </cell>
          <cell r="D85" t="str">
            <v>인제대학교해운대백병원</v>
          </cell>
          <cell r="E85" t="str">
            <v>DW11</v>
          </cell>
          <cell r="F85">
            <v>250000</v>
          </cell>
          <cell r="G85">
            <v>0.25</v>
          </cell>
        </row>
        <row r="86">
          <cell r="A86">
            <v>10041740</v>
          </cell>
          <cell r="B86" t="str">
            <v>서울산보람병원</v>
          </cell>
          <cell r="C86" t="str">
            <v>10041740</v>
          </cell>
          <cell r="D86" t="str">
            <v>서울산보람병원</v>
          </cell>
          <cell r="E86" t="str">
            <v>DW11</v>
          </cell>
          <cell r="F86">
            <v>6034000</v>
          </cell>
          <cell r="G86">
            <v>6.0339999999999998</v>
          </cell>
        </row>
        <row r="87">
          <cell r="A87">
            <v>10041832</v>
          </cell>
          <cell r="B87" t="str">
            <v>서일의료재단기장병원</v>
          </cell>
          <cell r="C87" t="str">
            <v>10041832</v>
          </cell>
          <cell r="D87" t="str">
            <v>서일의료재단기장병원</v>
          </cell>
          <cell r="E87" t="str">
            <v>DW11</v>
          </cell>
          <cell r="F87">
            <v>14112000</v>
          </cell>
          <cell r="G87">
            <v>14.112</v>
          </cell>
        </row>
        <row r="88">
          <cell r="A88">
            <v>10042063</v>
          </cell>
          <cell r="B88" t="str">
            <v>장튼위튼병원</v>
          </cell>
          <cell r="C88" t="str">
            <v>10042063</v>
          </cell>
          <cell r="D88" t="str">
            <v>장튼위튼병원</v>
          </cell>
          <cell r="E88" t="str">
            <v>DW11</v>
          </cell>
          <cell r="F88">
            <v>1500000</v>
          </cell>
          <cell r="G88">
            <v>1.5</v>
          </cell>
        </row>
        <row r="89">
          <cell r="A89">
            <v>10042527</v>
          </cell>
          <cell r="B89" t="str">
            <v>엠에스(MS)재건병원</v>
          </cell>
          <cell r="C89" t="str">
            <v>10042527</v>
          </cell>
          <cell r="D89" t="str">
            <v>엠에스(MS)재건병원</v>
          </cell>
          <cell r="E89" t="str">
            <v>DW11</v>
          </cell>
          <cell r="F89">
            <v>12624000</v>
          </cell>
          <cell r="G89">
            <v>12.624000000000001</v>
          </cell>
        </row>
        <row r="90">
          <cell r="A90">
            <v>10042934</v>
          </cell>
          <cell r="B90" t="str">
            <v>의료법인남촌의료재단</v>
          </cell>
          <cell r="C90" t="str">
            <v>10042934</v>
          </cell>
          <cell r="D90" t="str">
            <v>의료법인남촌의료재단</v>
          </cell>
          <cell r="E90" t="str">
            <v>DW11</v>
          </cell>
          <cell r="F90">
            <v>135000</v>
          </cell>
          <cell r="G90">
            <v>0.13500000000000001</v>
          </cell>
        </row>
        <row r="91">
          <cell r="A91">
            <v>10044981</v>
          </cell>
          <cell r="B91" t="str">
            <v>신일병원</v>
          </cell>
          <cell r="C91" t="str">
            <v>10044981</v>
          </cell>
          <cell r="D91" t="str">
            <v>신일병원</v>
          </cell>
          <cell r="E91" t="str">
            <v>DW11</v>
          </cell>
          <cell r="F91">
            <v>9396000</v>
          </cell>
          <cell r="G91">
            <v>9.3960000000000008</v>
          </cell>
        </row>
        <row r="92">
          <cell r="A92">
            <v>10045809</v>
          </cell>
          <cell r="B92" t="str">
            <v>의료법인영동의료재단의정부백병원</v>
          </cell>
          <cell r="C92" t="str">
            <v>10045809</v>
          </cell>
          <cell r="D92" t="str">
            <v>의료법인영동의료재단의정부백병원</v>
          </cell>
          <cell r="E92" t="str">
            <v>DW11</v>
          </cell>
          <cell r="F92">
            <v>12285000</v>
          </cell>
          <cell r="G92">
            <v>12.285</v>
          </cell>
        </row>
        <row r="93">
          <cell r="A93">
            <v>10046570</v>
          </cell>
          <cell r="B93" t="str">
            <v>의료법인성지의료재단(성지병원)</v>
          </cell>
          <cell r="C93" t="str">
            <v>10046570</v>
          </cell>
          <cell r="D93" t="str">
            <v>의료법인성지의료재단(성지병원)</v>
          </cell>
          <cell r="E93" t="str">
            <v>DW11</v>
          </cell>
          <cell r="F93">
            <v>20384000</v>
          </cell>
          <cell r="G93">
            <v>20.384</v>
          </cell>
        </row>
        <row r="94">
          <cell r="A94">
            <v>10046609</v>
          </cell>
          <cell r="B94" t="str">
            <v>씨엔씨푸른병원</v>
          </cell>
          <cell r="C94" t="str">
            <v>10046609</v>
          </cell>
          <cell r="D94" t="str">
            <v>씨엔씨푸른병원</v>
          </cell>
          <cell r="E94" t="str">
            <v>DW11</v>
          </cell>
          <cell r="F94">
            <v>10400000</v>
          </cell>
          <cell r="G94">
            <v>10.4</v>
          </cell>
        </row>
        <row r="95">
          <cell r="A95">
            <v>10046731</v>
          </cell>
          <cell r="B95" t="str">
            <v>의료법인규웅의료재단(대청병원)</v>
          </cell>
          <cell r="C95" t="str">
            <v>10046731</v>
          </cell>
          <cell r="D95" t="str">
            <v>의료법인규웅의료재단(대청병원)</v>
          </cell>
          <cell r="E95" t="str">
            <v>DW11</v>
          </cell>
          <cell r="F95">
            <v>78208000</v>
          </cell>
          <cell r="G95">
            <v>78.207999999999998</v>
          </cell>
        </row>
        <row r="96">
          <cell r="A96">
            <v>10046812</v>
          </cell>
          <cell r="B96" t="str">
            <v>의료법인은성의료재단좋은선린병원</v>
          </cell>
          <cell r="C96" t="str">
            <v>10046812</v>
          </cell>
          <cell r="D96" t="str">
            <v>의료법인은성의료재단좋은선린병원</v>
          </cell>
          <cell r="E96" t="str">
            <v>DW11</v>
          </cell>
          <cell r="F96">
            <v>17026000</v>
          </cell>
          <cell r="G96">
            <v>17.026</v>
          </cell>
        </row>
        <row r="97">
          <cell r="A97">
            <v>10047292</v>
          </cell>
          <cell r="B97" t="str">
            <v>의료법인숭인의료재단김해복음병원</v>
          </cell>
          <cell r="C97" t="str">
            <v>10047292</v>
          </cell>
          <cell r="D97" t="str">
            <v>의료법인숭인의료재단김해복음병원</v>
          </cell>
          <cell r="E97" t="str">
            <v>DW11</v>
          </cell>
          <cell r="F97">
            <v>33868000</v>
          </cell>
          <cell r="G97">
            <v>33.868000000000002</v>
          </cell>
        </row>
        <row r="98">
          <cell r="A98">
            <v>10050471</v>
          </cell>
          <cell r="B98" t="str">
            <v>성지의료재단제천성지병원</v>
          </cell>
          <cell r="C98" t="str">
            <v>10050471</v>
          </cell>
          <cell r="D98" t="str">
            <v>성지의료재단제천성지병원</v>
          </cell>
          <cell r="E98" t="str">
            <v>DW11</v>
          </cell>
          <cell r="F98">
            <v>3497000</v>
          </cell>
          <cell r="G98">
            <v>3.4969999999999999</v>
          </cell>
        </row>
        <row r="99">
          <cell r="A99">
            <v>10050868</v>
          </cell>
          <cell r="B99" t="str">
            <v>연세오케이병원</v>
          </cell>
          <cell r="C99" t="str">
            <v>10050868</v>
          </cell>
          <cell r="D99" t="str">
            <v>연세오케이병원</v>
          </cell>
          <cell r="E99" t="str">
            <v>DW11</v>
          </cell>
          <cell r="F99">
            <v>3502000</v>
          </cell>
          <cell r="G99">
            <v>3.5019999999999998</v>
          </cell>
        </row>
        <row r="100">
          <cell r="A100">
            <v>10060702</v>
          </cell>
          <cell r="B100" t="str">
            <v>동탄시티병원</v>
          </cell>
          <cell r="C100" t="str">
            <v>10060702</v>
          </cell>
          <cell r="D100" t="str">
            <v>동탄시티병원</v>
          </cell>
          <cell r="E100" t="str">
            <v>DW11</v>
          </cell>
          <cell r="F100">
            <v>12784000</v>
          </cell>
          <cell r="G100">
            <v>12.784000000000001</v>
          </cell>
        </row>
        <row r="101">
          <cell r="A101">
            <v>10061981</v>
          </cell>
          <cell r="B101" t="str">
            <v>새손병원</v>
          </cell>
          <cell r="C101" t="str">
            <v>10061981</v>
          </cell>
          <cell r="D101" t="str">
            <v>새손병원</v>
          </cell>
          <cell r="E101" t="str">
            <v>DW11</v>
          </cell>
          <cell r="F101">
            <v>4108000</v>
          </cell>
          <cell r="G101">
            <v>4.1079999999999997</v>
          </cell>
        </row>
        <row r="102">
          <cell r="A102">
            <v>10063044</v>
          </cell>
          <cell r="B102" t="str">
            <v>의료법인명인의료재단</v>
          </cell>
          <cell r="C102" t="str">
            <v>10063044</v>
          </cell>
          <cell r="D102" t="str">
            <v>의료법인명인의료재단</v>
          </cell>
          <cell r="E102" t="str">
            <v>DW11</v>
          </cell>
          <cell r="F102">
            <v>45208000</v>
          </cell>
          <cell r="G102">
            <v>45.207999999999998</v>
          </cell>
        </row>
        <row r="103">
          <cell r="A103">
            <v>10066681</v>
          </cell>
          <cell r="B103" t="str">
            <v>빛가람종합병원</v>
          </cell>
          <cell r="C103" t="str">
            <v>10066681</v>
          </cell>
          <cell r="D103" t="str">
            <v>빛가람종합병원</v>
          </cell>
          <cell r="E103" t="str">
            <v>DW11</v>
          </cell>
          <cell r="F103">
            <v>5488000</v>
          </cell>
          <cell r="G103">
            <v>5.4880000000000004</v>
          </cell>
        </row>
        <row r="104">
          <cell r="A104">
            <v>10067605</v>
          </cell>
          <cell r="B104" t="str">
            <v>에이스병원(남양주)</v>
          </cell>
          <cell r="C104" t="str">
            <v>10067605</v>
          </cell>
          <cell r="D104" t="str">
            <v>에이스병원(남양주)</v>
          </cell>
          <cell r="E104" t="str">
            <v>DW11</v>
          </cell>
          <cell r="F104">
            <v>9585000</v>
          </cell>
          <cell r="G104">
            <v>9.5850000000000009</v>
          </cell>
        </row>
        <row r="105">
          <cell r="A105">
            <v>10068728</v>
          </cell>
          <cell r="B105" t="str">
            <v>엘병원</v>
          </cell>
          <cell r="C105" t="str">
            <v>10068728</v>
          </cell>
          <cell r="D105" t="str">
            <v>엘병원</v>
          </cell>
          <cell r="E105" t="str">
            <v>DW11</v>
          </cell>
          <cell r="F105">
            <v>19376000</v>
          </cell>
          <cell r="G105">
            <v>19.376000000000001</v>
          </cell>
        </row>
        <row r="106">
          <cell r="A106">
            <v>10069147</v>
          </cell>
          <cell r="B106" t="str">
            <v>의료법인혜인의료재단한국병원</v>
          </cell>
          <cell r="C106" t="str">
            <v>10069147</v>
          </cell>
          <cell r="D106" t="str">
            <v>의료법인혜인의료재단한국병원</v>
          </cell>
          <cell r="E106" t="str">
            <v>DW11</v>
          </cell>
          <cell r="F106">
            <v>34512000</v>
          </cell>
          <cell r="G106">
            <v>34.512</v>
          </cell>
        </row>
        <row r="107">
          <cell r="A107">
            <v>10069441</v>
          </cell>
          <cell r="B107" t="str">
            <v>의료법인행도의료재단(해동병원)</v>
          </cell>
          <cell r="C107" t="str">
            <v>10069441</v>
          </cell>
          <cell r="D107" t="str">
            <v>의료법인행도의료재단(해동병원)</v>
          </cell>
          <cell r="E107" t="str">
            <v>DW11</v>
          </cell>
          <cell r="F107">
            <v>13723000</v>
          </cell>
          <cell r="G107">
            <v>13.723000000000001</v>
          </cell>
        </row>
        <row r="108">
          <cell r="A108">
            <v>10070268</v>
          </cell>
          <cell r="B108" t="str">
            <v>천안리턴병원</v>
          </cell>
          <cell r="C108" t="str">
            <v>10070268</v>
          </cell>
          <cell r="D108" t="str">
            <v>천안리턴병원</v>
          </cell>
          <cell r="E108" t="str">
            <v>DW11</v>
          </cell>
          <cell r="F108">
            <v>12318000</v>
          </cell>
          <cell r="G108">
            <v>12.318</v>
          </cell>
        </row>
        <row r="109">
          <cell r="A109">
            <v>10071000</v>
          </cell>
          <cell r="B109" t="str">
            <v>광주365재활병원</v>
          </cell>
          <cell r="C109" t="str">
            <v>10071000</v>
          </cell>
          <cell r="D109" t="str">
            <v>광주365재활병원</v>
          </cell>
          <cell r="E109" t="str">
            <v>DW11</v>
          </cell>
          <cell r="F109">
            <v>12179000</v>
          </cell>
          <cell r="G109">
            <v>12.179</v>
          </cell>
        </row>
        <row r="110">
          <cell r="A110">
            <v>10073012</v>
          </cell>
          <cell r="B110" t="str">
            <v>영암한국병원</v>
          </cell>
          <cell r="C110" t="str">
            <v>10073012</v>
          </cell>
          <cell r="D110" t="str">
            <v>영암한국병원</v>
          </cell>
          <cell r="E110" t="str">
            <v>DW11</v>
          </cell>
          <cell r="F110">
            <v>18738000</v>
          </cell>
          <cell r="G110">
            <v>18.738</v>
          </cell>
        </row>
        <row r="111">
          <cell r="A111">
            <v>10074449</v>
          </cell>
          <cell r="B111" t="str">
            <v>중앙대학교광명병원</v>
          </cell>
          <cell r="C111" t="str">
            <v>10074449</v>
          </cell>
          <cell r="D111" t="str">
            <v>중앙대학교광명병원</v>
          </cell>
          <cell r="E111" t="str">
            <v>DW11</v>
          </cell>
          <cell r="F111">
            <v>5232000</v>
          </cell>
          <cell r="G111">
            <v>5.2320000000000002</v>
          </cell>
        </row>
        <row r="112">
          <cell r="A112">
            <v>10075257</v>
          </cell>
          <cell r="B112" t="str">
            <v>하남S병원</v>
          </cell>
          <cell r="C112" t="str">
            <v>10075257</v>
          </cell>
          <cell r="D112" t="str">
            <v>하남S병원</v>
          </cell>
          <cell r="E112" t="str">
            <v>DW11</v>
          </cell>
          <cell r="F112">
            <v>4788000</v>
          </cell>
          <cell r="G112">
            <v>4.7880000000000003</v>
          </cell>
        </row>
        <row r="113">
          <cell r="A113">
            <v>10082404</v>
          </cell>
          <cell r="B113" t="str">
            <v>거인병원</v>
          </cell>
          <cell r="C113" t="str">
            <v>10082404</v>
          </cell>
          <cell r="D113" t="str">
            <v>거인병원</v>
          </cell>
          <cell r="E113" t="str">
            <v>DW11</v>
          </cell>
          <cell r="F113">
            <v>8992000</v>
          </cell>
          <cell r="G113">
            <v>8.9920000000000009</v>
          </cell>
        </row>
        <row r="114">
          <cell r="A114">
            <v>10084743</v>
          </cell>
          <cell r="B114" t="str">
            <v>새동산병원</v>
          </cell>
          <cell r="C114" t="str">
            <v>10084743</v>
          </cell>
          <cell r="D114" t="str">
            <v>새동산병원</v>
          </cell>
          <cell r="E114" t="str">
            <v>DW11</v>
          </cell>
          <cell r="F114">
            <v>13013000</v>
          </cell>
          <cell r="G114">
            <v>13.013</v>
          </cell>
        </row>
        <row r="115">
          <cell r="A115">
            <v>10087161</v>
          </cell>
          <cell r="B115" t="str">
            <v>중앙메디컬병원</v>
          </cell>
          <cell r="C115" t="str">
            <v>10087161</v>
          </cell>
          <cell r="D115" t="str">
            <v>중앙메디컬병원</v>
          </cell>
          <cell r="E115" t="str">
            <v>DW11</v>
          </cell>
          <cell r="F115">
            <v>1004000</v>
          </cell>
          <cell r="G115">
            <v>1.004</v>
          </cell>
        </row>
        <row r="116">
          <cell r="A116">
            <v>10089241</v>
          </cell>
          <cell r="B116" t="str">
            <v>미라클병원</v>
          </cell>
          <cell r="C116" t="str">
            <v>10089241</v>
          </cell>
          <cell r="D116" t="str">
            <v>미라클병원</v>
          </cell>
          <cell r="E116" t="str">
            <v>DW11</v>
          </cell>
          <cell r="F116">
            <v>128000</v>
          </cell>
          <cell r="G116">
            <v>0.128</v>
          </cell>
        </row>
        <row r="117">
          <cell r="A117">
            <v>10091292</v>
          </cell>
          <cell r="B117" t="str">
            <v>박철홍정형외과의원</v>
          </cell>
          <cell r="C117" t="str">
            <v>10091292</v>
          </cell>
          <cell r="D117" t="str">
            <v>박철홍정형외과의원</v>
          </cell>
          <cell r="E117" t="str">
            <v>DW11</v>
          </cell>
          <cell r="F117">
            <v>2592000</v>
          </cell>
          <cell r="G117">
            <v>2.5920000000000001</v>
          </cell>
        </row>
        <row r="118">
          <cell r="A118">
            <v>10096603</v>
          </cell>
          <cell r="B118" t="str">
            <v>의료법인인덕의료재단복주회복병원</v>
          </cell>
          <cell r="C118" t="str">
            <v>10096603</v>
          </cell>
          <cell r="D118" t="str">
            <v>의료법인인덕의료재단복주회복병원</v>
          </cell>
          <cell r="E118" t="str">
            <v>DW11</v>
          </cell>
          <cell r="F118">
            <v>11345000</v>
          </cell>
          <cell r="G118">
            <v>11.345000000000001</v>
          </cell>
        </row>
        <row r="119">
          <cell r="A119">
            <v>10099847</v>
          </cell>
          <cell r="B119" t="str">
            <v>더필병원</v>
          </cell>
          <cell r="C119" t="str">
            <v>10099847</v>
          </cell>
          <cell r="D119" t="str">
            <v>더필병원</v>
          </cell>
          <cell r="E119" t="str">
            <v>DW11</v>
          </cell>
          <cell r="F119">
            <v>15919000</v>
          </cell>
          <cell r="G119">
            <v>15.919</v>
          </cell>
        </row>
        <row r="120">
          <cell r="A120">
            <v>10103688</v>
          </cell>
          <cell r="B120" t="str">
            <v>한빛병원</v>
          </cell>
          <cell r="C120" t="str">
            <v>10103688</v>
          </cell>
          <cell r="D120" t="str">
            <v>한빛병원</v>
          </cell>
          <cell r="E120" t="str">
            <v>DW11</v>
          </cell>
          <cell r="F120">
            <v>17940000</v>
          </cell>
          <cell r="G120">
            <v>17.940000000000001</v>
          </cell>
        </row>
        <row r="121">
          <cell r="A121">
            <v>10111228</v>
          </cell>
          <cell r="B121" t="str">
            <v>대구예스병원</v>
          </cell>
          <cell r="C121" t="str">
            <v>10111228</v>
          </cell>
          <cell r="D121" t="str">
            <v>대구예스병원</v>
          </cell>
          <cell r="E121" t="str">
            <v>DW11</v>
          </cell>
          <cell r="F121">
            <v>4560000</v>
          </cell>
          <cell r="G121">
            <v>4.5599999999999996</v>
          </cell>
        </row>
      </sheetData>
      <sheetData sheetId="1"/>
      <sheetData sheetId="2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Data"/>
    </sheetNames>
    <sheetDataSet>
      <sheetData sheetId="0">
        <row r="4">
          <cell r="L4" t="str">
            <v>판매처</v>
          </cell>
          <cell r="M4" t="str">
            <v>판매처명</v>
          </cell>
          <cell r="N4" t="str">
            <v>합계 : 합계(vat포함)</v>
          </cell>
          <cell r="O4">
            <v>1000000</v>
          </cell>
        </row>
        <row r="5">
          <cell r="L5">
            <v>10002829</v>
          </cell>
          <cell r="M5" t="str">
            <v>운암한국병원</v>
          </cell>
          <cell r="N5">
            <v>23392000</v>
          </cell>
          <cell r="O5">
            <v>23.391999999999999</v>
          </cell>
        </row>
        <row r="6">
          <cell r="L6">
            <v>10003599</v>
          </cell>
          <cell r="M6" t="str">
            <v>의료법인온그룹의료재단온병원</v>
          </cell>
          <cell r="N6">
            <v>-15558000</v>
          </cell>
          <cell r="O6">
            <v>-15.558</v>
          </cell>
        </row>
        <row r="7">
          <cell r="L7">
            <v>10003837</v>
          </cell>
          <cell r="M7" t="str">
            <v>빌리브세웅병원</v>
          </cell>
          <cell r="N7">
            <v>7000000</v>
          </cell>
          <cell r="O7">
            <v>7</v>
          </cell>
        </row>
        <row r="8">
          <cell r="L8">
            <v>10006513</v>
          </cell>
          <cell r="M8" t="str">
            <v>서울대학교병원</v>
          </cell>
          <cell r="N8">
            <v>2730000</v>
          </cell>
          <cell r="O8">
            <v>2.73</v>
          </cell>
        </row>
        <row r="9">
          <cell r="L9">
            <v>10006915</v>
          </cell>
          <cell r="M9" t="str">
            <v>해븐리병원</v>
          </cell>
          <cell r="N9">
            <v>9376000</v>
          </cell>
          <cell r="O9">
            <v>9.3759999999999994</v>
          </cell>
        </row>
        <row r="10">
          <cell r="L10">
            <v>10006922</v>
          </cell>
          <cell r="M10" t="str">
            <v>향동포레요양병원</v>
          </cell>
          <cell r="N10">
            <v>464000</v>
          </cell>
          <cell r="O10">
            <v>0.46400000000000002</v>
          </cell>
        </row>
        <row r="11">
          <cell r="L11">
            <v>10008171</v>
          </cell>
          <cell r="M11" t="str">
            <v>현대병원</v>
          </cell>
          <cell r="N11">
            <v>14896000</v>
          </cell>
          <cell r="O11">
            <v>14.896000000000001</v>
          </cell>
        </row>
        <row r="12">
          <cell r="L12">
            <v>10008739</v>
          </cell>
          <cell r="M12" t="str">
            <v>씨엠병원</v>
          </cell>
          <cell r="N12">
            <v>8420148</v>
          </cell>
          <cell r="O12">
            <v>8.4201479999999993</v>
          </cell>
        </row>
        <row r="13">
          <cell r="L13">
            <v>10014151</v>
          </cell>
          <cell r="M13" t="str">
            <v>의료법인한양의료재단</v>
          </cell>
          <cell r="N13">
            <v>25080000</v>
          </cell>
          <cell r="O13">
            <v>25.08</v>
          </cell>
        </row>
        <row r="14">
          <cell r="L14">
            <v>10014574</v>
          </cell>
          <cell r="M14" t="str">
            <v>에스포항병원</v>
          </cell>
          <cell r="N14">
            <v>32839000</v>
          </cell>
          <cell r="O14">
            <v>32.838999999999999</v>
          </cell>
        </row>
        <row r="15">
          <cell r="L15">
            <v>10014653</v>
          </cell>
          <cell r="M15" t="str">
            <v>원주센텀병원</v>
          </cell>
          <cell r="N15">
            <v>1500000</v>
          </cell>
          <cell r="O15">
            <v>1.5</v>
          </cell>
        </row>
        <row r="16">
          <cell r="L16">
            <v>10015488</v>
          </cell>
          <cell r="M16" t="str">
            <v>의인의료재단차병원</v>
          </cell>
          <cell r="N16">
            <v>10144000</v>
          </cell>
          <cell r="O16">
            <v>10.144</v>
          </cell>
        </row>
        <row r="17">
          <cell r="L17">
            <v>10017056</v>
          </cell>
          <cell r="M17" t="str">
            <v>명지성모병원</v>
          </cell>
          <cell r="N17">
            <v>7475000</v>
          </cell>
          <cell r="O17">
            <v>7.4749999999999996</v>
          </cell>
        </row>
        <row r="18">
          <cell r="L18">
            <v>10019113</v>
          </cell>
          <cell r="M18" t="str">
            <v>정병원</v>
          </cell>
          <cell r="N18">
            <v>2450000</v>
          </cell>
          <cell r="O18">
            <v>2.4500000000000002</v>
          </cell>
        </row>
        <row r="19">
          <cell r="L19">
            <v>10021506</v>
          </cell>
          <cell r="M19" t="str">
            <v>의료법인석경의료재단</v>
          </cell>
          <cell r="N19">
            <v>23620000</v>
          </cell>
          <cell r="O19">
            <v>23.62</v>
          </cell>
        </row>
        <row r="20">
          <cell r="L20">
            <v>10021890</v>
          </cell>
          <cell r="M20" t="str">
            <v>강영의료재단문산중앙병원</v>
          </cell>
          <cell r="N20">
            <v>14872000</v>
          </cell>
          <cell r="O20">
            <v>14.872</v>
          </cell>
        </row>
        <row r="21">
          <cell r="L21">
            <v>10022281</v>
          </cell>
          <cell r="M21" t="str">
            <v>남양주21세기병원</v>
          </cell>
          <cell r="N21">
            <v>1712000</v>
          </cell>
          <cell r="O21">
            <v>1.712</v>
          </cell>
        </row>
        <row r="22">
          <cell r="L22">
            <v>10026494</v>
          </cell>
          <cell r="M22" t="str">
            <v>해남우리병원</v>
          </cell>
          <cell r="N22">
            <v>10608000</v>
          </cell>
          <cell r="O22">
            <v>10.608000000000001</v>
          </cell>
        </row>
        <row r="23">
          <cell r="L23">
            <v>10031447</v>
          </cell>
          <cell r="M23" t="str">
            <v>신촌연세병원</v>
          </cell>
          <cell r="N23">
            <v>6544000</v>
          </cell>
          <cell r="O23">
            <v>6.5439999999999996</v>
          </cell>
        </row>
        <row r="24">
          <cell r="L24">
            <v>10031830</v>
          </cell>
          <cell r="M24" t="str">
            <v>청구성심병원</v>
          </cell>
          <cell r="N24">
            <v>45954000</v>
          </cell>
          <cell r="O24">
            <v>45.954000000000001</v>
          </cell>
        </row>
        <row r="25">
          <cell r="L25">
            <v>10032062</v>
          </cell>
          <cell r="M25" t="str">
            <v>홍익병원</v>
          </cell>
          <cell r="N25">
            <v>5096000</v>
          </cell>
          <cell r="O25">
            <v>5.0960000000000001</v>
          </cell>
        </row>
        <row r="26">
          <cell r="L26">
            <v>10032148</v>
          </cell>
          <cell r="M26" t="str">
            <v>희명병원</v>
          </cell>
          <cell r="N26">
            <v>12142000</v>
          </cell>
          <cell r="O26">
            <v>12.141999999999999</v>
          </cell>
        </row>
        <row r="27">
          <cell r="L27">
            <v>10032163</v>
          </cell>
          <cell r="M27" t="str">
            <v>척편한병원</v>
          </cell>
          <cell r="N27">
            <v>3149000</v>
          </cell>
          <cell r="O27">
            <v>3.149</v>
          </cell>
        </row>
        <row r="28">
          <cell r="L28">
            <v>10032311</v>
          </cell>
          <cell r="M28" t="str">
            <v>성모윌병원</v>
          </cell>
          <cell r="N28">
            <v>10688000</v>
          </cell>
          <cell r="O28">
            <v>10.688000000000001</v>
          </cell>
        </row>
        <row r="29">
          <cell r="L29">
            <v>10032387</v>
          </cell>
          <cell r="M29" t="str">
            <v>의료법인센텀의료재단센텀종합병원</v>
          </cell>
          <cell r="N29">
            <v>11385000</v>
          </cell>
          <cell r="O29">
            <v>11.385</v>
          </cell>
        </row>
        <row r="30">
          <cell r="L30">
            <v>10032388</v>
          </cell>
          <cell r="M30" t="str">
            <v>의료법인안은의료재단부평세림병원</v>
          </cell>
          <cell r="N30">
            <v>8158000</v>
          </cell>
          <cell r="O30">
            <v>8.1579999999999995</v>
          </cell>
        </row>
        <row r="31">
          <cell r="L31">
            <v>10032706</v>
          </cell>
          <cell r="M31" t="str">
            <v>의료법인백성의료재단안중백병원</v>
          </cell>
          <cell r="N31">
            <v>13400000</v>
          </cell>
          <cell r="O31">
            <v>13.4</v>
          </cell>
        </row>
        <row r="32">
          <cell r="L32">
            <v>10032728</v>
          </cell>
          <cell r="M32" t="str">
            <v>의료법인양진의료재단평택성모병원</v>
          </cell>
          <cell r="N32">
            <v>39825000</v>
          </cell>
          <cell r="O32">
            <v>39.825000000000003</v>
          </cell>
        </row>
        <row r="33">
          <cell r="L33">
            <v>10032805</v>
          </cell>
          <cell r="M33" t="str">
            <v>여주새로운병원</v>
          </cell>
          <cell r="N33">
            <v>2615000</v>
          </cell>
          <cell r="O33">
            <v>2.6150000000000002</v>
          </cell>
        </row>
        <row r="34">
          <cell r="L34">
            <v>10032898</v>
          </cell>
          <cell r="M34" t="str">
            <v>의료법인쓰임받는사람들의료재단(양주예쓰병원)</v>
          </cell>
          <cell r="N34">
            <v>5344000</v>
          </cell>
          <cell r="O34">
            <v>5.3440000000000003</v>
          </cell>
        </row>
        <row r="35">
          <cell r="L35">
            <v>10032900</v>
          </cell>
          <cell r="M35" t="str">
            <v>의료법인일심의료재단포천우리병원</v>
          </cell>
          <cell r="N35">
            <v>18836000</v>
          </cell>
          <cell r="O35">
            <v>18.835999999999999</v>
          </cell>
        </row>
        <row r="36">
          <cell r="L36">
            <v>10032935</v>
          </cell>
          <cell r="M36" t="str">
            <v>추병원</v>
          </cell>
          <cell r="N36">
            <v>19968000</v>
          </cell>
          <cell r="O36">
            <v>19.968</v>
          </cell>
        </row>
        <row r="37">
          <cell r="L37">
            <v>10033027</v>
          </cell>
          <cell r="M37" t="str">
            <v>의료법인자인의료재단더자인병원</v>
          </cell>
          <cell r="N37">
            <v>3863000</v>
          </cell>
          <cell r="O37">
            <v>3.863</v>
          </cell>
        </row>
        <row r="38">
          <cell r="L38">
            <v>10033043</v>
          </cell>
          <cell r="M38" t="str">
            <v>메디인병원</v>
          </cell>
          <cell r="N38">
            <v>9010000</v>
          </cell>
          <cell r="O38">
            <v>9.01</v>
          </cell>
        </row>
        <row r="39">
          <cell r="L39">
            <v>10033160</v>
          </cell>
          <cell r="M39" t="str">
            <v>(의)대진의료재단분당제생병원</v>
          </cell>
          <cell r="N39">
            <v>68347816</v>
          </cell>
          <cell r="O39">
            <v>68.347815999999995</v>
          </cell>
        </row>
        <row r="40">
          <cell r="L40">
            <v>10033270</v>
          </cell>
          <cell r="M40" t="str">
            <v>(학)가톨릭대학교부천성모병원</v>
          </cell>
          <cell r="N40">
            <v>36195000</v>
          </cell>
          <cell r="O40">
            <v>36.195</v>
          </cell>
        </row>
        <row r="41">
          <cell r="L41">
            <v>10033272</v>
          </cell>
          <cell r="M41" t="str">
            <v>부천순천향대학교의과대학부속병원</v>
          </cell>
          <cell r="N41">
            <v>22319000</v>
          </cell>
          <cell r="O41">
            <v>22.318999999999999</v>
          </cell>
        </row>
        <row r="42">
          <cell r="L42">
            <v>10033277</v>
          </cell>
          <cell r="M42" t="str">
            <v>의료법인대인의료재단다니엘병원</v>
          </cell>
          <cell r="N42">
            <v>19888000</v>
          </cell>
          <cell r="O42">
            <v>19.888000000000002</v>
          </cell>
        </row>
        <row r="43">
          <cell r="L43">
            <v>10033479</v>
          </cell>
          <cell r="M43" t="str">
            <v>의료법인양평의료재단</v>
          </cell>
          <cell r="N43">
            <v>2640000</v>
          </cell>
          <cell r="O43">
            <v>2.64</v>
          </cell>
        </row>
        <row r="44">
          <cell r="L44">
            <v>10033614</v>
          </cell>
          <cell r="M44" t="str">
            <v>(의)대아의료재단</v>
          </cell>
          <cell r="N44">
            <v>26988000</v>
          </cell>
          <cell r="O44">
            <v>26.988</v>
          </cell>
        </row>
        <row r="45">
          <cell r="L45">
            <v>10033886</v>
          </cell>
          <cell r="M45" t="str">
            <v>의료법인우리의료재단</v>
          </cell>
          <cell r="N45">
            <v>52078000</v>
          </cell>
          <cell r="O45">
            <v>52.078000000000003</v>
          </cell>
        </row>
        <row r="46">
          <cell r="L46">
            <v>10033888</v>
          </cell>
          <cell r="M46" t="str">
            <v>인천가톨릭학원가톨릭관동대학교국제성모병원</v>
          </cell>
          <cell r="N46">
            <v>18353000</v>
          </cell>
          <cell r="O46">
            <v>18.353000000000002</v>
          </cell>
        </row>
        <row r="47">
          <cell r="L47">
            <v>10034679</v>
          </cell>
          <cell r="M47" t="str">
            <v>서울성심병원</v>
          </cell>
          <cell r="N47">
            <v>9400000</v>
          </cell>
          <cell r="O47">
            <v>9.4</v>
          </cell>
        </row>
        <row r="48">
          <cell r="L48">
            <v>10034681</v>
          </cell>
          <cell r="M48" t="str">
            <v>강일병원</v>
          </cell>
          <cell r="N48">
            <v>9925000</v>
          </cell>
          <cell r="O48">
            <v>9.9250000000000007</v>
          </cell>
        </row>
        <row r="49">
          <cell r="L49">
            <v>10034707</v>
          </cell>
          <cell r="M49" t="str">
            <v>혜민병원</v>
          </cell>
          <cell r="N49">
            <v>5264000</v>
          </cell>
          <cell r="O49">
            <v>5.2640000000000002</v>
          </cell>
        </row>
        <row r="50">
          <cell r="L50">
            <v>10034735</v>
          </cell>
          <cell r="M50" t="str">
            <v>한양대학교병원</v>
          </cell>
          <cell r="N50">
            <v>3852000</v>
          </cell>
          <cell r="O50">
            <v>3.8519999999999999</v>
          </cell>
        </row>
        <row r="51">
          <cell r="L51">
            <v>10034942</v>
          </cell>
          <cell r="M51" t="str">
            <v>서울노보스병원</v>
          </cell>
          <cell r="N51">
            <v>13757000</v>
          </cell>
          <cell r="O51">
            <v>13.757</v>
          </cell>
        </row>
        <row r="52">
          <cell r="L52">
            <v>10035069</v>
          </cell>
          <cell r="M52" t="str">
            <v>검단탑종합병원</v>
          </cell>
          <cell r="N52">
            <v>31393600</v>
          </cell>
          <cell r="O52">
            <v>31.393599999999999</v>
          </cell>
        </row>
        <row r="53">
          <cell r="L53">
            <v>10035078</v>
          </cell>
          <cell r="M53" t="str">
            <v>사랑플러스병원</v>
          </cell>
          <cell r="N53">
            <v>7911000</v>
          </cell>
          <cell r="O53">
            <v>7.9109999999999996</v>
          </cell>
        </row>
        <row r="54">
          <cell r="L54">
            <v>10035562</v>
          </cell>
          <cell r="M54" t="str">
            <v>의료법인선덕의료재단대성병원</v>
          </cell>
          <cell r="N54">
            <v>10933000</v>
          </cell>
          <cell r="O54">
            <v>10.933</v>
          </cell>
        </row>
        <row r="55">
          <cell r="L55">
            <v>10035639</v>
          </cell>
          <cell r="M55" t="str">
            <v>강릉아산병원</v>
          </cell>
          <cell r="N55">
            <v>4031000</v>
          </cell>
          <cell r="O55">
            <v>4.0309999999999997</v>
          </cell>
        </row>
        <row r="56">
          <cell r="L56">
            <v>10035927</v>
          </cell>
          <cell r="M56" t="str">
            <v>뿌리병원</v>
          </cell>
          <cell r="N56">
            <v>13923000</v>
          </cell>
          <cell r="O56">
            <v>13.923</v>
          </cell>
        </row>
        <row r="57">
          <cell r="L57">
            <v>10035968</v>
          </cell>
          <cell r="M57" t="str">
            <v>아산충무병원</v>
          </cell>
          <cell r="N57">
            <v>26776000</v>
          </cell>
          <cell r="O57">
            <v>26.776</v>
          </cell>
        </row>
        <row r="58">
          <cell r="L58">
            <v>10036016</v>
          </cell>
          <cell r="M58" t="str">
            <v>시원병원</v>
          </cell>
          <cell r="N58">
            <v>5120000</v>
          </cell>
          <cell r="O58">
            <v>5.12</v>
          </cell>
        </row>
        <row r="59">
          <cell r="L59">
            <v>10036166</v>
          </cell>
          <cell r="M59" t="str">
            <v>씨엔씨재활의학과병원</v>
          </cell>
          <cell r="N59">
            <v>10400000</v>
          </cell>
          <cell r="O59">
            <v>10.4</v>
          </cell>
        </row>
        <row r="60">
          <cell r="L60">
            <v>10036320</v>
          </cell>
          <cell r="M60" t="str">
            <v>대전한국병원</v>
          </cell>
          <cell r="N60">
            <v>18370000</v>
          </cell>
          <cell r="O60">
            <v>18.37</v>
          </cell>
        </row>
        <row r="61">
          <cell r="L61">
            <v>10036531</v>
          </cell>
          <cell r="M61" t="str">
            <v>건양대학교부여병원</v>
          </cell>
          <cell r="N61">
            <v>5265000</v>
          </cell>
          <cell r="O61">
            <v>5.2649999999999997</v>
          </cell>
        </row>
        <row r="62">
          <cell r="L62">
            <v>10036590</v>
          </cell>
          <cell r="M62" t="str">
            <v>당진종합병원</v>
          </cell>
          <cell r="N62">
            <v>29458000</v>
          </cell>
          <cell r="O62">
            <v>29.457999999999998</v>
          </cell>
        </row>
        <row r="63">
          <cell r="L63">
            <v>10036633</v>
          </cell>
          <cell r="M63" t="str">
            <v>예산명지병원</v>
          </cell>
          <cell r="N63">
            <v>8572000</v>
          </cell>
          <cell r="O63">
            <v>8.5719999999999992</v>
          </cell>
        </row>
        <row r="64">
          <cell r="L64">
            <v>10036639</v>
          </cell>
          <cell r="M64" t="str">
            <v>서산중앙병원</v>
          </cell>
          <cell r="N64">
            <v>85936000</v>
          </cell>
          <cell r="O64">
            <v>85.936000000000007</v>
          </cell>
        </row>
        <row r="65">
          <cell r="L65">
            <v>10037576</v>
          </cell>
          <cell r="M65" t="str">
            <v>(재)예수병원유지재단</v>
          </cell>
          <cell r="N65">
            <v>39830000</v>
          </cell>
          <cell r="O65">
            <v>39.83</v>
          </cell>
        </row>
        <row r="66">
          <cell r="L66">
            <v>10037680</v>
          </cell>
          <cell r="M66" t="str">
            <v>원광대학교병원</v>
          </cell>
          <cell r="N66">
            <v>28732000</v>
          </cell>
          <cell r="O66">
            <v>28.731999999999999</v>
          </cell>
        </row>
        <row r="67">
          <cell r="L67">
            <v>10037863</v>
          </cell>
          <cell r="M67" t="str">
            <v>광주씨티병원</v>
          </cell>
          <cell r="N67">
            <v>7334000</v>
          </cell>
          <cell r="O67">
            <v>7.3339999999999996</v>
          </cell>
        </row>
        <row r="68">
          <cell r="L68">
            <v>10037883</v>
          </cell>
          <cell r="M68" t="str">
            <v>화순성심병원</v>
          </cell>
          <cell r="N68">
            <v>20447000</v>
          </cell>
          <cell r="O68">
            <v>20.446999999999999</v>
          </cell>
        </row>
        <row r="69">
          <cell r="L69">
            <v>10037916</v>
          </cell>
          <cell r="M69" t="str">
            <v>전남대학교병원</v>
          </cell>
          <cell r="N69">
            <v>11846478</v>
          </cell>
          <cell r="O69">
            <v>11.846477999999999</v>
          </cell>
        </row>
        <row r="70">
          <cell r="L70">
            <v>10037919</v>
          </cell>
          <cell r="M70" t="str">
            <v>화순전남대학교병원</v>
          </cell>
          <cell r="N70">
            <v>11327892</v>
          </cell>
          <cell r="O70">
            <v>11.327892</v>
          </cell>
        </row>
        <row r="71">
          <cell r="L71">
            <v>10038148</v>
          </cell>
          <cell r="M71" t="str">
            <v>KS병원</v>
          </cell>
          <cell r="N71">
            <v>9772000</v>
          </cell>
          <cell r="O71">
            <v>9.7720000000000002</v>
          </cell>
        </row>
        <row r="72">
          <cell r="L72">
            <v>10038241</v>
          </cell>
          <cell r="M72" t="str">
            <v>광주21세기병원</v>
          </cell>
          <cell r="N72">
            <v>3677000</v>
          </cell>
          <cell r="O72">
            <v>3.677</v>
          </cell>
        </row>
        <row r="73">
          <cell r="L73">
            <v>10038249</v>
          </cell>
          <cell r="M73" t="str">
            <v>광주한국병원</v>
          </cell>
          <cell r="N73">
            <v>26850000</v>
          </cell>
          <cell r="O73">
            <v>26.85</v>
          </cell>
        </row>
        <row r="74">
          <cell r="L74">
            <v>10038259</v>
          </cell>
          <cell r="M74" t="str">
            <v>동아병원</v>
          </cell>
          <cell r="N74">
            <v>9422000</v>
          </cell>
          <cell r="O74">
            <v>9.4220000000000006</v>
          </cell>
        </row>
        <row r="75">
          <cell r="L75">
            <v>10038346</v>
          </cell>
          <cell r="M75" t="str">
            <v>목포기독병원</v>
          </cell>
          <cell r="N75">
            <v>17851000</v>
          </cell>
          <cell r="O75">
            <v>17.850999999999999</v>
          </cell>
        </row>
        <row r="76">
          <cell r="L76">
            <v>10038463</v>
          </cell>
          <cell r="M76" t="str">
            <v>고흥윤호21병원</v>
          </cell>
          <cell r="N76">
            <v>7903000</v>
          </cell>
          <cell r="O76">
            <v>7.9029999999999996</v>
          </cell>
        </row>
        <row r="77">
          <cell r="L77">
            <v>10038513</v>
          </cell>
          <cell r="M77" t="str">
            <v>의료법인장호녹동현대병원</v>
          </cell>
          <cell r="N77">
            <v>11616000</v>
          </cell>
          <cell r="O77">
            <v>11.616</v>
          </cell>
        </row>
        <row r="78">
          <cell r="L78">
            <v>10038606</v>
          </cell>
          <cell r="M78" t="str">
            <v>(의)한마음의료재단여수제일병원</v>
          </cell>
          <cell r="N78">
            <v>11959000</v>
          </cell>
          <cell r="O78">
            <v>11.959</v>
          </cell>
        </row>
        <row r="79">
          <cell r="L79">
            <v>10038671</v>
          </cell>
          <cell r="M79" t="str">
            <v>전주고려병원</v>
          </cell>
          <cell r="N79">
            <v>15642000</v>
          </cell>
          <cell r="O79">
            <v>15.641999999999999</v>
          </cell>
        </row>
        <row r="80">
          <cell r="L80">
            <v>10038694</v>
          </cell>
          <cell r="M80" t="str">
            <v>의료법인목포구암의료재단(목포중앙병원)</v>
          </cell>
          <cell r="N80">
            <v>42250000</v>
          </cell>
          <cell r="O80">
            <v>42.25</v>
          </cell>
        </row>
        <row r="81">
          <cell r="L81">
            <v>10038792</v>
          </cell>
          <cell r="M81" t="str">
            <v>추새로병원</v>
          </cell>
          <cell r="N81">
            <v>2056000</v>
          </cell>
          <cell r="O81">
            <v>2.056</v>
          </cell>
        </row>
        <row r="82">
          <cell r="L82">
            <v>10039210</v>
          </cell>
          <cell r="M82" t="str">
            <v>의료법인백천의료재단</v>
          </cell>
          <cell r="N82">
            <v>22696000</v>
          </cell>
          <cell r="O82">
            <v>22.696000000000002</v>
          </cell>
        </row>
        <row r="83">
          <cell r="L83">
            <v>10039242</v>
          </cell>
          <cell r="M83" t="str">
            <v>수성한미병원</v>
          </cell>
          <cell r="N83">
            <v>5812000</v>
          </cell>
          <cell r="O83">
            <v>5.8120000000000003</v>
          </cell>
        </row>
        <row r="84">
          <cell r="L84">
            <v>10039694</v>
          </cell>
          <cell r="M84" t="str">
            <v>석촌의료재단성주무강병원</v>
          </cell>
          <cell r="N84">
            <v>3741000</v>
          </cell>
          <cell r="O84">
            <v>3.7410000000000001</v>
          </cell>
        </row>
        <row r="85">
          <cell r="L85">
            <v>10039976</v>
          </cell>
          <cell r="M85" t="str">
            <v>의료법인서명의료재단세명병원</v>
          </cell>
          <cell r="N85">
            <v>6160000</v>
          </cell>
          <cell r="O85">
            <v>6.16</v>
          </cell>
        </row>
        <row r="86">
          <cell r="L86">
            <v>10040095</v>
          </cell>
          <cell r="M86" t="str">
            <v>새천년병원</v>
          </cell>
          <cell r="N86">
            <v>6609000</v>
          </cell>
          <cell r="O86">
            <v>6.609</v>
          </cell>
        </row>
        <row r="87">
          <cell r="L87">
            <v>10040113</v>
          </cell>
          <cell r="M87" t="str">
            <v>올바로병원</v>
          </cell>
          <cell r="N87">
            <v>192881400</v>
          </cell>
          <cell r="O87">
            <v>192.88140000000001</v>
          </cell>
        </row>
        <row r="88">
          <cell r="L88">
            <v>10040523</v>
          </cell>
          <cell r="M88" t="str">
            <v>동아대학교의료원</v>
          </cell>
          <cell r="N88">
            <v>7824000</v>
          </cell>
          <cell r="O88">
            <v>7.8239999999999998</v>
          </cell>
        </row>
        <row r="89">
          <cell r="L89">
            <v>10040545</v>
          </cell>
          <cell r="M89" t="str">
            <v>부산본병원</v>
          </cell>
          <cell r="N89">
            <v>8259000</v>
          </cell>
          <cell r="O89">
            <v>8.2590000000000003</v>
          </cell>
        </row>
        <row r="90">
          <cell r="L90">
            <v>10040635</v>
          </cell>
          <cell r="M90" t="str">
            <v>인제대학교부산백병원</v>
          </cell>
          <cell r="N90">
            <v>10819000</v>
          </cell>
          <cell r="O90">
            <v>10.819000000000001</v>
          </cell>
        </row>
        <row r="91">
          <cell r="L91">
            <v>10040639</v>
          </cell>
          <cell r="M91" t="str">
            <v>학교법인동의병원</v>
          </cell>
          <cell r="N91">
            <v>17921000</v>
          </cell>
          <cell r="O91">
            <v>17.920999999999999</v>
          </cell>
        </row>
        <row r="92">
          <cell r="L92">
            <v>10040990</v>
          </cell>
          <cell r="M92" t="str">
            <v>연세에스병원</v>
          </cell>
          <cell r="N92">
            <v>2568000</v>
          </cell>
          <cell r="O92">
            <v>2.5680000000000001</v>
          </cell>
        </row>
        <row r="93">
          <cell r="L93">
            <v>10041141</v>
          </cell>
          <cell r="M93" t="str">
            <v>의료법인혜명심의료재단(울산병원)</v>
          </cell>
          <cell r="N93">
            <v>9392000</v>
          </cell>
          <cell r="O93">
            <v>9.3919999999999995</v>
          </cell>
        </row>
        <row r="94">
          <cell r="L94">
            <v>10041259</v>
          </cell>
          <cell r="M94" t="str">
            <v>새통영병원</v>
          </cell>
          <cell r="N94">
            <v>20487000</v>
          </cell>
          <cell r="O94">
            <v>20.486999999999998</v>
          </cell>
        </row>
        <row r="95">
          <cell r="L95">
            <v>10041416</v>
          </cell>
          <cell r="M95" t="str">
            <v>의료법인갑을의료재단갑을장유병원</v>
          </cell>
          <cell r="N95">
            <v>17563000</v>
          </cell>
          <cell r="O95">
            <v>17.562999999999999</v>
          </cell>
        </row>
        <row r="96">
          <cell r="L96">
            <v>10041441</v>
          </cell>
          <cell r="M96" t="str">
            <v>김해굿모닝병원</v>
          </cell>
          <cell r="N96">
            <v>240000</v>
          </cell>
          <cell r="O96">
            <v>0.24</v>
          </cell>
        </row>
        <row r="97">
          <cell r="L97">
            <v>10041502</v>
          </cell>
          <cell r="M97" t="str">
            <v>(의)한라의료재단</v>
          </cell>
          <cell r="N97">
            <v>28946000</v>
          </cell>
          <cell r="O97">
            <v>28.946000000000002</v>
          </cell>
        </row>
        <row r="98">
          <cell r="L98">
            <v>10041592</v>
          </cell>
          <cell r="M98" t="str">
            <v>비에이치에스한서병원</v>
          </cell>
          <cell r="N98">
            <v>48231000</v>
          </cell>
          <cell r="O98">
            <v>48.231000000000002</v>
          </cell>
        </row>
        <row r="99">
          <cell r="L99">
            <v>10041601</v>
          </cell>
          <cell r="M99" t="str">
            <v>인제대학교해운대백병원</v>
          </cell>
          <cell r="N99">
            <v>15162000</v>
          </cell>
          <cell r="O99">
            <v>15.162000000000001</v>
          </cell>
        </row>
        <row r="100">
          <cell r="L100">
            <v>10041740</v>
          </cell>
          <cell r="M100" t="str">
            <v>서울산보람병원</v>
          </cell>
          <cell r="N100">
            <v>5473000</v>
          </cell>
          <cell r="O100">
            <v>5.4729999999999999</v>
          </cell>
        </row>
        <row r="101">
          <cell r="L101">
            <v>10041832</v>
          </cell>
          <cell r="M101" t="str">
            <v>서일의료재단기장병원</v>
          </cell>
          <cell r="N101">
            <v>21200000</v>
          </cell>
          <cell r="O101">
            <v>21.2</v>
          </cell>
        </row>
        <row r="102">
          <cell r="L102">
            <v>10042063</v>
          </cell>
          <cell r="M102" t="str">
            <v>장튼위튼병원</v>
          </cell>
          <cell r="N102">
            <v>1500000</v>
          </cell>
          <cell r="O102">
            <v>1.5</v>
          </cell>
        </row>
        <row r="103">
          <cell r="L103">
            <v>10042527</v>
          </cell>
          <cell r="M103" t="str">
            <v>엠에스(MS)재건병원</v>
          </cell>
          <cell r="N103">
            <v>7930000</v>
          </cell>
          <cell r="O103">
            <v>7.93</v>
          </cell>
        </row>
        <row r="104">
          <cell r="L104">
            <v>10042934</v>
          </cell>
          <cell r="M104" t="str">
            <v>의료법인남촌의료재단</v>
          </cell>
          <cell r="N104">
            <v>1072000</v>
          </cell>
          <cell r="O104">
            <v>1.0720000000000001</v>
          </cell>
        </row>
        <row r="105">
          <cell r="L105">
            <v>10044981</v>
          </cell>
          <cell r="M105" t="str">
            <v>신일병원</v>
          </cell>
          <cell r="N105">
            <v>11837000</v>
          </cell>
          <cell r="O105">
            <v>11.837</v>
          </cell>
        </row>
        <row r="106">
          <cell r="L106">
            <v>10045059</v>
          </cell>
          <cell r="M106" t="str">
            <v>팔팔병원</v>
          </cell>
          <cell r="N106">
            <v>14672000</v>
          </cell>
          <cell r="O106">
            <v>14.672000000000001</v>
          </cell>
        </row>
        <row r="107">
          <cell r="L107">
            <v>10045809</v>
          </cell>
          <cell r="M107" t="str">
            <v>의료법인영동의료재단의정부백병원</v>
          </cell>
          <cell r="N107">
            <v>9984000</v>
          </cell>
          <cell r="O107">
            <v>9.984</v>
          </cell>
        </row>
        <row r="108">
          <cell r="L108">
            <v>10046570</v>
          </cell>
          <cell r="M108" t="str">
            <v>의료법인성지의료재단(성지병원)</v>
          </cell>
          <cell r="N108">
            <v>24206000</v>
          </cell>
          <cell r="O108">
            <v>24.206</v>
          </cell>
        </row>
        <row r="109">
          <cell r="L109">
            <v>10046609</v>
          </cell>
          <cell r="M109" t="str">
            <v>씨엔씨푸른병원</v>
          </cell>
          <cell r="N109">
            <v>10400000</v>
          </cell>
          <cell r="O109">
            <v>10.4</v>
          </cell>
        </row>
        <row r="110">
          <cell r="L110">
            <v>10046731</v>
          </cell>
          <cell r="M110" t="str">
            <v>의료법인규웅의료재단(대청병원)</v>
          </cell>
          <cell r="N110">
            <v>34912000</v>
          </cell>
          <cell r="O110">
            <v>34.911999999999999</v>
          </cell>
        </row>
        <row r="111">
          <cell r="L111">
            <v>10046812</v>
          </cell>
          <cell r="M111" t="str">
            <v>의료법인은성의료재단좋은선린병원</v>
          </cell>
          <cell r="N111">
            <v>20226000</v>
          </cell>
          <cell r="O111">
            <v>20.225999999999999</v>
          </cell>
        </row>
        <row r="112">
          <cell r="L112">
            <v>10047292</v>
          </cell>
          <cell r="M112" t="str">
            <v>의료법인숭인의료재단김해복음병원</v>
          </cell>
          <cell r="N112">
            <v>47991000</v>
          </cell>
          <cell r="O112">
            <v>47.991</v>
          </cell>
        </row>
        <row r="113">
          <cell r="L113">
            <v>10050471</v>
          </cell>
          <cell r="M113" t="str">
            <v>성지의료재단제천성지병원</v>
          </cell>
          <cell r="N113">
            <v>4784000</v>
          </cell>
          <cell r="O113">
            <v>4.7839999999999998</v>
          </cell>
        </row>
        <row r="114">
          <cell r="L114">
            <v>10050868</v>
          </cell>
          <cell r="M114" t="str">
            <v>연세오케이병원</v>
          </cell>
          <cell r="N114">
            <v>6244000</v>
          </cell>
          <cell r="O114">
            <v>6.2439999999999998</v>
          </cell>
        </row>
        <row r="115">
          <cell r="L115">
            <v>10060702</v>
          </cell>
          <cell r="M115" t="str">
            <v>동탄시티병원</v>
          </cell>
          <cell r="N115">
            <v>12064000</v>
          </cell>
          <cell r="O115">
            <v>12.064</v>
          </cell>
        </row>
        <row r="116">
          <cell r="L116">
            <v>10061894</v>
          </cell>
          <cell r="M116" t="str">
            <v>선한병원</v>
          </cell>
          <cell r="N116">
            <v>16480000</v>
          </cell>
          <cell r="O116">
            <v>16.48</v>
          </cell>
        </row>
        <row r="117">
          <cell r="L117">
            <v>10061981</v>
          </cell>
          <cell r="M117" t="str">
            <v>새손병원</v>
          </cell>
          <cell r="N117">
            <v>4758000</v>
          </cell>
          <cell r="O117">
            <v>4.758</v>
          </cell>
        </row>
        <row r="118">
          <cell r="L118">
            <v>10063044</v>
          </cell>
          <cell r="M118" t="str">
            <v>의료법인명인의료재단</v>
          </cell>
          <cell r="N118">
            <v>42015600</v>
          </cell>
          <cell r="O118">
            <v>42.015599999999999</v>
          </cell>
        </row>
        <row r="119">
          <cell r="L119">
            <v>10066681</v>
          </cell>
          <cell r="M119" t="str">
            <v>빛가람종합병원</v>
          </cell>
          <cell r="N119">
            <v>5776000</v>
          </cell>
          <cell r="O119">
            <v>5.7759999999999998</v>
          </cell>
        </row>
        <row r="120">
          <cell r="L120">
            <v>10067605</v>
          </cell>
          <cell r="M120" t="str">
            <v>에이스병원(남양주)</v>
          </cell>
          <cell r="N120">
            <v>9004000</v>
          </cell>
          <cell r="O120">
            <v>9.0039999999999996</v>
          </cell>
        </row>
        <row r="121">
          <cell r="L121">
            <v>10069147</v>
          </cell>
          <cell r="M121" t="str">
            <v>의료법인혜인의료재단한국병원</v>
          </cell>
          <cell r="N121">
            <v>30653000</v>
          </cell>
          <cell r="O121">
            <v>30.652999999999999</v>
          </cell>
        </row>
        <row r="122">
          <cell r="L122">
            <v>10069441</v>
          </cell>
          <cell r="M122" t="str">
            <v>의료법인행도의료재단(해동병원)</v>
          </cell>
          <cell r="N122">
            <v>12346000</v>
          </cell>
          <cell r="O122">
            <v>12.346</v>
          </cell>
        </row>
        <row r="123">
          <cell r="L123">
            <v>10070268</v>
          </cell>
          <cell r="M123" t="str">
            <v>천안리턴병원</v>
          </cell>
          <cell r="N123">
            <v>16248000</v>
          </cell>
          <cell r="O123">
            <v>16.248000000000001</v>
          </cell>
        </row>
        <row r="124">
          <cell r="L124">
            <v>10071000</v>
          </cell>
          <cell r="M124" t="str">
            <v>광주365재활병원</v>
          </cell>
          <cell r="N124">
            <v>14544000</v>
          </cell>
          <cell r="O124">
            <v>14.544</v>
          </cell>
        </row>
        <row r="125">
          <cell r="L125">
            <v>10072686</v>
          </cell>
          <cell r="M125" t="str">
            <v>나은필병원</v>
          </cell>
          <cell r="N125">
            <v>2848000</v>
          </cell>
          <cell r="O125">
            <v>2.8479999999999999</v>
          </cell>
        </row>
        <row r="126">
          <cell r="L126">
            <v>10074449</v>
          </cell>
          <cell r="M126" t="str">
            <v>중앙대학교광명병원</v>
          </cell>
          <cell r="N126">
            <v>3975000</v>
          </cell>
          <cell r="O126">
            <v>3.9750000000000001</v>
          </cell>
        </row>
        <row r="127">
          <cell r="L127">
            <v>10075257</v>
          </cell>
          <cell r="M127" t="str">
            <v>하남S병원</v>
          </cell>
          <cell r="N127">
            <v>4096000</v>
          </cell>
          <cell r="O127">
            <v>4.0960000000000001</v>
          </cell>
        </row>
        <row r="128">
          <cell r="L128">
            <v>10077968</v>
          </cell>
          <cell r="M128" t="str">
            <v>정읍한국병원</v>
          </cell>
          <cell r="N128">
            <v>6526000</v>
          </cell>
          <cell r="O128">
            <v>6.5259999999999998</v>
          </cell>
        </row>
        <row r="129">
          <cell r="L129">
            <v>10082404</v>
          </cell>
          <cell r="M129" t="str">
            <v>거인병원</v>
          </cell>
          <cell r="N129">
            <v>5364000</v>
          </cell>
          <cell r="O129">
            <v>5.3639999999999999</v>
          </cell>
        </row>
        <row r="130">
          <cell r="L130">
            <v>10083322</v>
          </cell>
          <cell r="M130" t="str">
            <v>아중요양병원</v>
          </cell>
          <cell r="N130">
            <v>13539000</v>
          </cell>
          <cell r="O130">
            <v>13.539</v>
          </cell>
        </row>
        <row r="131">
          <cell r="L131">
            <v>10084743</v>
          </cell>
          <cell r="M131" t="str">
            <v>새동산병원</v>
          </cell>
          <cell r="N131">
            <v>10983000</v>
          </cell>
          <cell r="O131">
            <v>10.983000000000001</v>
          </cell>
        </row>
        <row r="132">
          <cell r="L132">
            <v>10086968</v>
          </cell>
          <cell r="M132" t="str">
            <v>청담해리슨병원</v>
          </cell>
          <cell r="N132">
            <v>3794000</v>
          </cell>
          <cell r="O132">
            <v>3.794</v>
          </cell>
        </row>
        <row r="133">
          <cell r="L133">
            <v>10087161</v>
          </cell>
          <cell r="M133" t="str">
            <v>중앙메디컬병원</v>
          </cell>
          <cell r="N133">
            <v>1865000</v>
          </cell>
          <cell r="O133">
            <v>1.865</v>
          </cell>
        </row>
        <row r="134">
          <cell r="L134">
            <v>10087386</v>
          </cell>
          <cell r="M134" t="str">
            <v>큰힘병원</v>
          </cell>
          <cell r="N134">
            <v>253500540</v>
          </cell>
          <cell r="O134">
            <v>253.50054</v>
          </cell>
        </row>
        <row r="135">
          <cell r="L135">
            <v>10089241</v>
          </cell>
          <cell r="M135" t="str">
            <v>미라클병원</v>
          </cell>
          <cell r="N135">
            <v>390000</v>
          </cell>
          <cell r="O135">
            <v>0.39</v>
          </cell>
        </row>
        <row r="136">
          <cell r="L136">
            <v>10091292</v>
          </cell>
          <cell r="M136" t="str">
            <v>박철홍정형외과의원</v>
          </cell>
          <cell r="N136">
            <v>2832000</v>
          </cell>
          <cell r="O136">
            <v>2.8319999999999999</v>
          </cell>
        </row>
        <row r="137">
          <cell r="L137">
            <v>10096603</v>
          </cell>
          <cell r="M137" t="str">
            <v>의료법인인덕의료재단복주회복병원</v>
          </cell>
          <cell r="N137">
            <v>26500000</v>
          </cell>
          <cell r="O137">
            <v>26.5</v>
          </cell>
        </row>
        <row r="138">
          <cell r="L138">
            <v>10099847</v>
          </cell>
          <cell r="M138" t="str">
            <v>더필병원</v>
          </cell>
          <cell r="N138">
            <v>27472000</v>
          </cell>
          <cell r="O138">
            <v>27.472000000000001</v>
          </cell>
        </row>
        <row r="139">
          <cell r="L139">
            <v>10103688</v>
          </cell>
          <cell r="M139" t="str">
            <v>한빛병원</v>
          </cell>
          <cell r="N139">
            <v>8606000</v>
          </cell>
          <cell r="O139">
            <v>8.6059999999999999</v>
          </cell>
        </row>
        <row r="140">
          <cell r="L140">
            <v>10111228</v>
          </cell>
          <cell r="M140" t="str">
            <v>대구예스병원</v>
          </cell>
          <cell r="N140">
            <v>19923000</v>
          </cell>
          <cell r="O140">
            <v>19.922999999999998</v>
          </cell>
        </row>
        <row r="141">
          <cell r="L141">
            <v>10112263</v>
          </cell>
          <cell r="M141" t="str">
            <v>의료법인효경의료재단(효성요양병원)</v>
          </cell>
          <cell r="N141">
            <v>9100000</v>
          </cell>
          <cell r="O141">
            <v>9.1</v>
          </cell>
        </row>
        <row r="142">
          <cell r="L142">
            <v>10112509</v>
          </cell>
          <cell r="M142" t="str">
            <v>더스마트병원</v>
          </cell>
          <cell r="N142">
            <v>4093000</v>
          </cell>
          <cell r="O142">
            <v>4.093</v>
          </cell>
        </row>
        <row r="143">
          <cell r="L143">
            <v>10112765</v>
          </cell>
          <cell r="M143" t="str">
            <v>의료법인라움의료재단세웅병원</v>
          </cell>
          <cell r="N143">
            <v>71927000</v>
          </cell>
          <cell r="O143">
            <v>71.927000000000007</v>
          </cell>
        </row>
        <row r="144">
          <cell r="L144">
            <v>10112774</v>
          </cell>
          <cell r="M144" t="str">
            <v>의료법인나눔과행복의료재단</v>
          </cell>
          <cell r="N144">
            <v>2773000</v>
          </cell>
          <cell r="O144">
            <v>2.7730000000000001</v>
          </cell>
        </row>
        <row r="145">
          <cell r="L145">
            <v>10114610</v>
          </cell>
          <cell r="M145" t="str">
            <v>엘병원</v>
          </cell>
          <cell r="N145">
            <v>18608000</v>
          </cell>
          <cell r="O145">
            <v>18.608000000000001</v>
          </cell>
        </row>
        <row r="146">
          <cell r="O146">
            <v>2532.9534739999999</v>
          </cell>
        </row>
      </sheetData>
      <sheetData sheetId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Sheet2"/>
      <sheetName val="Data"/>
    </sheetNames>
    <sheetDataSet>
      <sheetData sheetId="0">
        <row r="2">
          <cell r="F2">
            <v>1000000</v>
          </cell>
        </row>
        <row r="3">
          <cell r="A3" t="str">
            <v>판매처</v>
          </cell>
          <cell r="B3" t="str">
            <v>판매처명</v>
          </cell>
          <cell r="C3" t="str">
            <v>합계 : 정가</v>
          </cell>
          <cell r="D3" t="str">
            <v>합계 : 세액</v>
          </cell>
        </row>
        <row r="4">
          <cell r="A4">
            <v>10002829</v>
          </cell>
          <cell r="B4" t="str">
            <v>운암한국병원</v>
          </cell>
          <cell r="C4">
            <v>22036364</v>
          </cell>
          <cell r="D4">
            <v>2203636</v>
          </cell>
          <cell r="E4">
            <v>24240000</v>
          </cell>
          <cell r="F4">
            <v>24.24</v>
          </cell>
        </row>
        <row r="5">
          <cell r="A5">
            <v>10003599</v>
          </cell>
          <cell r="B5" t="str">
            <v>의료법인온그룹의료재단온병원</v>
          </cell>
          <cell r="C5">
            <v>12201818</v>
          </cell>
          <cell r="D5">
            <v>1220182</v>
          </cell>
          <cell r="E5">
            <v>13422000</v>
          </cell>
          <cell r="F5">
            <v>13.422000000000001</v>
          </cell>
        </row>
        <row r="6">
          <cell r="A6">
            <v>10003837</v>
          </cell>
          <cell r="B6" t="str">
            <v>빌리브세웅병원</v>
          </cell>
          <cell r="C6">
            <v>2659091</v>
          </cell>
          <cell r="D6">
            <v>265909</v>
          </cell>
          <cell r="E6">
            <v>2925000</v>
          </cell>
          <cell r="F6">
            <v>2.9249999999999998</v>
          </cell>
        </row>
        <row r="7">
          <cell r="A7">
            <v>10006513</v>
          </cell>
          <cell r="B7" t="str">
            <v>서울대병원</v>
          </cell>
          <cell r="C7">
            <v>1950000</v>
          </cell>
          <cell r="D7">
            <v>195000</v>
          </cell>
          <cell r="E7">
            <v>2145000</v>
          </cell>
          <cell r="F7">
            <v>2.145</v>
          </cell>
        </row>
        <row r="8">
          <cell r="A8">
            <v>10006915</v>
          </cell>
          <cell r="B8" t="str">
            <v>해븐리병원</v>
          </cell>
          <cell r="C8">
            <v>9163636</v>
          </cell>
          <cell r="D8">
            <v>916364</v>
          </cell>
          <cell r="E8">
            <v>10080000</v>
          </cell>
          <cell r="F8">
            <v>10.08</v>
          </cell>
        </row>
        <row r="9">
          <cell r="A9">
            <v>10008171</v>
          </cell>
          <cell r="B9" t="str">
            <v>현대병원</v>
          </cell>
          <cell r="C9">
            <v>16873636</v>
          </cell>
          <cell r="D9">
            <v>1687364</v>
          </cell>
          <cell r="E9">
            <v>18561000</v>
          </cell>
          <cell r="F9">
            <v>18.561</v>
          </cell>
        </row>
        <row r="10">
          <cell r="A10">
            <v>10008739</v>
          </cell>
          <cell r="B10" t="str">
            <v>씨엠병원</v>
          </cell>
          <cell r="C10">
            <v>6411982</v>
          </cell>
          <cell r="D10">
            <v>641198</v>
          </cell>
          <cell r="E10">
            <v>7053180</v>
          </cell>
          <cell r="F10">
            <v>7.0531800000000002</v>
          </cell>
        </row>
        <row r="11">
          <cell r="A11">
            <v>10014151</v>
          </cell>
          <cell r="B11" t="str">
            <v>의료법인한양의료재단</v>
          </cell>
          <cell r="C11">
            <v>20658182</v>
          </cell>
          <cell r="D11">
            <v>2065818</v>
          </cell>
          <cell r="E11">
            <v>22724000</v>
          </cell>
          <cell r="F11">
            <v>22.724</v>
          </cell>
        </row>
        <row r="12">
          <cell r="A12">
            <v>10014574</v>
          </cell>
          <cell r="B12" t="str">
            <v>에스포항병원</v>
          </cell>
          <cell r="C12">
            <v>26002727</v>
          </cell>
          <cell r="D12">
            <v>2600273</v>
          </cell>
          <cell r="E12">
            <v>28603000</v>
          </cell>
          <cell r="F12">
            <v>28.603000000000002</v>
          </cell>
        </row>
        <row r="13">
          <cell r="A13">
            <v>10014653</v>
          </cell>
          <cell r="B13" t="str">
            <v>원주센텀병원</v>
          </cell>
          <cell r="C13">
            <v>1585455</v>
          </cell>
          <cell r="D13">
            <v>158545</v>
          </cell>
          <cell r="E13">
            <v>1744000</v>
          </cell>
          <cell r="F13">
            <v>1.744</v>
          </cell>
        </row>
        <row r="14">
          <cell r="A14">
            <v>10015909</v>
          </cell>
          <cell r="B14" t="str">
            <v>나눔과행복병원</v>
          </cell>
          <cell r="C14">
            <v>14666364</v>
          </cell>
          <cell r="D14">
            <v>1466636</v>
          </cell>
          <cell r="E14">
            <v>16133000</v>
          </cell>
          <cell r="F14">
            <v>16.132999999999999</v>
          </cell>
        </row>
        <row r="15">
          <cell r="A15">
            <v>10017056</v>
          </cell>
          <cell r="B15" t="str">
            <v>명지성모병원</v>
          </cell>
          <cell r="C15">
            <v>4313636</v>
          </cell>
          <cell r="D15">
            <v>431364</v>
          </cell>
          <cell r="E15">
            <v>4745000</v>
          </cell>
          <cell r="F15">
            <v>4.7450000000000001</v>
          </cell>
        </row>
        <row r="16">
          <cell r="A16">
            <v>10019113</v>
          </cell>
          <cell r="B16" t="str">
            <v>정병원</v>
          </cell>
          <cell r="C16">
            <v>2052727</v>
          </cell>
          <cell r="D16">
            <v>205273</v>
          </cell>
          <cell r="E16">
            <v>2258000</v>
          </cell>
          <cell r="F16">
            <v>2.258</v>
          </cell>
        </row>
        <row r="17">
          <cell r="A17">
            <v>10021506</v>
          </cell>
          <cell r="B17" t="str">
            <v>의료법인석경의료재단</v>
          </cell>
          <cell r="C17">
            <v>110703637</v>
          </cell>
          <cell r="D17">
            <v>11070363</v>
          </cell>
          <cell r="E17">
            <v>121774000</v>
          </cell>
          <cell r="F17">
            <v>121.774</v>
          </cell>
        </row>
        <row r="18">
          <cell r="A18">
            <v>10021890</v>
          </cell>
          <cell r="B18" t="str">
            <v>강영의료재단문산중앙병원</v>
          </cell>
          <cell r="C18">
            <v>16346364</v>
          </cell>
          <cell r="D18">
            <v>1634636</v>
          </cell>
          <cell r="E18">
            <v>17981000</v>
          </cell>
          <cell r="F18">
            <v>17.981000000000002</v>
          </cell>
        </row>
        <row r="19">
          <cell r="A19">
            <v>10022281</v>
          </cell>
          <cell r="B19" t="str">
            <v>남양주21세기병원</v>
          </cell>
          <cell r="C19">
            <v>1498182</v>
          </cell>
          <cell r="D19">
            <v>149818</v>
          </cell>
          <cell r="E19">
            <v>1648000</v>
          </cell>
          <cell r="F19">
            <v>1.6479999999999999</v>
          </cell>
        </row>
        <row r="20">
          <cell r="A20">
            <v>10026494</v>
          </cell>
          <cell r="B20" t="str">
            <v>해남우리병원</v>
          </cell>
          <cell r="C20">
            <v>9978182</v>
          </cell>
          <cell r="D20">
            <v>997818</v>
          </cell>
          <cell r="E20">
            <v>10976000</v>
          </cell>
          <cell r="F20">
            <v>10.976000000000001</v>
          </cell>
        </row>
        <row r="21">
          <cell r="A21">
            <v>10031447</v>
          </cell>
          <cell r="B21" t="str">
            <v>신촌연세병원</v>
          </cell>
          <cell r="C21">
            <v>5675455</v>
          </cell>
          <cell r="D21">
            <v>567545</v>
          </cell>
          <cell r="E21">
            <v>6243000</v>
          </cell>
          <cell r="F21">
            <v>6.2430000000000003</v>
          </cell>
        </row>
        <row r="22">
          <cell r="A22">
            <v>10031830</v>
          </cell>
          <cell r="B22" t="str">
            <v>청구성심병원</v>
          </cell>
          <cell r="C22">
            <v>37847273</v>
          </cell>
          <cell r="D22">
            <v>3784727</v>
          </cell>
          <cell r="E22">
            <v>41632000</v>
          </cell>
          <cell r="F22">
            <v>41.631999999999998</v>
          </cell>
        </row>
        <row r="23">
          <cell r="A23">
            <v>10032062</v>
          </cell>
          <cell r="B23" t="str">
            <v>홍익병원</v>
          </cell>
          <cell r="C23">
            <v>4710909</v>
          </cell>
          <cell r="D23">
            <v>471091</v>
          </cell>
          <cell r="E23">
            <v>5182000</v>
          </cell>
          <cell r="F23">
            <v>5.1820000000000004</v>
          </cell>
        </row>
        <row r="24">
          <cell r="A24">
            <v>10032311</v>
          </cell>
          <cell r="B24" t="str">
            <v>성모윌병원</v>
          </cell>
          <cell r="C24">
            <v>2298182</v>
          </cell>
          <cell r="D24">
            <v>229818</v>
          </cell>
          <cell r="E24">
            <v>2528000</v>
          </cell>
          <cell r="F24">
            <v>2.528</v>
          </cell>
        </row>
        <row r="25">
          <cell r="A25">
            <v>10032387</v>
          </cell>
          <cell r="B25" t="str">
            <v>의료법인센텀의료재단센텀종합병원</v>
          </cell>
          <cell r="C25">
            <v>10778182</v>
          </cell>
          <cell r="D25">
            <v>1077818</v>
          </cell>
          <cell r="E25">
            <v>11856000</v>
          </cell>
          <cell r="F25">
            <v>11.856</v>
          </cell>
        </row>
        <row r="26">
          <cell r="A26">
            <v>10032388</v>
          </cell>
          <cell r="B26" t="str">
            <v>의료법인안은의료재단부평세림병원</v>
          </cell>
          <cell r="C26">
            <v>6788182</v>
          </cell>
          <cell r="D26">
            <v>678818</v>
          </cell>
          <cell r="E26">
            <v>7467000</v>
          </cell>
          <cell r="F26">
            <v>7.4669999999999996</v>
          </cell>
        </row>
        <row r="27">
          <cell r="A27">
            <v>10032728</v>
          </cell>
          <cell r="B27" t="str">
            <v>의료법인양진의료재단평택성모병원</v>
          </cell>
          <cell r="C27">
            <v>49946364</v>
          </cell>
          <cell r="D27">
            <v>4994636</v>
          </cell>
          <cell r="E27">
            <v>54941000</v>
          </cell>
          <cell r="F27">
            <v>54.941000000000003</v>
          </cell>
        </row>
        <row r="28">
          <cell r="A28">
            <v>10032805</v>
          </cell>
          <cell r="B28" t="str">
            <v>여주새로운병원</v>
          </cell>
          <cell r="C28">
            <v>4689091</v>
          </cell>
          <cell r="D28">
            <v>468909</v>
          </cell>
          <cell r="E28">
            <v>5158000</v>
          </cell>
          <cell r="F28">
            <v>5.1580000000000004</v>
          </cell>
        </row>
        <row r="29">
          <cell r="A29">
            <v>10032898</v>
          </cell>
          <cell r="B29" t="str">
            <v>의료법인쓰임받는사람들의료재단(양주예쓰병원)</v>
          </cell>
          <cell r="C29">
            <v>4545455</v>
          </cell>
          <cell r="D29">
            <v>454545</v>
          </cell>
          <cell r="E29">
            <v>5000000</v>
          </cell>
          <cell r="F29">
            <v>5</v>
          </cell>
        </row>
        <row r="30">
          <cell r="A30">
            <v>10032935</v>
          </cell>
          <cell r="B30" t="str">
            <v>추병원</v>
          </cell>
          <cell r="C30">
            <v>34822727</v>
          </cell>
          <cell r="D30">
            <v>3482273</v>
          </cell>
          <cell r="E30">
            <v>38305000</v>
          </cell>
          <cell r="F30">
            <v>38.305</v>
          </cell>
        </row>
        <row r="31">
          <cell r="A31">
            <v>10033043</v>
          </cell>
          <cell r="B31" t="str">
            <v>메디인병원</v>
          </cell>
          <cell r="C31">
            <v>7595455</v>
          </cell>
          <cell r="D31">
            <v>759545</v>
          </cell>
          <cell r="E31">
            <v>8355000</v>
          </cell>
          <cell r="F31">
            <v>8.3550000000000004</v>
          </cell>
        </row>
        <row r="32">
          <cell r="A32">
            <v>10033160</v>
          </cell>
          <cell r="B32" t="str">
            <v>(의)대진의료재단분당제생병원</v>
          </cell>
          <cell r="C32">
            <v>63239127</v>
          </cell>
          <cell r="D32">
            <v>6323913</v>
          </cell>
          <cell r="E32">
            <v>69563040</v>
          </cell>
          <cell r="F32">
            <v>69.563040000000001</v>
          </cell>
        </row>
        <row r="33">
          <cell r="A33">
            <v>10033270</v>
          </cell>
          <cell r="B33" t="str">
            <v>(학)가톨릭대학교부천성모병원</v>
          </cell>
          <cell r="C33">
            <v>46009091</v>
          </cell>
          <cell r="D33">
            <v>4600909</v>
          </cell>
          <cell r="E33">
            <v>50610000</v>
          </cell>
          <cell r="F33">
            <v>50.61</v>
          </cell>
        </row>
        <row r="34">
          <cell r="A34">
            <v>10033277</v>
          </cell>
          <cell r="B34" t="str">
            <v>의료법인대인의료재단다니엘병원</v>
          </cell>
          <cell r="C34">
            <v>15709091</v>
          </cell>
          <cell r="D34">
            <v>1570909</v>
          </cell>
          <cell r="E34">
            <v>17280000</v>
          </cell>
          <cell r="F34">
            <v>17.28</v>
          </cell>
        </row>
        <row r="35">
          <cell r="A35">
            <v>10033479</v>
          </cell>
          <cell r="B35" t="str">
            <v>의료법인양평의료재단</v>
          </cell>
          <cell r="C35">
            <v>0</v>
          </cell>
          <cell r="D35">
            <v>0</v>
          </cell>
          <cell r="E35">
            <v>0</v>
          </cell>
          <cell r="F35">
            <v>0</v>
          </cell>
        </row>
        <row r="36">
          <cell r="A36">
            <v>10033614</v>
          </cell>
          <cell r="B36" t="str">
            <v>(의)대아의료재단</v>
          </cell>
          <cell r="C36">
            <v>13614545</v>
          </cell>
          <cell r="D36">
            <v>1361455</v>
          </cell>
          <cell r="E36">
            <v>14976000</v>
          </cell>
          <cell r="F36">
            <v>14.976000000000001</v>
          </cell>
        </row>
        <row r="37">
          <cell r="A37">
            <v>10033886</v>
          </cell>
          <cell r="B37" t="str">
            <v>의료법인우리의료재단</v>
          </cell>
          <cell r="C37">
            <v>51810909</v>
          </cell>
          <cell r="D37">
            <v>5181091</v>
          </cell>
          <cell r="E37">
            <v>56992000</v>
          </cell>
          <cell r="F37">
            <v>56.991999999999997</v>
          </cell>
        </row>
        <row r="38">
          <cell r="A38">
            <v>10033888</v>
          </cell>
          <cell r="B38" t="str">
            <v>인천가톨릭학원가톨릭관동대학교국제성모병원</v>
          </cell>
          <cell r="C38">
            <v>23204545</v>
          </cell>
          <cell r="D38">
            <v>2320455</v>
          </cell>
          <cell r="E38">
            <v>25525000</v>
          </cell>
          <cell r="F38">
            <v>25.524999999999999</v>
          </cell>
        </row>
        <row r="39">
          <cell r="A39">
            <v>10034679</v>
          </cell>
          <cell r="B39" t="str">
            <v>서울성심병원</v>
          </cell>
          <cell r="C39">
            <v>9396364</v>
          </cell>
          <cell r="D39">
            <v>939636</v>
          </cell>
          <cell r="E39">
            <v>10336000</v>
          </cell>
          <cell r="F39">
            <v>10.336</v>
          </cell>
        </row>
        <row r="40">
          <cell r="A40">
            <v>10034942</v>
          </cell>
          <cell r="B40" t="str">
            <v>서울노보스병원</v>
          </cell>
          <cell r="C40">
            <v>8230000</v>
          </cell>
          <cell r="D40">
            <v>823000</v>
          </cell>
          <cell r="E40">
            <v>9053000</v>
          </cell>
          <cell r="F40">
            <v>9.0530000000000008</v>
          </cell>
        </row>
        <row r="41">
          <cell r="A41">
            <v>10035069</v>
          </cell>
          <cell r="B41" t="str">
            <v>검단탑종합병원</v>
          </cell>
          <cell r="C41">
            <v>25948000</v>
          </cell>
          <cell r="D41">
            <v>2594800</v>
          </cell>
          <cell r="E41">
            <v>28542800</v>
          </cell>
          <cell r="F41">
            <v>28.5428</v>
          </cell>
        </row>
        <row r="42">
          <cell r="A42">
            <v>10035078</v>
          </cell>
          <cell r="B42" t="str">
            <v>사랑플러스병원</v>
          </cell>
          <cell r="C42">
            <v>5783636</v>
          </cell>
          <cell r="D42">
            <v>578364</v>
          </cell>
          <cell r="E42">
            <v>6362000</v>
          </cell>
          <cell r="F42">
            <v>6.3620000000000001</v>
          </cell>
        </row>
        <row r="43">
          <cell r="A43">
            <v>10035562</v>
          </cell>
          <cell r="B43" t="str">
            <v>의료법인선덕의료재단대성병원</v>
          </cell>
          <cell r="C43">
            <v>17127273</v>
          </cell>
          <cell r="D43">
            <v>1712727</v>
          </cell>
          <cell r="E43">
            <v>18840000</v>
          </cell>
          <cell r="F43">
            <v>18.84</v>
          </cell>
        </row>
        <row r="44">
          <cell r="A44">
            <v>10035927</v>
          </cell>
          <cell r="B44" t="str">
            <v>뿌리병원</v>
          </cell>
          <cell r="C44">
            <v>14311818</v>
          </cell>
          <cell r="D44">
            <v>1431182</v>
          </cell>
          <cell r="E44">
            <v>15743000</v>
          </cell>
          <cell r="F44">
            <v>15.743</v>
          </cell>
        </row>
        <row r="45">
          <cell r="A45">
            <v>10035968</v>
          </cell>
          <cell r="B45" t="str">
            <v>아산충무병원</v>
          </cell>
          <cell r="C45">
            <v>20882727</v>
          </cell>
          <cell r="D45">
            <v>2088273</v>
          </cell>
          <cell r="E45">
            <v>22971000</v>
          </cell>
          <cell r="F45">
            <v>22.971</v>
          </cell>
        </row>
        <row r="46">
          <cell r="A46">
            <v>10036016</v>
          </cell>
          <cell r="B46" t="str">
            <v>시원병원</v>
          </cell>
          <cell r="C46">
            <v>5410909</v>
          </cell>
          <cell r="D46">
            <v>541091</v>
          </cell>
          <cell r="E46">
            <v>5952000</v>
          </cell>
          <cell r="F46">
            <v>5.952</v>
          </cell>
        </row>
        <row r="47">
          <cell r="A47">
            <v>10036320</v>
          </cell>
          <cell r="B47" t="str">
            <v>대전한국병원</v>
          </cell>
          <cell r="C47">
            <v>15518182</v>
          </cell>
          <cell r="D47">
            <v>1551818</v>
          </cell>
          <cell r="E47">
            <v>17070000</v>
          </cell>
          <cell r="F47">
            <v>17.07</v>
          </cell>
        </row>
        <row r="48">
          <cell r="A48">
            <v>10036531</v>
          </cell>
          <cell r="B48" t="str">
            <v>건양대학교부여병원</v>
          </cell>
          <cell r="C48">
            <v>4290000</v>
          </cell>
          <cell r="D48">
            <v>429000</v>
          </cell>
          <cell r="E48">
            <v>4719000</v>
          </cell>
          <cell r="F48">
            <v>4.7190000000000003</v>
          </cell>
        </row>
        <row r="49">
          <cell r="A49">
            <v>10036590</v>
          </cell>
          <cell r="B49" t="str">
            <v>당진종합병원</v>
          </cell>
          <cell r="C49">
            <v>11144545</v>
          </cell>
          <cell r="D49">
            <v>1114455</v>
          </cell>
          <cell r="E49">
            <v>12259000</v>
          </cell>
          <cell r="F49">
            <v>12.259</v>
          </cell>
        </row>
        <row r="50">
          <cell r="A50">
            <v>10036633</v>
          </cell>
          <cell r="B50" t="str">
            <v>예산명지병원</v>
          </cell>
          <cell r="C50">
            <v>8285454</v>
          </cell>
          <cell r="D50">
            <v>828546</v>
          </cell>
          <cell r="E50">
            <v>9114000</v>
          </cell>
          <cell r="F50">
            <v>9.1140000000000008</v>
          </cell>
        </row>
        <row r="51">
          <cell r="A51">
            <v>10036639</v>
          </cell>
          <cell r="B51" t="str">
            <v>서산중앙병원</v>
          </cell>
          <cell r="C51">
            <v>53710909</v>
          </cell>
          <cell r="D51">
            <v>5371091</v>
          </cell>
          <cell r="E51">
            <v>59082000</v>
          </cell>
          <cell r="F51">
            <v>59.082000000000001</v>
          </cell>
        </row>
        <row r="52">
          <cell r="A52">
            <v>10037576</v>
          </cell>
          <cell r="B52" t="str">
            <v>(재)예수병원유지재단</v>
          </cell>
          <cell r="C52">
            <v>25371818</v>
          </cell>
          <cell r="D52">
            <v>2537182</v>
          </cell>
          <cell r="E52">
            <v>27909000</v>
          </cell>
          <cell r="F52">
            <v>27.908999999999999</v>
          </cell>
        </row>
        <row r="53">
          <cell r="A53">
            <v>10037680</v>
          </cell>
          <cell r="B53" t="str">
            <v>원광대학교병원</v>
          </cell>
          <cell r="C53">
            <v>33463636</v>
          </cell>
          <cell r="D53">
            <v>3346364</v>
          </cell>
          <cell r="E53">
            <v>36810000</v>
          </cell>
          <cell r="F53">
            <v>36.81</v>
          </cell>
        </row>
        <row r="54">
          <cell r="A54">
            <v>10037883</v>
          </cell>
          <cell r="B54" t="str">
            <v>화순성심병원</v>
          </cell>
          <cell r="C54">
            <v>33157273</v>
          </cell>
          <cell r="D54">
            <v>3315727</v>
          </cell>
          <cell r="E54">
            <v>36473000</v>
          </cell>
          <cell r="F54">
            <v>36.472999999999999</v>
          </cell>
        </row>
        <row r="55">
          <cell r="A55">
            <v>10037919</v>
          </cell>
          <cell r="B55" t="str">
            <v>화순전남대학교병원</v>
          </cell>
          <cell r="C55">
            <v>0</v>
          </cell>
          <cell r="D55">
            <v>0</v>
          </cell>
          <cell r="E55">
            <v>0</v>
          </cell>
          <cell r="F55">
            <v>0</v>
          </cell>
        </row>
        <row r="56">
          <cell r="A56">
            <v>10038148</v>
          </cell>
          <cell r="B56" t="str">
            <v>KS병원</v>
          </cell>
          <cell r="C56">
            <v>6306364</v>
          </cell>
          <cell r="D56">
            <v>630636</v>
          </cell>
          <cell r="E56">
            <v>6937000</v>
          </cell>
          <cell r="F56">
            <v>6.9370000000000003</v>
          </cell>
        </row>
        <row r="57">
          <cell r="A57">
            <v>10038249</v>
          </cell>
          <cell r="B57" t="str">
            <v>광주한국병원</v>
          </cell>
          <cell r="C57">
            <v>22647273</v>
          </cell>
          <cell r="D57">
            <v>2264727</v>
          </cell>
          <cell r="E57">
            <v>24912000</v>
          </cell>
          <cell r="F57">
            <v>24.911999999999999</v>
          </cell>
        </row>
        <row r="58">
          <cell r="A58">
            <v>10038259</v>
          </cell>
          <cell r="B58" t="str">
            <v>동아병원</v>
          </cell>
          <cell r="C58">
            <v>5556364</v>
          </cell>
          <cell r="D58">
            <v>555636</v>
          </cell>
          <cell r="E58">
            <v>6112000</v>
          </cell>
          <cell r="F58">
            <v>6.1120000000000001</v>
          </cell>
        </row>
        <row r="59">
          <cell r="A59">
            <v>10038346</v>
          </cell>
          <cell r="B59" t="str">
            <v>목포기독병원</v>
          </cell>
          <cell r="C59">
            <v>21023636</v>
          </cell>
          <cell r="D59">
            <v>2102364</v>
          </cell>
          <cell r="E59">
            <v>23126000</v>
          </cell>
          <cell r="F59">
            <v>23.126000000000001</v>
          </cell>
        </row>
        <row r="60">
          <cell r="A60">
            <v>10038463</v>
          </cell>
          <cell r="B60" t="str">
            <v>고흥윤호21병원</v>
          </cell>
          <cell r="C60">
            <v>8359091</v>
          </cell>
          <cell r="D60">
            <v>835909</v>
          </cell>
          <cell r="E60">
            <v>9195000</v>
          </cell>
          <cell r="F60">
            <v>9.1950000000000003</v>
          </cell>
        </row>
        <row r="61">
          <cell r="A61">
            <v>10038513</v>
          </cell>
          <cell r="B61" t="str">
            <v>의료법인장호녹동현대병원</v>
          </cell>
          <cell r="C61">
            <v>5185455</v>
          </cell>
          <cell r="D61">
            <v>518545</v>
          </cell>
          <cell r="E61">
            <v>5704000</v>
          </cell>
          <cell r="F61">
            <v>5.7039999999999997</v>
          </cell>
        </row>
        <row r="62">
          <cell r="A62">
            <v>10038671</v>
          </cell>
          <cell r="B62" t="str">
            <v>전주고려병원</v>
          </cell>
          <cell r="C62">
            <v>11079091</v>
          </cell>
          <cell r="D62">
            <v>1107909</v>
          </cell>
          <cell r="E62">
            <v>12187000</v>
          </cell>
          <cell r="F62">
            <v>12.186999999999999</v>
          </cell>
        </row>
        <row r="63">
          <cell r="A63">
            <v>10038792</v>
          </cell>
          <cell r="B63" t="str">
            <v>추새로병원</v>
          </cell>
          <cell r="C63">
            <v>2400909</v>
          </cell>
          <cell r="D63">
            <v>240091</v>
          </cell>
          <cell r="E63">
            <v>2641000</v>
          </cell>
          <cell r="F63">
            <v>2.641</v>
          </cell>
        </row>
        <row r="64">
          <cell r="A64">
            <v>10039210</v>
          </cell>
          <cell r="B64" t="str">
            <v>의료법인백천의료재단</v>
          </cell>
          <cell r="C64">
            <v>20962727</v>
          </cell>
          <cell r="D64">
            <v>2096273</v>
          </cell>
          <cell r="E64">
            <v>23059000</v>
          </cell>
          <cell r="F64">
            <v>23.059000000000001</v>
          </cell>
        </row>
        <row r="65">
          <cell r="A65">
            <v>10039242</v>
          </cell>
          <cell r="B65" t="str">
            <v>수성한미병원</v>
          </cell>
          <cell r="C65">
            <v>4602727</v>
          </cell>
          <cell r="D65">
            <v>460273</v>
          </cell>
          <cell r="E65">
            <v>5063000</v>
          </cell>
          <cell r="F65">
            <v>5.0629999999999997</v>
          </cell>
        </row>
        <row r="66">
          <cell r="A66">
            <v>10040095</v>
          </cell>
          <cell r="B66" t="str">
            <v>새천년병원</v>
          </cell>
          <cell r="C66">
            <v>7523636</v>
          </cell>
          <cell r="D66">
            <v>752364</v>
          </cell>
          <cell r="E66">
            <v>8276000</v>
          </cell>
          <cell r="F66">
            <v>8.2759999999999998</v>
          </cell>
        </row>
        <row r="67">
          <cell r="A67">
            <v>10040523</v>
          </cell>
          <cell r="B67" t="str">
            <v>동아대부속병원</v>
          </cell>
          <cell r="C67">
            <v>0</v>
          </cell>
          <cell r="D67">
            <v>0</v>
          </cell>
          <cell r="E67">
            <v>0</v>
          </cell>
          <cell r="F67">
            <v>0</v>
          </cell>
        </row>
        <row r="68">
          <cell r="A68">
            <v>10040545</v>
          </cell>
          <cell r="B68" t="str">
            <v>부산본병원</v>
          </cell>
          <cell r="C68">
            <v>9895455</v>
          </cell>
          <cell r="D68">
            <v>989545</v>
          </cell>
          <cell r="E68">
            <v>10885000</v>
          </cell>
          <cell r="F68">
            <v>10.885</v>
          </cell>
        </row>
        <row r="69">
          <cell r="A69">
            <v>10040635</v>
          </cell>
          <cell r="B69" t="str">
            <v>인제대학교부산백병원</v>
          </cell>
          <cell r="C69">
            <v>0</v>
          </cell>
          <cell r="D69">
            <v>0</v>
          </cell>
          <cell r="E69">
            <v>0</v>
          </cell>
          <cell r="F69">
            <v>0</v>
          </cell>
        </row>
        <row r="70">
          <cell r="A70">
            <v>10040639</v>
          </cell>
          <cell r="B70" t="str">
            <v>학교법인동의병원</v>
          </cell>
          <cell r="C70">
            <v>13214545</v>
          </cell>
          <cell r="D70">
            <v>1321455</v>
          </cell>
          <cell r="E70">
            <v>14536000</v>
          </cell>
          <cell r="F70">
            <v>14.536</v>
          </cell>
        </row>
        <row r="71">
          <cell r="A71">
            <v>10040990</v>
          </cell>
          <cell r="B71" t="str">
            <v>연세에스병원</v>
          </cell>
          <cell r="C71">
            <v>3054545</v>
          </cell>
          <cell r="D71">
            <v>305455</v>
          </cell>
          <cell r="E71">
            <v>3360000</v>
          </cell>
          <cell r="F71">
            <v>3.36</v>
          </cell>
        </row>
        <row r="72">
          <cell r="A72">
            <v>10041141</v>
          </cell>
          <cell r="B72" t="str">
            <v>의료법인혜명심의료재단(울산병원)</v>
          </cell>
          <cell r="C72">
            <v>34923636</v>
          </cell>
          <cell r="D72">
            <v>3492364</v>
          </cell>
          <cell r="E72">
            <v>38416000</v>
          </cell>
          <cell r="F72">
            <v>38.415999999999997</v>
          </cell>
        </row>
        <row r="73">
          <cell r="A73">
            <v>10041441</v>
          </cell>
          <cell r="B73" t="str">
            <v>김해굿모닝병원</v>
          </cell>
          <cell r="C73">
            <v>1105455</v>
          </cell>
          <cell r="D73">
            <v>110545</v>
          </cell>
          <cell r="E73">
            <v>1216000</v>
          </cell>
          <cell r="F73">
            <v>1.216</v>
          </cell>
        </row>
        <row r="74">
          <cell r="A74">
            <v>10041502</v>
          </cell>
          <cell r="B74" t="str">
            <v>(의)한라의료재단</v>
          </cell>
          <cell r="C74">
            <v>25707273</v>
          </cell>
          <cell r="D74">
            <v>2570727</v>
          </cell>
          <cell r="E74">
            <v>28278000</v>
          </cell>
          <cell r="F74">
            <v>28.277999999999999</v>
          </cell>
        </row>
        <row r="75">
          <cell r="A75">
            <v>10041592</v>
          </cell>
          <cell r="B75" t="str">
            <v>비에이치에스한서병원</v>
          </cell>
          <cell r="C75">
            <v>45112727</v>
          </cell>
          <cell r="D75">
            <v>4511273</v>
          </cell>
          <cell r="E75">
            <v>49624000</v>
          </cell>
          <cell r="F75">
            <v>49.624000000000002</v>
          </cell>
        </row>
        <row r="76">
          <cell r="A76">
            <v>10041601</v>
          </cell>
          <cell r="B76" t="str">
            <v>인제대학교해운대백병원</v>
          </cell>
          <cell r="C76">
            <v>0</v>
          </cell>
          <cell r="D76">
            <v>0</v>
          </cell>
          <cell r="E76">
            <v>0</v>
          </cell>
          <cell r="F76">
            <v>0</v>
          </cell>
        </row>
        <row r="77">
          <cell r="A77">
            <v>10041740</v>
          </cell>
          <cell r="B77" t="str">
            <v>서울산보람병원</v>
          </cell>
          <cell r="C77">
            <v>4178182</v>
          </cell>
          <cell r="D77">
            <v>417818</v>
          </cell>
          <cell r="E77">
            <v>4596000</v>
          </cell>
          <cell r="F77">
            <v>4.5960000000000001</v>
          </cell>
        </row>
        <row r="78">
          <cell r="A78">
            <v>10041832</v>
          </cell>
          <cell r="B78" t="str">
            <v>서일의료재단기장병원</v>
          </cell>
          <cell r="C78">
            <v>0</v>
          </cell>
          <cell r="D78">
            <v>0</v>
          </cell>
          <cell r="E78">
            <v>0</v>
          </cell>
          <cell r="F78">
            <v>0</v>
          </cell>
        </row>
        <row r="79">
          <cell r="A79">
            <v>10041888</v>
          </cell>
          <cell r="B79" t="str">
            <v>세웅종합병원-폐업</v>
          </cell>
          <cell r="C79">
            <v>29905455</v>
          </cell>
          <cell r="D79">
            <v>2990545</v>
          </cell>
          <cell r="E79">
            <v>32896000</v>
          </cell>
          <cell r="F79">
            <v>32.896000000000001</v>
          </cell>
        </row>
        <row r="80">
          <cell r="A80">
            <v>10042063</v>
          </cell>
          <cell r="B80" t="str">
            <v>장튼위튼병원</v>
          </cell>
          <cell r="C80">
            <v>1363636</v>
          </cell>
          <cell r="D80">
            <v>136364</v>
          </cell>
          <cell r="E80">
            <v>1500000</v>
          </cell>
          <cell r="F80">
            <v>1.5</v>
          </cell>
        </row>
        <row r="81">
          <cell r="A81">
            <v>10044981</v>
          </cell>
          <cell r="B81" t="str">
            <v>신일병원</v>
          </cell>
          <cell r="C81">
            <v>11743636</v>
          </cell>
          <cell r="D81">
            <v>1174364</v>
          </cell>
          <cell r="E81">
            <v>12918000</v>
          </cell>
          <cell r="F81">
            <v>12.917999999999999</v>
          </cell>
        </row>
        <row r="82">
          <cell r="A82">
            <v>10045809</v>
          </cell>
          <cell r="B82" t="str">
            <v>의료법인영동의료재단의정부백병원</v>
          </cell>
          <cell r="C82">
            <v>10340909</v>
          </cell>
          <cell r="D82">
            <v>1034091</v>
          </cell>
          <cell r="E82">
            <v>11375000</v>
          </cell>
          <cell r="F82">
            <v>11.375</v>
          </cell>
        </row>
        <row r="83">
          <cell r="A83">
            <v>10046570</v>
          </cell>
          <cell r="B83" t="str">
            <v>의료법인성지의료재단(성지병원)</v>
          </cell>
          <cell r="C83">
            <v>19110000</v>
          </cell>
          <cell r="D83">
            <v>1911000</v>
          </cell>
          <cell r="E83">
            <v>21021000</v>
          </cell>
          <cell r="F83">
            <v>21.021000000000001</v>
          </cell>
        </row>
        <row r="84">
          <cell r="A84">
            <v>10046812</v>
          </cell>
          <cell r="B84" t="str">
            <v>의료법인은성의료재단좋은선린병원</v>
          </cell>
          <cell r="C84">
            <v>21011818</v>
          </cell>
          <cell r="D84">
            <v>2101182</v>
          </cell>
          <cell r="E84">
            <v>23113000</v>
          </cell>
          <cell r="F84">
            <v>23.113</v>
          </cell>
        </row>
        <row r="85">
          <cell r="A85">
            <v>10047292</v>
          </cell>
          <cell r="B85" t="str">
            <v>의료법인숭인의료재단김해복음병원</v>
          </cell>
          <cell r="C85">
            <v>31418182</v>
          </cell>
          <cell r="D85">
            <v>3141818</v>
          </cell>
          <cell r="E85">
            <v>34560000</v>
          </cell>
          <cell r="F85">
            <v>34.56</v>
          </cell>
        </row>
        <row r="86">
          <cell r="A86">
            <v>10048962</v>
          </cell>
          <cell r="B86" t="str">
            <v>분당베스트병원</v>
          </cell>
          <cell r="C86">
            <v>0</v>
          </cell>
          <cell r="D86">
            <v>0</v>
          </cell>
          <cell r="E86">
            <v>0</v>
          </cell>
          <cell r="F86">
            <v>0</v>
          </cell>
        </row>
        <row r="87">
          <cell r="A87">
            <v>10050471</v>
          </cell>
          <cell r="B87" t="str">
            <v>성지의료재단제천성지병원</v>
          </cell>
          <cell r="C87">
            <v>4951818</v>
          </cell>
          <cell r="D87">
            <v>495182</v>
          </cell>
          <cell r="E87">
            <v>5447000</v>
          </cell>
          <cell r="F87">
            <v>5.4470000000000001</v>
          </cell>
        </row>
        <row r="88">
          <cell r="A88">
            <v>10050868</v>
          </cell>
          <cell r="B88" t="str">
            <v>연세오케이병원</v>
          </cell>
          <cell r="C88">
            <v>0</v>
          </cell>
          <cell r="D88">
            <v>0</v>
          </cell>
          <cell r="E88">
            <v>0</v>
          </cell>
          <cell r="F88">
            <v>0</v>
          </cell>
        </row>
        <row r="89">
          <cell r="A89">
            <v>10060702</v>
          </cell>
          <cell r="B89" t="str">
            <v>동탄시티병원</v>
          </cell>
          <cell r="C89">
            <v>7796364</v>
          </cell>
          <cell r="D89">
            <v>779636</v>
          </cell>
          <cell r="E89">
            <v>8576000</v>
          </cell>
          <cell r="F89">
            <v>8.5760000000000005</v>
          </cell>
        </row>
        <row r="90">
          <cell r="A90">
            <v>10061981</v>
          </cell>
          <cell r="B90" t="str">
            <v>새손병원</v>
          </cell>
          <cell r="C90">
            <v>3994545</v>
          </cell>
          <cell r="D90">
            <v>399455</v>
          </cell>
          <cell r="E90">
            <v>4394000</v>
          </cell>
          <cell r="F90">
            <v>4.3940000000000001</v>
          </cell>
        </row>
        <row r="91">
          <cell r="A91">
            <v>10063044</v>
          </cell>
          <cell r="B91" t="str">
            <v>의료법인명인의료재단</v>
          </cell>
          <cell r="C91">
            <v>34092000</v>
          </cell>
          <cell r="D91">
            <v>3409200</v>
          </cell>
          <cell r="E91">
            <v>37501200</v>
          </cell>
          <cell r="F91">
            <v>37.501199999999997</v>
          </cell>
        </row>
        <row r="92">
          <cell r="A92">
            <v>10066681</v>
          </cell>
          <cell r="B92" t="str">
            <v>빛가람종합병원</v>
          </cell>
          <cell r="C92">
            <v>3636364</v>
          </cell>
          <cell r="D92">
            <v>363636</v>
          </cell>
          <cell r="E92">
            <v>4000000</v>
          </cell>
          <cell r="F92">
            <v>4</v>
          </cell>
        </row>
        <row r="93">
          <cell r="A93">
            <v>10067520</v>
          </cell>
          <cell r="B93" t="str">
            <v>순천에스병원</v>
          </cell>
          <cell r="C93">
            <v>-22736364</v>
          </cell>
          <cell r="D93">
            <v>-2273636</v>
          </cell>
          <cell r="E93">
            <v>-25010000</v>
          </cell>
          <cell r="F93">
            <v>-25.01</v>
          </cell>
        </row>
        <row r="94">
          <cell r="A94">
            <v>10067605</v>
          </cell>
          <cell r="B94" t="str">
            <v>에이스병원(남양주)</v>
          </cell>
          <cell r="C94">
            <v>10861818</v>
          </cell>
          <cell r="D94">
            <v>1086182</v>
          </cell>
          <cell r="E94">
            <v>11948000</v>
          </cell>
          <cell r="F94">
            <v>11.948</v>
          </cell>
        </row>
        <row r="95">
          <cell r="A95">
            <v>10068728</v>
          </cell>
          <cell r="B95" t="str">
            <v>엘병원</v>
          </cell>
          <cell r="C95">
            <v>15214545</v>
          </cell>
          <cell r="D95">
            <v>1521455</v>
          </cell>
          <cell r="E95">
            <v>16736000</v>
          </cell>
          <cell r="F95">
            <v>16.736000000000001</v>
          </cell>
        </row>
        <row r="96">
          <cell r="A96">
            <v>10069147</v>
          </cell>
          <cell r="B96" t="str">
            <v>의료법인혜인의료재단한국병원</v>
          </cell>
          <cell r="C96">
            <v>26570000</v>
          </cell>
          <cell r="D96">
            <v>2657000</v>
          </cell>
          <cell r="E96">
            <v>29227000</v>
          </cell>
          <cell r="F96">
            <v>29.227</v>
          </cell>
        </row>
        <row r="97">
          <cell r="A97">
            <v>10069441</v>
          </cell>
          <cell r="B97" t="str">
            <v>의료법인행도의료재단(해동병원)</v>
          </cell>
          <cell r="C97">
            <v>5060000</v>
          </cell>
          <cell r="D97">
            <v>506000</v>
          </cell>
          <cell r="E97">
            <v>5566000</v>
          </cell>
          <cell r="F97">
            <v>5.5659999999999998</v>
          </cell>
        </row>
        <row r="98">
          <cell r="A98">
            <v>10070268</v>
          </cell>
          <cell r="B98" t="str">
            <v>천안리턴병원</v>
          </cell>
          <cell r="C98">
            <v>11349091</v>
          </cell>
          <cell r="D98">
            <v>1134909</v>
          </cell>
          <cell r="E98">
            <v>12484000</v>
          </cell>
          <cell r="F98">
            <v>12.484</v>
          </cell>
        </row>
        <row r="99">
          <cell r="A99">
            <v>10071000</v>
          </cell>
          <cell r="B99" t="str">
            <v>광주365재활병원</v>
          </cell>
          <cell r="C99">
            <v>5672727</v>
          </cell>
          <cell r="D99">
            <v>567273</v>
          </cell>
          <cell r="E99">
            <v>6240000</v>
          </cell>
          <cell r="F99">
            <v>6.24</v>
          </cell>
        </row>
        <row r="100">
          <cell r="A100">
            <v>10073012</v>
          </cell>
          <cell r="B100" t="str">
            <v>영암한국병원</v>
          </cell>
          <cell r="C100">
            <v>11956364</v>
          </cell>
          <cell r="D100">
            <v>1195636</v>
          </cell>
          <cell r="E100">
            <v>13152000</v>
          </cell>
          <cell r="F100">
            <v>13.151999999999999</v>
          </cell>
        </row>
        <row r="101">
          <cell r="A101">
            <v>10074449</v>
          </cell>
          <cell r="B101" t="str">
            <v>중앙대학교광명병원</v>
          </cell>
          <cell r="C101">
            <v>2252727</v>
          </cell>
          <cell r="D101">
            <v>225273</v>
          </cell>
          <cell r="E101">
            <v>2478000</v>
          </cell>
          <cell r="F101">
            <v>2.4780000000000002</v>
          </cell>
        </row>
        <row r="102">
          <cell r="A102">
            <v>10075257</v>
          </cell>
          <cell r="B102" t="str">
            <v>하남S병원</v>
          </cell>
          <cell r="C102">
            <v>4232727</v>
          </cell>
          <cell r="D102">
            <v>423273</v>
          </cell>
          <cell r="E102">
            <v>4656000</v>
          </cell>
          <cell r="F102">
            <v>4.6559999999999997</v>
          </cell>
        </row>
        <row r="103">
          <cell r="A103">
            <v>10082404</v>
          </cell>
          <cell r="B103" t="str">
            <v>거인병원</v>
          </cell>
          <cell r="C103">
            <v>12872727</v>
          </cell>
          <cell r="D103">
            <v>1287273</v>
          </cell>
          <cell r="E103">
            <v>14160000</v>
          </cell>
          <cell r="F103">
            <v>14.16</v>
          </cell>
        </row>
        <row r="104">
          <cell r="A104">
            <v>10089241</v>
          </cell>
          <cell r="B104" t="str">
            <v>미라클병원</v>
          </cell>
          <cell r="C104">
            <v>320000</v>
          </cell>
          <cell r="D104">
            <v>32000</v>
          </cell>
          <cell r="E104">
            <v>352000</v>
          </cell>
          <cell r="F104">
            <v>0.35199999999999998</v>
          </cell>
        </row>
        <row r="105">
          <cell r="A105">
            <v>10091292</v>
          </cell>
          <cell r="B105" t="str">
            <v>박철홍정형외과의원</v>
          </cell>
          <cell r="C105">
            <v>2618182</v>
          </cell>
          <cell r="D105">
            <v>261818</v>
          </cell>
          <cell r="E105">
            <v>2880000</v>
          </cell>
          <cell r="F105">
            <v>2.88</v>
          </cell>
        </row>
        <row r="106">
          <cell r="A106">
            <v>10096603</v>
          </cell>
          <cell r="B106" t="str">
            <v>의료법인인덕의료재단복주회복병원</v>
          </cell>
          <cell r="C106">
            <v>6779091</v>
          </cell>
          <cell r="D106">
            <v>677909</v>
          </cell>
          <cell r="E106">
            <v>7457000</v>
          </cell>
          <cell r="F106">
            <v>7.4569999999999999</v>
          </cell>
        </row>
        <row r="107">
          <cell r="A107">
            <v>10099847</v>
          </cell>
          <cell r="B107" t="str">
            <v>더필병원</v>
          </cell>
          <cell r="C107">
            <v>17867273</v>
          </cell>
          <cell r="D107">
            <v>1786727</v>
          </cell>
          <cell r="E107">
            <v>19654000</v>
          </cell>
          <cell r="F107">
            <v>19.654</v>
          </cell>
        </row>
        <row r="108">
          <cell r="A108">
            <v>10103688</v>
          </cell>
          <cell r="B108" t="str">
            <v>한빛병원</v>
          </cell>
          <cell r="C108">
            <v>19700909</v>
          </cell>
          <cell r="D108">
            <v>1970091</v>
          </cell>
          <cell r="E108">
            <v>21671000</v>
          </cell>
          <cell r="F108">
            <v>21.670999999999999</v>
          </cell>
        </row>
        <row r="109">
          <cell r="A109">
            <v>10111228</v>
          </cell>
          <cell r="B109" t="str">
            <v>대구예스병원</v>
          </cell>
          <cell r="C109">
            <v>0</v>
          </cell>
          <cell r="D109">
            <v>0</v>
          </cell>
          <cell r="E109">
            <v>0</v>
          </cell>
          <cell r="F109">
            <v>0</v>
          </cell>
        </row>
        <row r="110">
          <cell r="A110">
            <v>10112263</v>
          </cell>
          <cell r="B110" t="str">
            <v>의료법인효경의료재단(효성요양병원)</v>
          </cell>
          <cell r="C110">
            <v>0</v>
          </cell>
          <cell r="D110">
            <v>0</v>
          </cell>
          <cell r="E110">
            <v>0</v>
          </cell>
          <cell r="F110">
            <v>0</v>
          </cell>
        </row>
      </sheetData>
      <sheetData sheetId="1"/>
      <sheetData sheetId="2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User" refreshedDate="46177.372969097225" createdVersion="5" refreshedVersion="5" minRefreshableVersion="3" recordCount="141">
  <cacheSource type="worksheet">
    <worksheetSource ref="A4:BG148" sheet="씽크현황"/>
  </cacheSource>
  <cacheFields count="49">
    <cacheField name="구분" numFmtId="0">
      <sharedItems/>
    </cacheField>
    <cacheField name="사업자번호" numFmtId="0">
      <sharedItems containsSemiMixedTypes="0" containsString="0" containsNumber="1" containsInteger="1" minValue="1059028677" maxValue="8908701140"/>
    </cacheField>
    <cacheField name="판매처" numFmtId="0">
      <sharedItems containsSemiMixedTypes="0" containsString="0" containsNumber="1" containsInteger="1" minValue="10002829" maxValue="10105796" count="138">
        <n v="10031447"/>
        <n v="10008739"/>
        <n v="10046812"/>
        <n v="10060702"/>
        <n v="10032706"/>
        <n v="10045809"/>
        <n v="10033043"/>
        <n v="10006915"/>
        <n v="10033886"/>
        <n v="10034115"/>
        <n v="10034679"/>
        <n v="10044981"/>
        <n v="10035069"/>
        <n v="10035078"/>
        <n v="10046570"/>
        <n v="10036016"/>
        <n v="10036590"/>
        <n v="10008171"/>
        <n v="10037290"/>
        <n v="10037788"/>
        <n v="10038346"/>
        <n v="10039242"/>
        <n v="10039905"/>
        <n v="10003599"/>
        <n v="10041502"/>
        <n v="10047292"/>
        <n v="10022281"/>
        <n v="10086279"/>
        <n v="10041740"/>
        <n v="10074449"/>
        <n v="10067520"/>
        <n v="10032805"/>
        <n v="10039210"/>
        <n v="10069147"/>
        <n v="10047520"/>
        <n v="10036320"/>
        <n v="10041592"/>
        <n v="10041888"/>
        <n v="10047340"/>
        <n v="10040545"/>
        <n v="10033733"/>
        <n v="10039216"/>
        <n v="10037883"/>
        <n v="10036633"/>
        <n v="10070268"/>
        <n v="10032935"/>
        <n v="10003837"/>
        <n v="10021890"/>
        <n v="10031781"/>
        <n v="10032281"/>
        <n v="10033726"/>
        <n v="10033875"/>
        <n v="10035467"/>
        <n v="10019136"/>
        <n v="10035639"/>
        <n v="10046527"/>
        <n v="10036735"/>
        <n v="10070515"/>
        <n v="10037684"/>
        <n v="10037863"/>
        <n v="10038000"/>
        <n v="10038047"/>
        <n v="10038116"/>
        <n v="10038298"/>
        <n v="10038304"/>
        <n v="10038434"/>
        <n v="10038606"/>
        <n v="10092105"/>
        <n v="10078174"/>
        <n v="10100887"/>
        <n v="10017056"/>
        <n v="10032728"/>
        <n v="10014151"/>
        <n v="10014653"/>
        <n v="10021506"/>
        <n v="10031830"/>
        <n v="10032898"/>
        <n v="10034942"/>
        <n v="10035562"/>
        <n v="10035927"/>
        <n v="10036531"/>
        <n v="10036639"/>
        <n v="10038259"/>
        <n v="10038463"/>
        <n v="10038694"/>
        <n v="10040095"/>
        <n v="10041141"/>
        <n v="10041259"/>
        <n v="10041441"/>
        <n v="10046731"/>
        <n v="10053087"/>
        <n v="10063044"/>
        <n v="10081683"/>
        <n v="10103688"/>
        <n v="10033740"/>
        <n v="10033160"/>
        <n v="10014574"/>
        <n v="10033023"/>
        <n v="10040639"/>
        <n v="10038249"/>
        <n v="10002829"/>
        <n v="10032388"/>
        <n v="10061981"/>
        <n v="10075257"/>
        <n v="10038148"/>
        <n v="10040990"/>
        <n v="10006513"/>
        <n v="10015909"/>
        <n v="10019113"/>
        <n v="10026494"/>
        <n v="10032387"/>
        <n v="10033277"/>
        <n v="10033614"/>
        <n v="10033888"/>
        <n v="10033992"/>
        <n v="10035968"/>
        <n v="10037680"/>
        <n v="10038513"/>
        <n v="10038671"/>
        <n v="10038792"/>
        <n v="10042063"/>
        <n v="10050471"/>
        <n v="10067605"/>
        <n v="10068728"/>
        <n v="10069441"/>
        <n v="10082404"/>
        <n v="10091292"/>
        <n v="10096603"/>
        <n v="10099847"/>
        <n v="10105796"/>
        <n v="10032062"/>
        <n v="10032311"/>
        <n v="10033270"/>
        <n v="10037576"/>
        <n v="10066681"/>
        <n v="10071000"/>
        <n v="10073012"/>
        <n v="10089241"/>
      </sharedItems>
    </cacheField>
    <cacheField name="판매처명 (130처)" numFmtId="0">
      <sharedItems count="138">
        <s v="신촌연세병원"/>
        <s v="씨엠병원"/>
        <s v="의료법인은성의료재단좋은선린병원"/>
        <s v="동탄시티병원"/>
        <s v="의료법인백성의료재단안중백병원"/>
        <s v="의료법인영동의료재단의정부백병원"/>
        <s v="메디인병원"/>
        <s v="해븐리병원"/>
        <s v="의료법인우리의료재단"/>
        <s v="의료법인영문의료재단(다보스)"/>
        <s v="서울성심병원"/>
        <s v="신일병원"/>
        <s v="검단탑종합병원"/>
        <s v="사랑플러스병원"/>
        <s v="의료법인성지의료재단(성지병원)"/>
        <s v="시원병원"/>
        <s v="당진종합병원"/>
        <s v="현대병원"/>
        <s v="이화의대부속서울병원"/>
        <s v="부안성모병원"/>
        <s v="목포기독병원"/>
        <s v="수성한미병원"/>
        <s v="카톨릭병원(대구)"/>
        <s v="의료법인온그룹의료재단온종합병원"/>
        <s v="한라의료원"/>
        <s v="의료법인숭인의료재단김해복음병원"/>
        <s v="남양주21세기병원"/>
        <s v="더퍼스트병원"/>
        <s v="서울산보람병원"/>
        <s v="중앙대학교광명병원"/>
        <s v="순천에스병원"/>
        <s v="여주새로운병원"/>
        <s v="의료법인백천의료재단"/>
        <s v="의료법인혜인의료재단한국병원"/>
        <s v="광주센트럴병원"/>
        <s v="대전한국병원"/>
        <s v="비에이치에스한서병원"/>
        <s v="세웅종합병원"/>
        <s v="시영의료재단영동병원"/>
        <s v="부산본병원"/>
        <s v="의료법인효심의료재단(용인서울병원)"/>
        <s v="의료법인춘곡의료재단"/>
        <s v="화순성심병원"/>
        <s v="예산명지병원"/>
        <s v="천안리턴병원"/>
        <s v="추병원"/>
        <s v="빌리브세웅병원"/>
        <s v="강영의료재단문산중앙병원"/>
        <s v="(의)삼성의료재단"/>
        <s v="의료법인성수의료재단(인천백병원)"/>
        <s v="의료법인동수원병원"/>
        <s v="의료법인루가의료재단나은병원(인천)"/>
        <s v="춘천성심병원"/>
        <s v="센트럴병원(원주)"/>
        <s v="강릉아산병원"/>
        <s v="비에스종합병원"/>
        <s v="미래한국병원"/>
        <s v="용인제일메디병원"/>
        <s v="의료법인대산의료재단 (익산병원)"/>
        <s v="광주씨티병원"/>
        <s v="광주현대병원"/>
        <s v="광주병원"/>
        <s v="신가병원"/>
        <s v="대송의료재단무안병원"/>
        <s v="의료법인해민의료재단"/>
        <s v="행촌의료재단해남병원"/>
        <s v="(의)한마음의료재단제일병원(여수제일)"/>
        <s v="서울아동병원"/>
        <s v="화순고려병원"/>
        <s v="유한회사마이파트너(의료기기)-해피뷰병원(4099125282)"/>
        <s v="명지성모병원"/>
        <s v="의료법인양진의료재단평택성모병원"/>
        <s v="의료법인한양의료재단"/>
        <s v="원주센텀병원"/>
        <s v="의료법인석경의료재단"/>
        <s v="청구성심병원"/>
        <s v="의료법인쓰임받는사람들의료재단(양주예쓰병원)"/>
        <s v="서울노보스병원"/>
        <s v="의료법인선덕의료재단대성병원"/>
        <s v="뿌리병원"/>
        <s v="건양대학교부여병원"/>
        <s v="서산중앙병원"/>
        <s v="동아병원"/>
        <s v="고흥윤호21병원"/>
        <s v="의료법인목포구암의료재단(목포중앙병원)"/>
        <s v="새천년병원"/>
        <s v="의료법인혜명심의료재단(울산병원)"/>
        <s v="새통영병원"/>
        <s v="김해굿모닝병원"/>
        <s v="의료법인규웅의료재단"/>
        <s v="의료법인건명의료재단"/>
        <s v="의료법인명인의료재단"/>
        <s v="(의)가은의료재단혁신성모병원"/>
        <s v="한빛병원"/>
        <s v="한림대학교동탄성심병원"/>
        <s v="(의)대진의료재단분당제생병원"/>
        <s v="에스포항병원"/>
        <s v="인제대학교일산백병원"/>
        <s v="학교법인동의병원"/>
        <s v="광주한국병원"/>
        <s v="운암한국병원"/>
        <s v="의료법인안은의료재단부평세림병원"/>
        <s v="새손병원"/>
        <s v="하남S병원"/>
        <s v="KS병원"/>
        <s v="연세에스병원"/>
        <s v="서울대병원"/>
        <s v="나눔과행복병원"/>
        <s v="정병원"/>
        <s v="해남우리병원"/>
        <s v="의료법인센텀의료재단센텀종합병원"/>
        <s v="의료법인대인의료재단다니엘병원"/>
        <s v="(의)대아의료재단"/>
        <s v="인천가톨릭학원가톨릭관동대학교국제성모병원"/>
        <s v="(의료)길의료재단"/>
        <s v="아산충무병원"/>
        <s v="원광대학교병원"/>
        <s v="의료법인장호녹동현대병원"/>
        <s v="전주고려병원"/>
        <s v="추새로병원"/>
        <s v="장튼위튼병원"/>
        <s v="성지의료재단제천성지병원"/>
        <s v="에이스병원(남양주)"/>
        <s v="엘병원"/>
        <s v="의료법인행도의료재단(해동병원)"/>
        <s v="거인병원"/>
        <s v="박철홍정형외과의원"/>
        <s v="의료법인인덕의료재단복주회복병원"/>
        <s v="더필병원"/>
        <s v="다솜요양병원"/>
        <s v="홍익병원"/>
        <s v="성모윌병원"/>
        <s v="(학)가톨릭대학교부천성모병원"/>
        <s v="(재)예수병원유지재단"/>
        <s v="빛가람종합병원"/>
        <s v="광주365재활병원"/>
        <s v="영암한국병원"/>
        <s v="미라클병원"/>
      </sharedItems>
    </cacheField>
    <cacheField name="유형" numFmtId="0">
      <sharedItems/>
    </cacheField>
    <cacheField name="계약일" numFmtId="14">
      <sharedItems containsNonDate="0" containsDate="1" containsString="0" containsBlank="1" minDate="2024-12-10T00:00:00" maxDate="2026-02-21T00:00:00"/>
    </cacheField>
    <cacheField name="공사일" numFmtId="14">
      <sharedItems containsSemiMixedTypes="0" containsNonDate="0" containsDate="1" containsString="0" minDate="2024-09-30T00:00:00" maxDate="2026-03-25T00:00:00"/>
    </cacheField>
    <cacheField name="매출" numFmtId="176">
      <sharedItems containsSemiMixedTypes="0" containsString="0" containsNumber="1" minValue="24.9" maxValue="2922.7309999999998"/>
    </cacheField>
    <cacheField name="회전" numFmtId="0">
      <sharedItems containsMixedTypes="1" containsNumber="1" containsInteger="1" minValue="0" maxValue="0"/>
    </cacheField>
    <cacheField name="매출2" numFmtId="176">
      <sharedItems containsString="0" containsBlank="1" containsNumber="1" minValue="0" maxValue="240"/>
    </cacheField>
    <cacheField name="수금" numFmtId="176">
      <sharedItems containsString="0" containsBlank="1" containsNumber="1" containsInteger="1" minValue="0" maxValue="0"/>
    </cacheField>
    <cacheField name="매출3" numFmtId="176">
      <sharedItems containsString="0" containsBlank="1" containsNumber="1" minValue="0" maxValue="198"/>
    </cacheField>
    <cacheField name="수금2" numFmtId="176">
      <sharedItems containsString="0" containsBlank="1" containsNumber="1" containsInteger="1" minValue="0" maxValue="0"/>
    </cacheField>
    <cacheField name="매출4" numFmtId="176">
      <sharedItems containsString="0" containsBlank="1" containsNumber="1" minValue="0" maxValue="215.12719000000001"/>
    </cacheField>
    <cacheField name="수금3" numFmtId="176">
      <sharedItems containsString="0" containsBlank="1" containsNumber="1" minValue="0" maxValue="180.57155"/>
    </cacheField>
    <cacheField name="매출5" numFmtId="176">
      <sharedItems containsString="0" containsBlank="1" containsNumber="1" minValue="0" maxValue="965.49800000000005"/>
    </cacheField>
    <cacheField name="수금4" numFmtId="176">
      <sharedItems containsString="0" containsBlank="1" containsNumber="1" minValue="0" maxValue="240"/>
    </cacheField>
    <cacheField name="매출6" numFmtId="176">
      <sharedItems containsString="0" containsBlank="1" containsNumber="1" minValue="0" maxValue="310.93799999999999"/>
    </cacheField>
    <cacheField name="수금5" numFmtId="176">
      <sharedItems containsString="0" containsBlank="1" containsNumber="1" minValue="0" maxValue="310.93799999999999"/>
    </cacheField>
    <cacheField name="매출7" numFmtId="176">
      <sharedItems containsString="0" containsBlank="1" containsNumber="1" minValue="0" maxValue="202.99999940000001"/>
    </cacheField>
    <cacheField name="수금6" numFmtId="176">
      <sharedItems containsString="0" containsBlank="1" containsNumber="1" minValue="0" maxValue="71.127189999999999"/>
    </cacheField>
    <cacheField name="매출8" numFmtId="176">
      <sharedItems containsString="0" containsBlank="1" containsNumber="1" minValue="0" maxValue="164.16300000000001"/>
    </cacheField>
    <cacheField name="수금7" numFmtId="176">
      <sharedItems containsString="0" containsBlank="1" containsNumber="1" minValue="0" maxValue="194.99999970000002"/>
    </cacheField>
    <cacheField name="매출9" numFmtId="176">
      <sharedItems containsString="0" containsBlank="1" containsNumber="1" minValue="0" maxValue="312.12599999999998"/>
    </cacheField>
    <cacheField name="수금8" numFmtId="176">
      <sharedItems containsString="0" containsBlank="1" containsNumber="1" minValue="0" maxValue="56.93"/>
    </cacheField>
    <cacheField name="매출10" numFmtId="176">
      <sharedItems containsString="0" containsBlank="1" containsNumber="1" minValue="0" maxValue="239"/>
    </cacheField>
    <cacheField name="수금9" numFmtId="176">
      <sharedItems containsString="0" containsBlank="1" containsNumber="1" minValue="0" maxValue="965.49800000000005"/>
    </cacheField>
    <cacheField name="매출11" numFmtId="176">
      <sharedItems containsString="0" containsBlank="1" containsNumber="1" minValue="0" maxValue="715.86900000000003"/>
    </cacheField>
    <cacheField name="수금10" numFmtId="176">
      <sharedItems containsString="0" containsBlank="1" containsNumber="1" minValue="0" maxValue="312.12599999999998"/>
    </cacheField>
    <cacheField name="매출12" numFmtId="176">
      <sharedItems containsString="0" containsBlank="1" containsNumber="1" minValue="0" maxValue="259.53100000000001"/>
    </cacheField>
    <cacheField name="수금11" numFmtId="176">
      <sharedItems containsString="0" containsBlank="1" containsNumber="1" minValue="0" maxValue="80"/>
    </cacheField>
    <cacheField name="매출13" numFmtId="176">
      <sharedItems containsString="0" containsBlank="1" containsNumber="1" minValue="-0.69499980000000006" maxValue="420.56400000000002"/>
    </cacheField>
    <cacheField name="수금12" numFmtId="176">
      <sharedItems containsString="0" containsBlank="1" containsNumber="1" minValue="0" maxValue="715.86900000000003"/>
    </cacheField>
    <cacheField name="매출14" numFmtId="176">
      <sharedItems containsString="0" containsBlank="1" containsNumber="1" minValue="-220" maxValue="282.02999999999997"/>
    </cacheField>
    <cacheField name="수금13" numFmtId="176">
      <sharedItems containsString="0" containsBlank="1" containsNumber="1" minValue="0" maxValue="378.15"/>
    </cacheField>
    <cacheField name="매출15" numFmtId="176">
      <sharedItems containsString="0" containsBlank="1" containsNumber="1" minValue="0" maxValue="252.02177"/>
    </cacheField>
    <cacheField name="수금14" numFmtId="176">
      <sharedItems containsString="0" containsBlank="1" containsNumber="1" minValue="0" maxValue="100"/>
    </cacheField>
    <cacheField name="매출16" numFmtId="176">
      <sharedItems containsString="0" containsBlank="1" containsNumber="1" minValue="0" maxValue="329.16999999999996"/>
    </cacheField>
    <cacheField name="수금15" numFmtId="176">
      <sharedItems containsString="0" containsBlank="1" containsNumber="1" minValue="0" maxValue="220"/>
    </cacheField>
    <cacheField name="매출17" numFmtId="176">
      <sharedItems containsString="0" containsBlank="1" containsNumber="1" minValue="0" maxValue="285"/>
    </cacheField>
    <cacheField name="수금16" numFmtId="176">
      <sharedItems containsString="0" containsBlank="1" containsNumber="1" minValue="0" maxValue="294.39479999999998"/>
    </cacheField>
    <cacheField name="매출18" numFmtId="176">
      <sharedItems containsSemiMixedTypes="0" containsString="0" containsNumber="1" minValue="-25.01" maxValue="121.774"/>
    </cacheField>
    <cacheField name="수금17" numFmtId="176">
      <sharedItems containsSemiMixedTypes="0" containsString="0" containsNumber="1" minValue="0" maxValue="137"/>
    </cacheField>
    <cacheField name="매출19" numFmtId="176">
      <sharedItems containsString="0" containsBlank="1" containsNumber="1" minValue="-99.368499999999997" maxValue="-9.6211359999999999"/>
    </cacheField>
    <cacheField name="수금18" numFmtId="176">
      <sharedItems containsBlank="1" containsMixedTypes="1" containsNumber="1" minValue="2.4420000000000002" maxValue="329.17"/>
    </cacheField>
    <cacheField name="매출20" numFmtId="176">
      <sharedItems containsSemiMixedTypes="0" containsString="0" containsNumber="1" minValue="0.35199999999999998" maxValue="965.49800000000005"/>
    </cacheField>
    <cacheField name="수금19" numFmtId="176">
      <sharedItems containsSemiMixedTypes="0" containsString="0" containsNumber="1" minValue="0" maxValue="965.49800000000005"/>
    </cacheField>
    <cacheField name="수금률" numFmtId="9">
      <sharedItems containsSemiMixedTypes="0" containsString="0" containsNumber="1" minValue="0" maxValue="1.0000000000000002"/>
    </cacheField>
    <cacheField name="수금률2" numFmtId="9">
      <sharedItems containsSemiMixedTypes="0" containsString="0" containsNumber="1" minValue="0" maxValue="1.000803212851405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41">
  <r>
    <s v="-"/>
    <n v="1059028677"/>
    <x v="0"/>
    <x v="0"/>
    <s v="검사사용량"/>
    <d v="2025-08-22T00:00:00"/>
    <d v="2025-09-30T00:00:00"/>
    <n v="654.49540000000002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524"/>
    <n v="0"/>
    <n v="7.1349999999999998"/>
    <n v="0"/>
    <n v="6.9169999999999998"/>
    <n v="10.659000000000001"/>
    <n v="6.9850000000000003"/>
    <n v="6.9169999999999998"/>
    <n v="6.2430000000000003"/>
    <n v="6.9850000000000003"/>
    <m/>
    <s v=""/>
    <n v="30.804000000000002"/>
    <n v="24.561"/>
    <n v="0.79733151538761193"/>
    <n v="3.7526619744004314E-2"/>
  </r>
  <r>
    <s v="-"/>
    <n v="1079060770"/>
    <x v="1"/>
    <x v="1"/>
    <s v="검사사용량"/>
    <d v="2025-08-27T00:00:00"/>
    <d v="2025-09-23T00:00:00"/>
    <n v="663.27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742"/>
    <n v="0"/>
    <n v="10.791"/>
    <n v="0"/>
    <n v="15.583"/>
    <n v="0"/>
    <n v="8.3119999999999994"/>
    <n v="0"/>
    <n v="7.0531800000000002"/>
    <n v="0"/>
    <n v="-9.6211359999999999"/>
    <s v=""/>
    <n v="35.860044000000002"/>
    <n v="0"/>
    <n v="0"/>
    <n v="0"/>
  </r>
  <r>
    <s v="법인"/>
    <n v="1138209244"/>
    <x v="2"/>
    <x v="2"/>
    <s v="검사사용량"/>
    <d v="2025-06-27T00:00:00"/>
    <d v="2025-10-14T00:00:00"/>
    <n v="837.2719999999999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.449"/>
    <n v="0"/>
    <n v="29.420999999999999"/>
    <n v="13.449"/>
    <n v="21.710999999999999"/>
    <n v="29.420999999999999"/>
    <n v="20.898"/>
    <n v="21.710999999999999"/>
    <n v="23.113"/>
    <n v="20.898"/>
    <m/>
    <s v=""/>
    <n v="108.592"/>
    <n v="85.478999999999985"/>
    <n v="0.78715743332842181"/>
    <n v="0.10209227108992058"/>
  </r>
  <r>
    <s v="-"/>
    <n v="1249428434"/>
    <x v="3"/>
    <x v="3"/>
    <s v="검사사용량"/>
    <d v="2025-07-31T00:00:00"/>
    <d v="2025-09-23T00:00:00"/>
    <n v="536.5499999999999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4"/>
    <n v="0"/>
    <n v="7.3120000000000003"/>
    <n v="0"/>
    <n v="13.76"/>
    <n v="1.84"/>
    <n v="12.512"/>
    <n v="7.3120000000000003"/>
    <n v="8.7040000000000006"/>
    <n v="26.271999999999998"/>
    <n v="8.5760000000000005"/>
    <n v="0"/>
    <m/>
    <s v=""/>
    <n v="52.704000000000001"/>
    <n v="35.423999999999999"/>
    <n v="0.67213114754098358"/>
    <n v="6.6021805982667048E-2"/>
  </r>
  <r>
    <s v="법인"/>
    <n v="1258206916"/>
    <x v="4"/>
    <x v="4"/>
    <s v="검사사용량"/>
    <d v="2025-07-10T00:00:00"/>
    <d v="2025-10-28T00:00:00"/>
    <n v="429.235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4130000000000003"/>
    <n v="0"/>
    <n v="12.362"/>
    <n v="0"/>
    <n v="15.868"/>
    <n v="8.4130000000000003"/>
    <n v="14.404999999999999"/>
    <n v="0"/>
    <n v="0"/>
    <n v="12.362"/>
    <m/>
    <s v=""/>
    <n v="51.048000000000002"/>
    <n v="20.774999999999999"/>
    <n v="0.40696991067230837"/>
    <n v="4.8400060572879655E-2"/>
  </r>
  <r>
    <s v="법인"/>
    <n v="1278221650"/>
    <x v="5"/>
    <x v="5"/>
    <s v="검사사용량"/>
    <d v="2025-06-26T00:00:00"/>
    <d v="2025-09-23T00:00:00"/>
    <n v="605.334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0309999999999997"/>
    <n v="0"/>
    <n v="6.7729999999999997"/>
    <n v="0"/>
    <n v="10.192"/>
    <n v="0"/>
    <n v="11.257999999999999"/>
    <n v="13.804"/>
    <n v="10.855"/>
    <n v="10.192"/>
    <n v="11.375"/>
    <n v="11.257999999999999"/>
    <m/>
    <s v=""/>
    <n v="57.483999999999995"/>
    <n v="35.254000000000005"/>
    <n v="0.61328369633289281"/>
    <n v="5.8238922644358322E-2"/>
  </r>
  <r>
    <s v="-"/>
    <n v="1289131022"/>
    <x v="6"/>
    <x v="6"/>
    <s v="검사사용량"/>
    <d v="2025-05-29T00:00:00"/>
    <d v="2025-08-19T00:00:00"/>
    <n v="351.4260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003"/>
    <n v="0"/>
    <n v="9.4949999999999992"/>
    <n v="10.003"/>
    <n v="6.9290000000000003"/>
    <n v="9.4949999999999992"/>
    <n v="6.1059999999999999"/>
    <n v="6.9290000000000003"/>
    <n v="8.3550000000000004"/>
    <n v="6.1059999999999999"/>
    <m/>
    <s v=""/>
    <n v="40.888000000000005"/>
    <n v="32.533000000000001"/>
    <n v="0.79566131872432"/>
    <n v="9.2574254608367046E-2"/>
  </r>
  <r>
    <s v="-"/>
    <n v="1289239661"/>
    <x v="7"/>
    <x v="7"/>
    <s v="검사사용량"/>
    <d v="2025-10-23T00:00:00"/>
    <d v="2025-11-04T00:00:00"/>
    <n v="1054.30854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920000000000002"/>
    <n v="0"/>
    <n v="7.0720000000000001"/>
    <n v="0"/>
    <n v="9.5519999999999996"/>
    <n v="9.7639999999999993"/>
    <n v="8.8000000000000007"/>
    <n v="9.5519999999999996"/>
    <n v="10.08"/>
    <n v="8.8000000000000007"/>
    <m/>
    <s v=""/>
    <n v="38.195999999999998"/>
    <n v="28.116"/>
    <n v="0.73609802073515551"/>
    <n v="2.6667715113697438E-2"/>
  </r>
  <r>
    <s v="법인"/>
    <n v="1378208431"/>
    <x v="8"/>
    <x v="8"/>
    <s v="검사사용량"/>
    <d v="2025-08-28T00:00:00"/>
    <d v="2025-10-14T00:00:00"/>
    <n v="1146.84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2.381"/>
    <n v="0"/>
    <n v="39.234000000000002"/>
    <n v="82.381"/>
    <n v="31.564"/>
    <n v="39.234000000000002"/>
    <n v="77.141999999999996"/>
    <n v="31.564"/>
    <n v="56.991999999999997"/>
    <n v="77.141999999999996"/>
    <m/>
    <s v=""/>
    <n v="287.31299999999999"/>
    <n v="230.321"/>
    <n v="0.80163793493507085"/>
    <n v="0"/>
  </r>
  <r>
    <s v="법인"/>
    <n v="1428200955"/>
    <x v="9"/>
    <x v="9"/>
    <s v="구독형"/>
    <d v="2025-09-23T00:00:00"/>
    <d v="2025-11-03T00:00:00"/>
    <n v="420.56399999999996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20.56400000000002"/>
    <n v="0"/>
    <n v="0"/>
    <n v="0"/>
    <n v="0"/>
    <n v="0"/>
    <n v="0"/>
    <n v="126.1692"/>
    <n v="0"/>
    <n v="294.39479999999998"/>
    <n v="0"/>
    <n v="0"/>
    <m/>
    <s v=""/>
    <n v="420.56400000000002"/>
    <n v="420.56399999999996"/>
    <n v="0.99999999999999989"/>
    <n v="1"/>
  </r>
  <r>
    <s v="-"/>
    <n v="2059615760"/>
    <x v="10"/>
    <x v="10"/>
    <s v="검사사용량"/>
    <d v="2025-07-07T00:00:00"/>
    <d v="2025-10-28T00:00:00"/>
    <n v="490.298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7590000000000003"/>
    <n v="0"/>
    <n v="12.558999999999999"/>
    <n v="0"/>
    <n v="9.9350000000000005"/>
    <n v="20.318000000000001"/>
    <n v="5.4390000000000001"/>
    <n v="9.9350000000000005"/>
    <n v="10.336"/>
    <n v="5.4390000000000001"/>
    <m/>
    <s v=""/>
    <n v="46.027999999999999"/>
    <n v="35.692"/>
    <n v="0.77544103589119673"/>
    <n v="7.2796544142541872E-2"/>
  </r>
  <r>
    <s v="-"/>
    <n v="2109607113"/>
    <x v="11"/>
    <x v="11"/>
    <s v="검사사용량"/>
    <d v="2025-07-11T00:00:00"/>
    <d v="2025-11-04T00:00:00"/>
    <n v="404.6789999999999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9640000000000004"/>
    <n v="0"/>
    <n v="10.712999999999999"/>
    <n v="0"/>
    <n v="13.101000000000001"/>
    <n v="5.9640000000000004"/>
    <n v="9.8249999999999993"/>
    <n v="10.712999999999999"/>
    <n v="12.917999999999999"/>
    <n v="13.101000000000001"/>
    <m/>
    <n v="12.743"/>
    <n v="52.520999999999994"/>
    <n v="42.521000000000001"/>
    <n v="0.80959996953599522"/>
    <n v="0.10507340385836676"/>
  </r>
  <r>
    <s v="-"/>
    <n v="2129011299"/>
    <x v="12"/>
    <x v="12"/>
    <s v="검사사용량"/>
    <d v="2025-05-20T00:00:00"/>
    <d v="2025-07-02T00:00:00"/>
    <n v="1401.8890000000001"/>
    <s v="90일"/>
    <n v="0"/>
    <n v="0"/>
    <n v="0"/>
    <n v="0"/>
    <n v="0"/>
    <n v="0"/>
    <n v="0"/>
    <n v="0"/>
    <n v="0"/>
    <n v="0"/>
    <n v="0"/>
    <n v="0"/>
    <n v="0"/>
    <n v="0"/>
    <n v="0"/>
    <n v="0"/>
    <n v="5.3419999999999996"/>
    <n v="0"/>
    <n v="50.708799999999997"/>
    <n v="0"/>
    <n v="47.751600000000003"/>
    <n v="0"/>
    <n v="47.417200000000001"/>
    <n v="0"/>
    <n v="29.071999999999999"/>
    <n v="103.80240000000001"/>
    <n v="31.325199999999999"/>
    <n v="0"/>
    <n v="20.231200000000001"/>
    <n v="0"/>
    <n v="23.393999999999998"/>
    <n v="31.325199999999999"/>
    <n v="28.5428"/>
    <n v="0"/>
    <m/>
    <n v="20.231200000000001"/>
    <n v="283.78480000000002"/>
    <n v="155.3588"/>
    <n v="0.54745285864500137"/>
    <n v="0.11082104217951634"/>
  </r>
  <r>
    <s v="-"/>
    <n v="2129097720"/>
    <x v="13"/>
    <x v="13"/>
    <s v="검사사용량"/>
    <d v="2025-06-02T00:00:00"/>
    <d v="2025-09-23T00:00:00"/>
    <n v="279.084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"/>
    <n v="0"/>
    <n v="6.2279999999999998"/>
    <n v="0"/>
    <n v="10.475"/>
    <n v="0"/>
    <n v="9.43"/>
    <n v="0"/>
    <n v="6.3620000000000001"/>
    <n v="26.132999999999999"/>
    <m/>
    <s v=""/>
    <n v="34.494999999999997"/>
    <n v="26.132999999999999"/>
    <n v="0.75758805624003478"/>
    <n v="9.3638138918250721E-2"/>
  </r>
  <r>
    <s v="법인"/>
    <n v="2248207089"/>
    <x v="14"/>
    <x v="14"/>
    <s v="검사사용량"/>
    <d v="2025-09-02T00:00:00"/>
    <d v="2025-11-04T00:00:00"/>
    <n v="884.44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419999999999998"/>
    <n v="0"/>
    <n v="20.617999999999999"/>
    <n v="3.0419999999999998"/>
    <n v="27.495000000000001"/>
    <n v="3.0419999999999998"/>
    <n v="17.094999999999999"/>
    <n v="20.617999999999999"/>
    <n v="21.021000000000001"/>
    <n v="27.495000000000001"/>
    <m/>
    <s v=""/>
    <n v="89.271000000000001"/>
    <n v="54.197000000000003"/>
    <n v="0.60710645114314843"/>
    <n v="6.127818443719317E-2"/>
  </r>
  <r>
    <s v="-"/>
    <n v="2859000091"/>
    <x v="15"/>
    <x v="15"/>
    <s v="검사사용량"/>
    <d v="2025-08-11T00:00:00"/>
    <d v="2025-11-11T00:00:00"/>
    <n v="324.591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80000000000001"/>
    <n v="0"/>
    <n v="5.056"/>
    <n v="1.3280000000000001"/>
    <n v="3.2160000000000002"/>
    <n v="5.056"/>
    <n v="4.5919999999999996"/>
    <n v="3.2160000000000002"/>
    <n v="5.952"/>
    <n v="4.5919999999999996"/>
    <m/>
    <s v=""/>
    <n v="20.143999999999998"/>
    <n v="14.192"/>
    <n v="0.70452740270055603"/>
    <n v="4.3722580963178395E-2"/>
  </r>
  <r>
    <s v="-"/>
    <n v="3109602311"/>
    <x v="16"/>
    <x v="16"/>
    <s v="검사사용량"/>
    <d v="2025-06-30T00:00:00"/>
    <d v="2025-10-21T00:00:00"/>
    <n v="969.53099999999995"/>
    <s v="4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6959999999999997"/>
    <n v="0"/>
    <n v="13.882999999999999"/>
    <n v="0"/>
    <n v="13.752000000000001"/>
    <n v="7.6959999999999997"/>
    <n v="8.2159999999999993"/>
    <n v="14.135"/>
    <n v="12.259"/>
    <n v="14.004"/>
    <m/>
    <s v=""/>
    <n v="55.805999999999997"/>
    <n v="35.835000000000001"/>
    <n v="0.64213525427373408"/>
    <n v="3.6961169885233174E-2"/>
  </r>
  <r>
    <s v="-"/>
    <n v="3129151282"/>
    <x v="17"/>
    <x v="17"/>
    <s v="검사사용량"/>
    <d v="2025-06-25T00:00:00"/>
    <d v="2025-10-21T00:00:00"/>
    <n v="476.62000000000006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49"/>
    <n v="0"/>
    <n v="7.0510000000000002"/>
    <n v="0"/>
    <n v="15.753"/>
    <n v="0"/>
    <n v="17.760000000000002"/>
    <n v="9.6999999999999993"/>
    <n v="18.561"/>
    <n v="0"/>
    <m/>
    <s v=""/>
    <n v="61.774000000000008"/>
    <n v="9.6999999999999993"/>
    <n v="0.15702399067568876"/>
    <n v="2.0351642818178001E-2"/>
  </r>
  <r>
    <s v="법인"/>
    <n v="3668200250"/>
    <x v="18"/>
    <x v="18"/>
    <s v="구축형"/>
    <d v="2025-09-16T00:00:00"/>
    <d v="2025-11-08T00:00:00"/>
    <n v="220"/>
    <s v="25.12.3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20"/>
    <n v="0"/>
    <n v="0"/>
    <n v="0"/>
    <n v="0"/>
    <n v="0"/>
    <n v="-220"/>
    <n v="0"/>
    <n v="220"/>
    <n v="0"/>
    <n v="0"/>
    <n v="220"/>
    <n v="0"/>
    <n v="0"/>
    <n v="0"/>
    <n v="0"/>
    <m/>
    <s v=""/>
    <n v="220"/>
    <n v="220"/>
    <n v="1"/>
    <n v="0"/>
  </r>
  <r>
    <s v="-"/>
    <n v="4059009702"/>
    <x v="19"/>
    <x v="19"/>
    <s v="구축형"/>
    <d v="2025-09-08T00:00:00"/>
    <d v="2025-12-02T00:00:00"/>
    <n v="209.164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09.16499999999999"/>
    <n v="0"/>
    <n v="0"/>
    <n v="69.165000000000006"/>
    <n v="0"/>
    <n v="70"/>
    <n v="0"/>
    <n v="70"/>
    <n v="0"/>
    <n v="0"/>
    <m/>
    <s v=""/>
    <n v="209.16499999999999"/>
    <n v="209.16500000000002"/>
    <n v="1.0000000000000002"/>
    <n v="1.0000000000000002"/>
  </r>
  <r>
    <s v="-"/>
    <n v="4119603025"/>
    <x v="20"/>
    <x v="20"/>
    <s v="검사사용량"/>
    <d v="2025-06-17T00:00:00"/>
    <d v="2025-09-03T00:00:00"/>
    <n v="1600.697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32800000000000001"/>
    <n v="0"/>
    <n v="0"/>
    <n v="0"/>
    <n v="2.7890000000000001"/>
    <n v="0"/>
    <n v="14"/>
    <n v="0"/>
    <n v="16.332000000000001"/>
    <n v="3.117"/>
    <n v="26.378"/>
    <n v="24.332000000000001"/>
    <n v="23.126000000000001"/>
    <n v="29.378"/>
    <m/>
    <s v=""/>
    <n v="82.953000000000003"/>
    <n v="56.826999999999998"/>
    <n v="0.68505057080515463"/>
    <n v="3.5501387519694533E-2"/>
  </r>
  <r>
    <s v="-"/>
    <n v="5029241763"/>
    <x v="21"/>
    <x v="21"/>
    <s v="검사사용량"/>
    <d v="2025-07-16T00:00:00"/>
    <d v="2025-11-11T00:00:00"/>
    <n v="254.14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679999999999999"/>
    <n v="0"/>
    <n v="4.21"/>
    <n v="1.6679999999999999"/>
    <n v="5.992"/>
    <n v="0"/>
    <n v="4.2709999999999999"/>
    <n v="10.202"/>
    <n v="5.0629999999999997"/>
    <n v="4.2709999999999999"/>
    <m/>
    <s v=""/>
    <n v="21.203999999999997"/>
    <n v="16.140999999999998"/>
    <n v="0.76122429730239582"/>
    <n v="6.3510737922296626E-2"/>
  </r>
  <r>
    <s v="법인"/>
    <n v="5148204710"/>
    <x v="22"/>
    <x v="22"/>
    <s v="구축형"/>
    <d v="2025-09-26T00:00:00"/>
    <d v="2025-12-08T00:00:00"/>
    <n v="137"/>
    <s v="통살적 결제조건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37"/>
    <n v="0"/>
    <n v="0"/>
    <n v="0"/>
    <n v="0"/>
    <n v="0"/>
    <n v="0"/>
    <n v="0"/>
    <n v="0"/>
    <n v="137"/>
    <m/>
    <s v=""/>
    <n v="137"/>
    <n v="137"/>
    <n v="1"/>
    <n v="0"/>
  </r>
  <r>
    <s v="법인"/>
    <n v="6058211399"/>
    <x v="23"/>
    <x v="23"/>
    <s v="검사사용량"/>
    <d v="2025-06-30T00:00:00"/>
    <d v="2025-09-16T00:00:00"/>
    <n v="272.04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8"/>
    <n v="0"/>
    <n v="0"/>
    <n v="0"/>
    <n v="9.2620000000000005"/>
    <n v="0"/>
    <n v="13.878"/>
    <n v="0"/>
    <n v="12.686999999999999"/>
    <n v="0"/>
    <n v="13.422000000000001"/>
    <n v="0"/>
    <m/>
    <s v=""/>
    <n v="50.429000000000002"/>
    <n v="0"/>
    <n v="0"/>
    <n v="0"/>
  </r>
  <r>
    <s v="법인"/>
    <n v="6168203453"/>
    <x v="24"/>
    <x v="24"/>
    <s v="검사사용량"/>
    <d v="2025-06-27T00:00:00"/>
    <d v="2025-08-12T00:00:00"/>
    <n v="2922.7309999999998"/>
    <s v="6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6.248999999999999"/>
    <n v="0"/>
    <n v="31.023"/>
    <n v="0"/>
    <n v="32.76"/>
    <n v="26.248999999999999"/>
    <n v="24.085000000000001"/>
    <n v="0"/>
    <n v="28.277999999999999"/>
    <n v="31.023"/>
    <m/>
    <s v=""/>
    <n v="142.39499999999998"/>
    <n v="57.271999999999998"/>
    <n v="0.40220513360721938"/>
    <n v="1.9595371589106216E-2"/>
  </r>
  <r>
    <s v="법인"/>
    <n v="6398200177"/>
    <x v="25"/>
    <x v="25"/>
    <s v="검사사용량"/>
    <d v="2025-08-28T00:00:00"/>
    <d v="2025-10-20T00:00:00"/>
    <n v="1705.3829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6600000000000001"/>
    <n v="0"/>
    <n v="20.672000000000001"/>
    <n v="0"/>
    <n v="26.343"/>
    <n v="0"/>
    <n v="27.209"/>
    <n v="0"/>
    <n v="34.56"/>
    <n v="0"/>
    <m/>
    <n v="20.716999999999999"/>
    <n v="109.55"/>
    <n v="20.716999999999999"/>
    <n v="0.18910999543587403"/>
    <n v="1.2148005002278374E-2"/>
  </r>
  <r>
    <s v="-"/>
    <n v="6877100016"/>
    <x v="26"/>
    <x v="26"/>
    <s v="검사사용량"/>
    <d v="2025-06-19T00:00:00"/>
    <d v="2025-09-02T00:00:00"/>
    <n v="206.75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155"/>
    <n v="0"/>
    <n v="1.45"/>
    <n v="0"/>
    <n v="1.45"/>
    <n v="0"/>
    <n v="2.1760000000000002"/>
    <n v="1"/>
    <n v="1.45"/>
    <n v="2"/>
    <n v="2.016"/>
    <n v="1"/>
    <n v="1.6479999999999999"/>
    <n v="0"/>
    <m/>
    <s v=""/>
    <n v="11.345000000000001"/>
    <n v="4"/>
    <n v="0.35257822829440277"/>
    <n v="1.9346850332765824E-2"/>
  </r>
  <r>
    <s v="-"/>
    <n v="8039501646"/>
    <x v="27"/>
    <x v="27"/>
    <s v="분납형"/>
    <d v="2025-11-26T00:00:00"/>
    <d v="2025-12-09T00:00:00"/>
    <n v="276.46046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76.46046999999999"/>
    <n v="0"/>
    <n v="0"/>
    <n v="100"/>
    <n v="0"/>
    <n v="100"/>
    <n v="0"/>
    <n v="76.460470000000001"/>
    <n v="0"/>
    <n v="0"/>
    <m/>
    <s v=""/>
    <n v="276.46046999999999"/>
    <n v="276.46046999999999"/>
    <n v="1"/>
    <n v="1"/>
  </r>
  <r>
    <s v="법인"/>
    <n v="6208200931"/>
    <x v="28"/>
    <x v="28"/>
    <s v="검사사용량"/>
    <d v="2025-06-30T00:00:00"/>
    <d v="2025-09-16T00:00:00"/>
    <n v="290.884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79500000000000004"/>
    <n v="0"/>
    <n v="6.1970000000000001"/>
    <n v="0.79500000000000004"/>
    <n v="5.3369999999999997"/>
    <n v="6.1970000000000001"/>
    <n v="5.5739999999999998"/>
    <n v="5.3369999999999997"/>
    <n v="5.3570000000000002"/>
    <n v="5.5739999999999998"/>
    <n v="4.5960000000000001"/>
    <n v="5.3570000000000002"/>
    <m/>
    <s v=""/>
    <n v="27.856000000000002"/>
    <n v="23.259999999999998"/>
    <n v="0.83500861573808149"/>
    <n v="7.9962871925331316E-2"/>
  </r>
  <r>
    <s v="법인"/>
    <n v="1538200538"/>
    <x v="29"/>
    <x v="29"/>
    <s v="검사사용량"/>
    <d v="2025-07-21T00:00:00"/>
    <d v="2025-07-21T00:00:00"/>
    <n v="117.27416699999999"/>
    <s v="10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8460000000000001"/>
    <n v="0"/>
    <n v="2.9129999999999998"/>
    <n v="0"/>
    <n v="1.9179999999999999"/>
    <n v="0"/>
    <n v="2.68"/>
    <n v="1.8460000000000001"/>
    <n v="2.7269999999999999"/>
    <n v="2.9129999999999998"/>
    <n v="2.77"/>
    <n v="1.9179999999999999"/>
    <n v="3.15"/>
    <n v="2.68"/>
    <n v="2.4780000000000002"/>
    <n v="2.7269999999999999"/>
    <m/>
    <s v=""/>
    <n v="20.481999999999999"/>
    <n v="12.084000000000001"/>
    <n v="0.58998144712430434"/>
    <n v="0.10304059546208504"/>
  </r>
  <r>
    <s v="-"/>
    <n v="4186500404"/>
    <x v="30"/>
    <x v="30"/>
    <s v="분납형"/>
    <d v="2025-06-13T00:00:00"/>
    <d v="2025-08-26T00:00:00"/>
    <n v="145.151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145.15100000000001"/>
    <n v="0"/>
    <n v="0"/>
    <n v="0"/>
    <n v="0"/>
    <n v="0"/>
    <n v="0"/>
    <n v="0"/>
    <n v="0"/>
    <n v="40"/>
    <n v="0"/>
    <n v="40"/>
    <n v="0"/>
    <n v="40.140999999999998"/>
    <n v="0"/>
    <n v="0"/>
    <n v="-25.01"/>
    <n v="0"/>
    <m/>
    <s v=""/>
    <n v="120.14100000000001"/>
    <n v="120.14099999999999"/>
    <n v="0.99999999999999989"/>
    <n v="0.82769667449759199"/>
  </r>
  <r>
    <s v="-"/>
    <n v="1269036645"/>
    <x v="31"/>
    <x v="31"/>
    <s v="검사사용량"/>
    <d v="2025-06-23T00:00:00"/>
    <d v="2025-09-30T00:00:00"/>
    <n v="234.513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6869999999999998"/>
    <n v="0"/>
    <n v="6.5759999999999996"/>
    <n v="2.6869999999999998"/>
    <n v="5.4169999999999998"/>
    <n v="6.5759999999999996"/>
    <n v="5.9210000000000003"/>
    <n v="5.4169999999999998"/>
    <n v="4.1219999999999999"/>
    <n v="5.9210000000000003"/>
    <n v="5.1580000000000004"/>
    <n v="4.1219999999999999"/>
    <m/>
    <s v=""/>
    <n v="29.881000000000004"/>
    <n v="24.722999999999999"/>
    <n v="0.82738194839530121"/>
    <n v="0.10542227756125434"/>
  </r>
  <r>
    <s v="법인"/>
    <n v="5028213744"/>
    <x v="32"/>
    <x v="32"/>
    <s v="검사사용량"/>
    <d v="2025-07-14T00:00:00"/>
    <d v="2025-09-09T00:00:00"/>
    <n v="380.6160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7.824000000000002"/>
    <n v="0"/>
    <n v="19.605"/>
    <n v="17.824000000000002"/>
    <n v="22.393999999999998"/>
    <n v="19.605"/>
    <n v="21.068999999999999"/>
    <n v="22.393999999999998"/>
    <n v="19.463000000000001"/>
    <n v="21.068999999999999"/>
    <n v="23.059000000000001"/>
    <n v="19.463000000000001"/>
    <m/>
    <s v=""/>
    <n v="123.41399999999999"/>
    <n v="100.35499999999999"/>
    <n v="0.81315734033415987"/>
    <n v="0.26366469092208417"/>
  </r>
  <r>
    <s v="법인"/>
    <n v="6018206614"/>
    <x v="33"/>
    <x v="33"/>
    <s v="검사사용량"/>
    <d v="2025-06-23T00:00:00"/>
    <d v="2025-08-13T00:00:00"/>
    <n v="721.09800000000007"/>
    <s v="6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613"/>
    <n v="0"/>
    <n v="27.262"/>
    <n v="1.613"/>
    <n v="29.242999999999999"/>
    <n v="27.262"/>
    <n v="34.911999999999999"/>
    <n v="0"/>
    <n v="32.067"/>
    <n v="34.911999999999999"/>
    <n v="30.785"/>
    <n v="32.067"/>
    <n v="29.227"/>
    <n v="30.785"/>
    <m/>
    <s v=""/>
    <n v="185.10900000000001"/>
    <n v="126.639"/>
    <n v="0.68413205192616233"/>
    <n v="0.17561967998801825"/>
  </r>
  <r>
    <s v="-"/>
    <n v="6969000063"/>
    <x v="34"/>
    <x v="34"/>
    <s v="분납형"/>
    <d v="2025-03-06T00:00:00"/>
    <d v="2025-03-06T00:00:00"/>
    <n v="441.55145799999997"/>
    <s v="30일"/>
    <n v="0"/>
    <n v="0"/>
    <n v="0"/>
    <n v="0"/>
    <n v="0"/>
    <n v="0"/>
    <n v="159.521458"/>
    <n v="0"/>
    <n v="0"/>
    <n v="53.2"/>
    <n v="0"/>
    <n v="53.2"/>
    <n v="0"/>
    <n v="53.121457999999997"/>
    <n v="0"/>
    <n v="0"/>
    <n v="0"/>
    <n v="0"/>
    <n v="0"/>
    <n v="0"/>
    <n v="0"/>
    <n v="0"/>
    <n v="0"/>
    <n v="0"/>
    <n v="282.02999999999997"/>
    <n v="70.507499999999993"/>
    <n v="0"/>
    <n v="70.507499999999993"/>
    <n v="0"/>
    <n v="0"/>
    <n v="0"/>
    <n v="141.01499999999999"/>
    <n v="0"/>
    <n v="0"/>
    <m/>
    <s v=""/>
    <n v="441.55145799999997"/>
    <n v="441.55145799999997"/>
    <n v="1"/>
    <n v="1"/>
  </r>
  <r>
    <s v="-"/>
    <n v="3052075442"/>
    <x v="35"/>
    <x v="35"/>
    <s v="검사사용량"/>
    <d v="2025-05-26T00:00:00"/>
    <d v="2025-08-03T00:00:00"/>
    <n v="1479.065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5760000000000001"/>
    <n v="0"/>
    <n v="12.65"/>
    <n v="2.5760000000000001"/>
    <n v="15.715999999999999"/>
    <n v="12.65"/>
    <n v="24.241"/>
    <n v="15.715999999999999"/>
    <n v="27.388999999999999"/>
    <n v="0"/>
    <n v="26.635999999999999"/>
    <n v="51.63"/>
    <n v="18.876000000000001"/>
    <n v="0"/>
    <n v="17.07"/>
    <n v="45.512"/>
    <m/>
    <s v=""/>
    <n v="145.15399999999997"/>
    <n v="128.084"/>
    <n v="0.88240076057153116"/>
    <n v="8.6597952084593977E-2"/>
  </r>
  <r>
    <s v="법인"/>
    <n v="6178205191"/>
    <x v="36"/>
    <x v="36"/>
    <s v="검사사용량"/>
    <d v="2025-05-28T00:00:00"/>
    <d v="2025-08-12T00:00:00"/>
    <n v="400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2509999999999999"/>
    <n v="0"/>
    <n v="12.5"/>
    <n v="2.2509999999999999"/>
    <n v="12.5"/>
    <n v="12.5"/>
    <n v="18.530999999999999"/>
    <n v="12.5"/>
    <n v="33.979999999999997"/>
    <n v="18.530999999999999"/>
    <n v="41.768000000000001"/>
    <n v="33.979999999999997"/>
    <n v="46.084000000000003"/>
    <n v="41.768000000000001"/>
    <n v="49.624000000000002"/>
    <n v="46.084000000000003"/>
    <m/>
    <s v=""/>
    <n v="217.238"/>
    <n v="167.614"/>
    <n v="0.77156851011333194"/>
    <n v="0.41903499999999999"/>
  </r>
  <r>
    <s v="-"/>
    <n v="6219601338"/>
    <x v="37"/>
    <x v="37"/>
    <s v="검사사용량"/>
    <d v="2025-06-02T00:00:00"/>
    <d v="2025-08-12T00:00:00"/>
    <n v="497.400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9.3320000000000007"/>
    <n v="0"/>
    <n v="0"/>
    <n v="0"/>
    <n v="36.520000000000003"/>
    <n v="9.3320000000000007"/>
    <n v="22.88"/>
    <n v="18.684999999999999"/>
    <n v="31.55"/>
    <n v="17.835000000000001"/>
    <n v="31.562000000000001"/>
    <n v="22.88"/>
    <n v="28.579000000000001"/>
    <n v="31.55"/>
    <n v="32.896000000000001"/>
    <n v="31.562000000000001"/>
    <m/>
    <s v=""/>
    <n v="193.31900000000002"/>
    <n v="131.84399999999999"/>
    <n v="0.6820022863764037"/>
    <n v="0.26506634499396858"/>
  </r>
  <r>
    <s v="법인"/>
    <n v="6088216068"/>
    <x v="38"/>
    <x v="38"/>
    <s v="구축형"/>
    <d v="2025-09-03T00:00:00"/>
    <d v="2025-10-20T00:00:00"/>
    <n v="259.531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9.53100000000001"/>
    <n v="0"/>
    <n v="0"/>
    <n v="0"/>
    <n v="0"/>
    <n v="159.53100000000001"/>
    <n v="0"/>
    <n v="100"/>
    <n v="0"/>
    <n v="0"/>
    <n v="0"/>
    <n v="0"/>
    <n v="0"/>
    <n v="0"/>
    <m/>
    <s v=""/>
    <n v="259.53100000000001"/>
    <n v="259.53100000000001"/>
    <n v="1"/>
    <n v="1"/>
  </r>
  <r>
    <s v="-"/>
    <n v="6039134608"/>
    <x v="39"/>
    <x v="39"/>
    <s v="검사사용량"/>
    <d v="2025-07-15T00:00:00"/>
    <d v="2025-09-09T00:00:00"/>
    <n v="251.823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5670000000000002"/>
    <n v="0"/>
    <n v="11.122999999999999"/>
    <n v="6.5670000000000002"/>
    <n v="10.49"/>
    <n v="11.122999999999999"/>
    <n v="9.6159999999999997"/>
    <n v="10.49"/>
    <n v="8.7710000000000008"/>
    <n v="9.6159999999999997"/>
    <n v="8.02"/>
    <n v="8.7710000000000008"/>
    <n v="10.885"/>
    <n v="8.02"/>
    <m/>
    <s v=""/>
    <n v="65.472000000000008"/>
    <n v="54.587000000000003"/>
    <n v="0.83374572336265884"/>
    <n v="0.21676733261060349"/>
  </r>
  <r>
    <s v="법인"/>
    <n v="1358210284"/>
    <x v="40"/>
    <x v="40"/>
    <s v="구독형"/>
    <d v="2025-04-30T00:00:00"/>
    <d v="2025-04-30T00:00:00"/>
    <n v="190"/>
    <n v="0"/>
    <n v="0"/>
    <n v="0"/>
    <n v="0"/>
    <n v="0"/>
    <n v="0"/>
    <n v="0"/>
    <n v="0"/>
    <n v="0"/>
    <n v="0"/>
    <n v="0"/>
    <n v="190"/>
    <n v="0"/>
    <n v="0"/>
    <n v="0"/>
    <n v="0"/>
    <n v="0"/>
    <n v="0"/>
    <n v="0"/>
    <n v="0"/>
    <n v="0"/>
    <n v="0"/>
    <n v="20"/>
    <n v="0"/>
    <n v="50"/>
    <n v="0"/>
    <n v="50"/>
    <n v="0"/>
    <n v="50"/>
    <n v="0"/>
    <n v="20"/>
    <n v="0"/>
    <n v="0"/>
    <n v="0"/>
    <n v="0"/>
    <m/>
    <s v=""/>
    <n v="190"/>
    <n v="190"/>
    <n v="1"/>
    <n v="1"/>
  </r>
  <r>
    <s v="법인"/>
    <n v="5028215984"/>
    <x v="41"/>
    <x v="41"/>
    <s v="분납형"/>
    <d v="2025-06-09T00:00:00"/>
    <d v="2025-06-23T00:00:00"/>
    <n v="164.16299999999998"/>
    <s v="180일"/>
    <n v="0"/>
    <n v="0"/>
    <n v="0"/>
    <n v="0"/>
    <n v="0"/>
    <n v="0"/>
    <n v="0"/>
    <n v="0"/>
    <n v="0"/>
    <n v="0"/>
    <n v="0"/>
    <n v="0"/>
    <n v="164.16300000000001"/>
    <n v="0"/>
    <n v="0"/>
    <n v="0"/>
    <n v="0"/>
    <n v="0"/>
    <n v="0"/>
    <n v="27.360499999999998"/>
    <n v="0"/>
    <n v="27.360499999999998"/>
    <n v="0"/>
    <n v="27.360499999999998"/>
    <n v="0"/>
    <n v="27.360499999999998"/>
    <n v="0"/>
    <n v="54.720999999999997"/>
    <n v="0"/>
    <n v="0"/>
    <n v="0"/>
    <n v="0"/>
    <n v="0"/>
    <n v="0"/>
    <m/>
    <s v=""/>
    <n v="164.16300000000001"/>
    <n v="164.16299999999998"/>
    <n v="0.99999999999999978"/>
    <n v="1"/>
  </r>
  <r>
    <s v="-"/>
    <n v="4081777598"/>
    <x v="42"/>
    <x v="42"/>
    <s v="검사사용량"/>
    <d v="2025-05-28T00:00:00"/>
    <d v="2025-08-26T00:00:00"/>
    <n v="936.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.39"/>
    <n v="0"/>
    <n v="32.179000000000002"/>
    <n v="25.39"/>
    <n v="28.492999999999999"/>
    <n v="32.179000000000002"/>
    <n v="39.225999999999999"/>
    <n v="0"/>
    <n v="36.939"/>
    <n v="39.225999999999999"/>
    <n v="29.843"/>
    <n v="36.939"/>
    <n v="36.472999999999999"/>
    <n v="29.843"/>
    <m/>
    <s v=""/>
    <n v="228.54299999999995"/>
    <n v="163.577"/>
    <n v="0.71573839496287361"/>
    <n v="0.17457896646673354"/>
  </r>
  <r>
    <s v="-"/>
    <n v="3119038784"/>
    <x v="43"/>
    <x v="43"/>
    <s v="검사사용량"/>
    <d v="2025-05-26T00:00:00"/>
    <d v="2025-07-14T00:00:00"/>
    <n v="611.985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4.5049999999999999"/>
    <n v="0"/>
    <n v="20.613"/>
    <n v="4.5049999999999999"/>
    <n v="16.273"/>
    <n v="10.613"/>
    <n v="20.004000000000001"/>
    <n v="10"/>
    <n v="23.364000000000001"/>
    <n v="36.277000000000001"/>
    <n v="21.445"/>
    <n v="10"/>
    <n v="13.561999999999999"/>
    <n v="18.364000000000001"/>
    <n v="12.346"/>
    <n v="21.896999999999998"/>
    <n v="9.1140000000000008"/>
    <n v="15.276"/>
    <m/>
    <n v="5"/>
    <n v="141.226"/>
    <n v="131.93200000000002"/>
    <n v="0.93419058813532929"/>
    <n v="0.21558009496949279"/>
  </r>
  <r>
    <s v="-"/>
    <n v="6719701418"/>
    <x v="44"/>
    <x v="44"/>
    <s v="검사사용량"/>
    <d v="2025-07-15T00:00:00"/>
    <d v="2025-07-29T00:00:00"/>
    <n v="632.32600000000002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8.8930000000000007"/>
    <n v="0"/>
    <n v="10.776"/>
    <n v="8.8930000000000007"/>
    <n v="12.637"/>
    <n v="10.776"/>
    <n v="11.348000000000001"/>
    <n v="12.637"/>
    <n v="12.92"/>
    <n v="11.348000000000001"/>
    <n v="11.738"/>
    <n v="0"/>
    <n v="11.268000000000001"/>
    <n v="11.738"/>
    <n v="12.484"/>
    <n v="24.187999999999999"/>
    <m/>
    <s v=""/>
    <n v="92.063999999999993"/>
    <n v="79.58"/>
    <n v="0.86439867917970115"/>
    <n v="0.12585280377526781"/>
  </r>
  <r>
    <s v="-"/>
    <n v="1279607029"/>
    <x v="45"/>
    <x v="45"/>
    <s v="검사사용량"/>
    <d v="2025-06-16T00:00:00"/>
    <d v="2025-07-14T00:00:00"/>
    <n v="1141.151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2.158000000000001"/>
    <n v="0"/>
    <n v="45.991"/>
    <n v="52.158000000000001"/>
    <n v="39.868000000000002"/>
    <n v="52.158000000000001"/>
    <n v="40.103999999999999"/>
    <n v="0"/>
    <n v="47.039000000000001"/>
    <n v="33.701000000000001"/>
    <n v="38.783999999999999"/>
    <n v="40.103999999999999"/>
    <n v="37.246000000000002"/>
    <n v="47.039000000000001"/>
    <n v="38.305"/>
    <n v="38.783999999999999"/>
    <m/>
    <n v="37.246000000000002"/>
    <n v="339.495"/>
    <n v="301.18999999999994"/>
    <n v="0.8871706505250444"/>
    <n v="0.2639352723697389"/>
  </r>
  <r>
    <s v="-"/>
    <n v="6173188429"/>
    <x v="46"/>
    <x v="46"/>
    <s v="구독형"/>
    <d v="2025-04-30T00:00:00"/>
    <d v="2025-04-30T00:00:00"/>
    <n v="125"/>
    <s v="30일"/>
    <n v="0"/>
    <n v="0"/>
    <n v="0"/>
    <n v="0"/>
    <n v="0"/>
    <n v="0"/>
    <n v="0"/>
    <n v="0"/>
    <n v="125"/>
    <n v="0"/>
    <n v="0"/>
    <n v="0"/>
    <n v="0"/>
    <n v="0"/>
    <n v="0"/>
    <n v="0"/>
    <n v="0"/>
    <n v="0"/>
    <n v="0"/>
    <n v="125"/>
    <n v="0"/>
    <n v="0"/>
    <n v="0"/>
    <n v="0"/>
    <n v="0"/>
    <n v="0"/>
    <n v="0"/>
    <n v="0"/>
    <n v="0"/>
    <n v="0"/>
    <n v="0"/>
    <n v="0"/>
    <n v="0"/>
    <n v="0"/>
    <m/>
    <s v=""/>
    <n v="125"/>
    <n v="125"/>
    <n v="1"/>
    <n v="1"/>
  </r>
  <r>
    <s v="-"/>
    <n v="6173188429"/>
    <x v="46"/>
    <x v="46"/>
    <s v="검사사용량"/>
    <d v="2025-10-13T00:00:00"/>
    <d v="2025-04-30T00:00:00"/>
    <n v="505.20400000000001"/>
    <s v="30일"/>
    <n v="0"/>
    <n v="0"/>
    <n v="0"/>
    <n v="0"/>
    <n v="0"/>
    <n v="0"/>
    <n v="0"/>
    <n v="0"/>
    <n v="0"/>
    <n v="0"/>
    <n v="0"/>
    <n v="0"/>
    <n v="0"/>
    <n v="0"/>
    <n v="1.204"/>
    <n v="0"/>
    <n v="12.747999999999999"/>
    <n v="1.204"/>
    <n v="15.113"/>
    <n v="12.747999999999999"/>
    <n v="14.691000000000001"/>
    <n v="15.113"/>
    <n v="16.286999999999999"/>
    <n v="14.691000000000001"/>
    <n v="22.155000000000001"/>
    <n v="0"/>
    <n v="23.404"/>
    <n v="38.442"/>
    <n v="33.198"/>
    <n v="23.404"/>
    <n v="24.206"/>
    <n v="33.198"/>
    <n v="2.9249999999999998"/>
    <n v="0"/>
    <m/>
    <s v=""/>
    <n v="165.93100000000001"/>
    <n v="138.80000000000001"/>
    <n v="0.83649227691028194"/>
    <n v="0.27474050086697654"/>
  </r>
  <r>
    <s v="법인"/>
    <n v="1418202789"/>
    <x v="47"/>
    <x v="47"/>
    <s v="구독형"/>
    <d v="2024-12-10T00:00:00"/>
    <d v="2025-01-31T00:00:00"/>
    <n v="112.4361"/>
    <s v="30일"/>
    <n v="112.4361"/>
    <n v="0"/>
    <n v="0"/>
    <n v="0"/>
    <n v="0"/>
    <n v="0"/>
    <n v="0"/>
    <n v="0"/>
    <n v="0"/>
    <n v="112.4361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12.4361"/>
    <n v="112.4361"/>
    <n v="1"/>
    <n v="1"/>
  </r>
  <r>
    <s v="법인"/>
    <n v="1418202789"/>
    <x v="47"/>
    <x v="47"/>
    <s v="검사사용량"/>
    <d v="2025-09-29T00:00:00"/>
    <d v="2025-01-31T00:00:00"/>
    <n v="489.46949999999998"/>
    <s v="30일"/>
    <n v="0"/>
    <n v="0"/>
    <n v="0"/>
    <n v="0"/>
    <n v="0"/>
    <n v="0"/>
    <n v="0"/>
    <n v="0"/>
    <n v="0"/>
    <n v="0"/>
    <n v="0"/>
    <n v="0"/>
    <n v="0"/>
    <n v="0"/>
    <n v="1.2789999999999999"/>
    <n v="0"/>
    <n v="4.617"/>
    <n v="0"/>
    <n v="5.008"/>
    <n v="0"/>
    <n v="5.7089999999999996"/>
    <n v="1.2789999999999999"/>
    <n v="5.0979999999999999"/>
    <n v="15.334"/>
    <n v="4.8040000000000003"/>
    <n v="5.0979999999999999"/>
    <n v="4.9829999999999997"/>
    <n v="4.8040000000000003"/>
    <n v="8.2070000000000007"/>
    <n v="4.9829999999999997"/>
    <n v="13.978"/>
    <n v="8.2070000000000007"/>
    <n v="17.981000000000002"/>
    <n v="13.978"/>
    <m/>
    <s v=""/>
    <n v="71.664000000000001"/>
    <n v="53.683"/>
    <n v="0.74909298950658632"/>
    <n v="0.10967588378846894"/>
  </r>
  <r>
    <s v="법인"/>
    <n v="1108202349"/>
    <x v="48"/>
    <x v="48"/>
    <s v="구축형"/>
    <d v="2025-07-25T00:00:00"/>
    <d v="2025-08-11T00:00:00"/>
    <n v="145"/>
    <s v="90일"/>
    <n v="0"/>
    <n v="0"/>
    <n v="0"/>
    <n v="0"/>
    <n v="0"/>
    <n v="0"/>
    <n v="0"/>
    <n v="0"/>
    <n v="0"/>
    <n v="0"/>
    <n v="0"/>
    <n v="0"/>
    <n v="0"/>
    <n v="0"/>
    <n v="0"/>
    <n v="0"/>
    <n v="145"/>
    <n v="0"/>
    <n v="0"/>
    <n v="0"/>
    <n v="0"/>
    <n v="0"/>
    <n v="0"/>
    <n v="0"/>
    <n v="0"/>
    <n v="145"/>
    <n v="0"/>
    <n v="0"/>
    <n v="0"/>
    <n v="0"/>
    <n v="0"/>
    <n v="0"/>
    <n v="0"/>
    <n v="0"/>
    <m/>
    <s v=""/>
    <n v="145"/>
    <n v="145"/>
    <n v="1"/>
    <n v="1"/>
  </r>
  <r>
    <s v="법인"/>
    <n v="1218216353"/>
    <x v="49"/>
    <x v="49"/>
    <s v="구독형"/>
    <d v="2025-04-07T00:00:00"/>
    <d v="2025-04-07T00:00:00"/>
    <n v="477.86700000000002"/>
    <s v="리스"/>
    <n v="0"/>
    <n v="0"/>
    <n v="0"/>
    <n v="0"/>
    <n v="0"/>
    <n v="0"/>
    <n v="0"/>
    <n v="0"/>
    <n v="310.93799999999999"/>
    <n v="310.93799999999999"/>
    <n v="0"/>
    <n v="0"/>
    <n v="0"/>
    <n v="0"/>
    <n v="149.065"/>
    <n v="0"/>
    <n v="17.864000000000001"/>
    <n v="166.929"/>
    <n v="0"/>
    <n v="0"/>
    <n v="0"/>
    <n v="0"/>
    <n v="0"/>
    <n v="0"/>
    <n v="0"/>
    <n v="0"/>
    <n v="0"/>
    <n v="0"/>
    <n v="0"/>
    <n v="0"/>
    <n v="0"/>
    <n v="0"/>
    <n v="0"/>
    <n v="0"/>
    <m/>
    <s v=""/>
    <n v="477.86699999999996"/>
    <n v="477.86699999999996"/>
    <n v="1"/>
    <n v="0.99999999999999989"/>
  </r>
  <r>
    <s v="법인"/>
    <n v="1358200113"/>
    <x v="50"/>
    <x v="50"/>
    <s v="구축형"/>
    <d v="2025-05-21T00:00:00"/>
    <d v="2025-05-21T00:00:00"/>
    <n v="133.10299999999998"/>
    <s v="30일"/>
    <n v="0"/>
    <n v="0"/>
    <n v="0"/>
    <n v="0"/>
    <n v="0"/>
    <n v="0"/>
    <n v="0"/>
    <n v="0"/>
    <n v="0"/>
    <n v="0"/>
    <n v="133.10300000000001"/>
    <n v="0"/>
    <n v="0"/>
    <n v="0"/>
    <n v="0"/>
    <n v="0"/>
    <n v="0"/>
    <n v="133.10300000000001"/>
    <n v="0"/>
    <n v="0"/>
    <n v="0"/>
    <n v="0"/>
    <n v="0"/>
    <n v="0"/>
    <n v="0"/>
    <n v="0"/>
    <n v="0"/>
    <n v="0"/>
    <n v="0"/>
    <n v="0"/>
    <n v="0"/>
    <n v="0"/>
    <n v="0"/>
    <n v="0"/>
    <m/>
    <s v=""/>
    <n v="133.10300000000001"/>
    <n v="133.10300000000001"/>
    <n v="1"/>
    <n v="1.0000000000000002"/>
  </r>
  <r>
    <s v="법인"/>
    <n v="1378200666"/>
    <x v="51"/>
    <x v="51"/>
    <s v="구독형"/>
    <d v="2025-03-24T00:00:00"/>
    <d v="2025-03-24T00:00:00"/>
    <n v="965.49800000000005"/>
    <s v="리스"/>
    <n v="0"/>
    <n v="0"/>
    <n v="0"/>
    <n v="0"/>
    <n v="0"/>
    <n v="0"/>
    <n v="965.49800000000005"/>
    <n v="0"/>
    <n v="0"/>
    <n v="0"/>
    <n v="0"/>
    <n v="0"/>
    <n v="0"/>
    <n v="0"/>
    <n v="0"/>
    <n v="0"/>
    <n v="0"/>
    <n v="965.49800000000005"/>
    <n v="0"/>
    <n v="0"/>
    <n v="0"/>
    <n v="0"/>
    <n v="0"/>
    <n v="0"/>
    <n v="0"/>
    <n v="0"/>
    <n v="0"/>
    <n v="0"/>
    <n v="0"/>
    <n v="0"/>
    <n v="0"/>
    <n v="0"/>
    <n v="0"/>
    <n v="0"/>
    <m/>
    <s v=""/>
    <n v="965.49800000000005"/>
    <n v="965.49800000000005"/>
    <n v="1"/>
    <n v="1"/>
  </r>
  <r>
    <s v="법인"/>
    <n v="2218203051"/>
    <x v="52"/>
    <x v="52"/>
    <s v="구축형"/>
    <m/>
    <d v="2024-11-30T00:00:00"/>
    <n v="240"/>
    <s v="3개월"/>
    <n v="240"/>
    <n v="0"/>
    <n v="0"/>
    <n v="0"/>
    <n v="0"/>
    <n v="0"/>
    <n v="0"/>
    <n v="24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240"/>
    <n v="240"/>
    <n v="1"/>
    <n v="1"/>
  </r>
  <r>
    <s v="-"/>
    <n v="2249099037"/>
    <x v="53"/>
    <x v="53"/>
    <s v="구독형"/>
    <d v="2025-04-30T00:00:00"/>
    <d v="2025-04-30T00:00:00"/>
    <n v="98.144999999999996"/>
    <s v="30일"/>
    <n v="0"/>
    <n v="0"/>
    <n v="0"/>
    <n v="0"/>
    <n v="0"/>
    <n v="0"/>
    <n v="0"/>
    <n v="0"/>
    <n v="0"/>
    <n v="0"/>
    <n v="98.144999999999996"/>
    <n v="0"/>
    <n v="0"/>
    <n v="0"/>
    <n v="0"/>
    <n v="0"/>
    <n v="0"/>
    <n v="98.144999999999996"/>
    <n v="0"/>
    <n v="0"/>
    <n v="0"/>
    <n v="0"/>
    <n v="0"/>
    <n v="0"/>
    <n v="0"/>
    <n v="0"/>
    <n v="0"/>
    <n v="0"/>
    <n v="0"/>
    <n v="0"/>
    <n v="0"/>
    <n v="0"/>
    <n v="0"/>
    <n v="0"/>
    <m/>
    <s v=""/>
    <n v="98.144999999999996"/>
    <n v="98.144999999999996"/>
    <n v="1"/>
    <n v="1"/>
  </r>
  <r>
    <s v="법인"/>
    <n v="2268204297"/>
    <x v="54"/>
    <x v="54"/>
    <s v="구축형"/>
    <d v="2025-01-20T00:00:00"/>
    <d v="2024-12-31T00:00:00"/>
    <n v="198"/>
    <n v="0"/>
    <n v="0"/>
    <n v="0"/>
    <n v="198"/>
    <n v="0"/>
    <n v="0"/>
    <n v="0"/>
    <n v="0"/>
    <n v="198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98"/>
    <n v="198"/>
    <n v="1"/>
    <n v="1"/>
  </r>
  <r>
    <s v="법인"/>
    <n v="2818200245"/>
    <x v="55"/>
    <x v="55"/>
    <s v="구독형"/>
    <d v="2025-05-26T00:00:00"/>
    <d v="2025-07-07T00:00:00"/>
    <n v="531.95799999999997"/>
    <s v="리스"/>
    <n v="0"/>
    <n v="0"/>
    <n v="0"/>
    <n v="0"/>
    <n v="0"/>
    <n v="0"/>
    <n v="0"/>
    <n v="0"/>
    <n v="0"/>
    <n v="0"/>
    <n v="0"/>
    <n v="0"/>
    <n v="0"/>
    <n v="0"/>
    <n v="312.12599999999998"/>
    <n v="0"/>
    <n v="0"/>
    <n v="0"/>
    <n v="0"/>
    <n v="312.12599999999998"/>
    <n v="0"/>
    <n v="0"/>
    <n v="0"/>
    <n v="0"/>
    <n v="0"/>
    <n v="0"/>
    <n v="0"/>
    <n v="0"/>
    <n v="0"/>
    <n v="0"/>
    <n v="0"/>
    <n v="0"/>
    <n v="0"/>
    <n v="0"/>
    <m/>
    <s v=""/>
    <n v="312.12599999999998"/>
    <n v="312.12599999999998"/>
    <n v="1"/>
    <n v="0.58674932983431016"/>
  </r>
  <r>
    <s v="-"/>
    <n v="3129153766"/>
    <x v="56"/>
    <x v="56"/>
    <s v="구독형"/>
    <d v="2025-01-24T00:00:00"/>
    <d v="2025-01-24T00:00:00"/>
    <n v="194.90299999999999"/>
    <s v="합의된 기한 내"/>
    <n v="0"/>
    <n v="0"/>
    <n v="194.90299999999999"/>
    <n v="0"/>
    <n v="0"/>
    <n v="0"/>
    <n v="0"/>
    <n v="194.9029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94.90299999999999"/>
    <n v="194.90299999999999"/>
    <n v="1"/>
    <n v="1"/>
  </r>
  <r>
    <s v="-"/>
    <n v="3449500361"/>
    <x v="57"/>
    <x v="57"/>
    <s v="구독형"/>
    <d v="2025-05-20T00:00:00"/>
    <d v="2025-05-20T00:00:00"/>
    <n v="146.643"/>
    <s v="리스"/>
    <n v="0"/>
    <n v="0"/>
    <n v="0"/>
    <n v="0"/>
    <n v="0"/>
    <n v="0"/>
    <n v="0"/>
    <n v="0"/>
    <n v="0"/>
    <n v="0"/>
    <n v="146.643"/>
    <n v="0"/>
    <n v="0"/>
    <n v="0"/>
    <n v="0"/>
    <n v="0"/>
    <n v="0"/>
    <n v="146.643"/>
    <n v="0"/>
    <n v="0"/>
    <n v="0"/>
    <n v="0"/>
    <n v="0"/>
    <n v="0"/>
    <n v="0"/>
    <n v="0"/>
    <n v="0"/>
    <n v="0"/>
    <n v="0"/>
    <n v="0"/>
    <n v="0"/>
    <n v="0"/>
    <n v="0"/>
    <n v="0"/>
    <m/>
    <s v=""/>
    <n v="146.643"/>
    <n v="146.643"/>
    <n v="1"/>
    <n v="1"/>
  </r>
  <r>
    <s v="법인"/>
    <n v="4038207697"/>
    <x v="58"/>
    <x v="58"/>
    <s v="구독형"/>
    <d v="2025-05-30T00:00:00"/>
    <d v="2025-08-19T00:00:00"/>
    <n v="233.95299999999997"/>
    <s v="리스"/>
    <n v="0"/>
    <n v="0"/>
    <n v="0"/>
    <n v="0"/>
    <n v="0"/>
    <n v="0"/>
    <n v="0"/>
    <n v="0"/>
    <n v="0"/>
    <n v="0"/>
    <n v="0"/>
    <n v="0"/>
    <n v="0"/>
    <n v="0"/>
    <n v="0"/>
    <n v="0"/>
    <n v="233.953"/>
    <n v="0"/>
    <n v="0"/>
    <n v="233.953"/>
    <n v="0"/>
    <n v="0"/>
    <n v="0"/>
    <n v="0"/>
    <n v="0"/>
    <n v="0"/>
    <n v="0"/>
    <n v="0"/>
    <n v="0"/>
    <n v="0"/>
    <n v="0"/>
    <n v="0"/>
    <n v="0"/>
    <n v="0"/>
    <m/>
    <s v=""/>
    <n v="233.953"/>
    <n v="233.953"/>
    <n v="1"/>
    <n v="1.0000000000000002"/>
  </r>
  <r>
    <s v="-"/>
    <n v="4080598358"/>
    <x v="59"/>
    <x v="59"/>
    <s v="분납형"/>
    <d v="2025-03-24T00:00:00"/>
    <d v="2025-03-24T00:00:00"/>
    <n v="100.053"/>
    <s v="30일"/>
    <n v="0"/>
    <n v="0"/>
    <n v="0"/>
    <n v="0"/>
    <n v="0"/>
    <n v="0"/>
    <n v="100.053"/>
    <n v="0"/>
    <n v="0"/>
    <n v="33.299999999999997"/>
    <n v="0"/>
    <n v="33.299999999999997"/>
    <n v="0"/>
    <n v="33.45300000000000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00.053"/>
    <n v="100.053"/>
    <n v="1"/>
    <n v="1"/>
  </r>
  <r>
    <s v="-"/>
    <n v="4092331145"/>
    <x v="60"/>
    <x v="60"/>
    <s v="구축형"/>
    <d v="2025-10-13T00:00:00"/>
    <d v="2025-11-11T00:00:00"/>
    <n v="378.1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78.15"/>
    <n v="0"/>
    <n v="0"/>
    <n v="378.15"/>
    <n v="0"/>
    <n v="0"/>
    <n v="0"/>
    <n v="0"/>
    <n v="0"/>
    <n v="0"/>
    <n v="0"/>
    <n v="0"/>
    <m/>
    <s v=""/>
    <n v="378.15"/>
    <n v="378.15"/>
    <n v="1"/>
    <n v="1"/>
  </r>
  <r>
    <s v="-"/>
    <n v="4099047917"/>
    <x v="61"/>
    <x v="61"/>
    <s v="분납형"/>
    <d v="2025-02-12T00:00:00"/>
    <d v="2025-02-12T00:00:00"/>
    <n v="215.12718999999998"/>
    <s v="30일"/>
    <n v="0"/>
    <n v="0"/>
    <n v="0"/>
    <n v="0"/>
    <n v="215.12719000000001"/>
    <n v="0"/>
    <n v="0"/>
    <n v="72"/>
    <n v="0"/>
    <n v="72"/>
    <n v="0"/>
    <n v="71.12718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215.12719000000001"/>
    <n v="215.12718999999998"/>
    <n v="0.99999999999999989"/>
    <n v="1"/>
  </r>
  <r>
    <s v="-"/>
    <n v="4101186287"/>
    <x v="62"/>
    <x v="62"/>
    <s v="구독형"/>
    <m/>
    <d v="2024-10-31T00:00:00"/>
    <n v="180.57155"/>
    <s v="합의된 기한 내"/>
    <n v="180.57155"/>
    <n v="0"/>
    <n v="0"/>
    <n v="0"/>
    <n v="0"/>
    <n v="180.57155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80.57155"/>
    <n v="180.57155"/>
    <n v="1"/>
    <n v="1"/>
  </r>
  <r>
    <s v="법인"/>
    <n v="4118204274"/>
    <x v="63"/>
    <x v="63"/>
    <s v="분납형"/>
    <d v="2025-04-07T00:00:00"/>
    <d v="2025-04-07T00:00:00"/>
    <n v="170.792"/>
    <s v="30일"/>
    <n v="0"/>
    <n v="0"/>
    <n v="0"/>
    <n v="0"/>
    <n v="0"/>
    <n v="0"/>
    <n v="0"/>
    <n v="0"/>
    <n v="170.792"/>
    <n v="0"/>
    <n v="0"/>
    <n v="56.932000000000002"/>
    <n v="0"/>
    <n v="56.93"/>
    <n v="0"/>
    <n v="56.93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70.792"/>
    <n v="170.792"/>
    <n v="1"/>
    <n v="1"/>
  </r>
  <r>
    <s v="법인"/>
    <n v="4118210102"/>
    <x v="64"/>
    <x v="64"/>
    <s v="구독형"/>
    <m/>
    <d v="2024-09-30T00:00:00"/>
    <n v="140.11969999999999"/>
    <s v="합의된 기한 내"/>
    <n v="140.11969999999999"/>
    <n v="0"/>
    <n v="0"/>
    <n v="0"/>
    <n v="0"/>
    <n v="140.11969999999999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s v=""/>
    <n v="140.11969999999999"/>
    <n v="140.11969999999999"/>
    <n v="1"/>
    <n v="1"/>
  </r>
  <r>
    <s v="법인"/>
    <n v="4158200659"/>
    <x v="65"/>
    <x v="65"/>
    <s v="구축형"/>
    <d v="2025-07-09T00:00:00"/>
    <d v="2025-09-16T00:00:00"/>
    <n v="715.869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15.86900000000003"/>
    <n v="0"/>
    <n v="0"/>
    <n v="0"/>
    <n v="0"/>
    <n v="715.86900000000003"/>
    <n v="0"/>
    <n v="0"/>
    <n v="0"/>
    <n v="0"/>
    <n v="0"/>
    <n v="0"/>
    <n v="0"/>
    <n v="0"/>
    <n v="0"/>
    <n v="0"/>
    <m/>
    <s v=""/>
    <n v="715.86900000000003"/>
    <n v="715.86900000000003"/>
    <n v="1"/>
    <n v="1"/>
  </r>
  <r>
    <s v="법인"/>
    <n v="4178204011"/>
    <x v="66"/>
    <x v="66"/>
    <s v="구독형"/>
    <d v="2025-01-07T00:00:00"/>
    <d v="2025-01-07T00:00:00"/>
    <n v="139.36750000000001"/>
    <s v="30일"/>
    <n v="0"/>
    <n v="0"/>
    <n v="139.36750000000001"/>
    <n v="0"/>
    <n v="0"/>
    <n v="0"/>
    <n v="0"/>
    <n v="0"/>
    <n v="0"/>
    <n v="0"/>
    <n v="0"/>
    <n v="0"/>
    <n v="0"/>
    <n v="79"/>
    <n v="0"/>
    <n v="30.3675"/>
    <n v="0"/>
    <n v="0"/>
    <n v="0"/>
    <n v="30"/>
    <n v="0"/>
    <n v="0"/>
    <n v="0"/>
    <n v="0"/>
    <n v="0"/>
    <n v="0"/>
    <n v="0"/>
    <n v="0"/>
    <n v="0"/>
    <n v="0"/>
    <n v="0"/>
    <n v="0"/>
    <n v="0"/>
    <n v="0"/>
    <m/>
    <s v=""/>
    <n v="139.36750000000001"/>
    <n v="139.36750000000001"/>
    <n v="1"/>
    <n v="1"/>
  </r>
  <r>
    <s v="-"/>
    <n v="6089311526"/>
    <x v="67"/>
    <x v="67"/>
    <s v="구독형"/>
    <d v="2025-05-22T00:00:00"/>
    <d v="2025-05-22T00:00:00"/>
    <n v="73.512999999999991"/>
    <s v="리스"/>
    <n v="0"/>
    <n v="0"/>
    <n v="0"/>
    <n v="0"/>
    <n v="0"/>
    <n v="0"/>
    <n v="0"/>
    <n v="0"/>
    <n v="0"/>
    <n v="0"/>
    <n v="73.513000000000005"/>
    <n v="0"/>
    <n v="0"/>
    <n v="0"/>
    <n v="0"/>
    <n v="0"/>
    <n v="0"/>
    <n v="0"/>
    <n v="0"/>
    <n v="73.513000000000005"/>
    <n v="0"/>
    <n v="0"/>
    <n v="0"/>
    <n v="0"/>
    <n v="0"/>
    <n v="0"/>
    <n v="0"/>
    <n v="0"/>
    <n v="0"/>
    <n v="0"/>
    <n v="0"/>
    <n v="0"/>
    <n v="0"/>
    <n v="0"/>
    <m/>
    <s v=""/>
    <n v="73.513000000000005"/>
    <n v="73.513000000000005"/>
    <n v="1"/>
    <n v="1.0000000000000002"/>
  </r>
  <r>
    <s v="-"/>
    <n v="8039701640"/>
    <x v="68"/>
    <x v="68"/>
    <s v="분납형"/>
    <d v="2025-06-23T00:00:00"/>
    <d v="2025-09-03T00:00:00"/>
    <n v="239"/>
    <s v="30일"/>
    <n v="0"/>
    <n v="0"/>
    <n v="0"/>
    <n v="0"/>
    <n v="0"/>
    <n v="0"/>
    <n v="0"/>
    <n v="0"/>
    <n v="0"/>
    <n v="0"/>
    <n v="0"/>
    <n v="0"/>
    <n v="0"/>
    <n v="0"/>
    <n v="0"/>
    <n v="0"/>
    <n v="239"/>
    <n v="0"/>
    <n v="0"/>
    <n v="80"/>
    <n v="0"/>
    <n v="80"/>
    <n v="0"/>
    <n v="79"/>
    <n v="0"/>
    <n v="0"/>
    <n v="0"/>
    <n v="0"/>
    <n v="0"/>
    <n v="0"/>
    <n v="0"/>
    <n v="0"/>
    <n v="0"/>
    <n v="0"/>
    <m/>
    <s v=""/>
    <n v="239"/>
    <n v="239"/>
    <n v="1"/>
    <n v="1"/>
  </r>
  <r>
    <s v="법인"/>
    <n v="8908701140"/>
    <x v="69"/>
    <x v="69"/>
    <s v="분납형"/>
    <d v="2025-05-27T00:00:00"/>
    <d v="2025-05-27T00:00:00"/>
    <n v="195"/>
    <s v="30일"/>
    <n v="0"/>
    <n v="0"/>
    <n v="0"/>
    <n v="0"/>
    <n v="0"/>
    <n v="0"/>
    <n v="0"/>
    <n v="0"/>
    <n v="0"/>
    <n v="0"/>
    <n v="194.99999970000002"/>
    <n v="0"/>
    <n v="0"/>
    <n v="194.99999970000002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m/>
    <m/>
    <n v="194.99999970000002"/>
    <n v="194.99999970000002"/>
    <n v="1"/>
    <n v="0.99999999846153853"/>
  </r>
  <r>
    <s v="법인"/>
    <n v="8908701140"/>
    <x v="69"/>
    <x v="69"/>
    <s v="구축형"/>
    <d v="2026-01-20T00:00:00"/>
    <d v="2025-05-27T00:00:00"/>
    <n v="24.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4.92"/>
    <n v="0"/>
    <n v="0"/>
    <n v="0"/>
    <m/>
    <n v="24.92"/>
    <n v="24.92"/>
    <n v="24.92"/>
    <n v="1"/>
    <n v="1.0008032128514057"/>
  </r>
  <r>
    <s v="-"/>
    <n v="1189601695"/>
    <x v="70"/>
    <x v="70"/>
    <s v="검사사용량"/>
    <d v="2025-11-14T00:00:00"/>
    <d v="2026-01-13T00:00:00"/>
    <n v="1047.33"/>
    <s v="30일"/>
    <n v="0"/>
    <n v="0"/>
    <n v="0"/>
    <n v="0"/>
    <n v="0"/>
    <n v="0"/>
    <n v="0"/>
    <n v="0"/>
    <n v="0"/>
    <n v="0"/>
    <n v="202.99999940000001"/>
    <n v="0"/>
    <n v="0"/>
    <n v="0"/>
    <n v="0"/>
    <n v="0"/>
    <n v="0"/>
    <n v="0"/>
    <n v="0"/>
    <n v="0"/>
    <n v="0"/>
    <n v="0"/>
    <n v="0"/>
    <n v="0"/>
    <n v="-202.99999940000001"/>
    <n v="0"/>
    <n v="0"/>
    <n v="0"/>
    <n v="1.014"/>
    <n v="0"/>
    <n v="1.2609999999999999"/>
    <n v="1.014"/>
    <n v="4.7450000000000001"/>
    <n v="1.2609999999999999"/>
    <m/>
    <s v=""/>
    <n v="7.0200000000000102"/>
    <n v="2.2749999999999999"/>
    <n v="0.32407407407407357"/>
    <n v="2.17219023612424E-3"/>
  </r>
  <r>
    <s v="법인"/>
    <n v="1258212553"/>
    <x v="71"/>
    <x v="71"/>
    <s v="검사사용량"/>
    <d v="2025-06-19T00:00:00"/>
    <d v="2025-09-09T00:00:00"/>
    <n v="202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69499980000000006"/>
    <n v="0"/>
    <n v="-0.69499980000000006"/>
    <n v="0"/>
    <n v="0"/>
    <n v="0"/>
    <n v="0"/>
    <n v="0"/>
    <n v="0"/>
    <n v="0"/>
    <n v="47.494999999999997"/>
    <n v="0"/>
    <n v="54.941000000000003"/>
    <n v="47.494999999999997"/>
    <m/>
    <s v=""/>
    <n v="102.43600000000001"/>
    <n v="47.494999999999997"/>
    <n v="0.46365535553906823"/>
    <n v="2.345432098765432E-2"/>
  </r>
  <r>
    <s v="법인"/>
    <n v="1328207422"/>
    <x v="72"/>
    <x v="72"/>
    <s v="검사사용량"/>
    <d v="2025-06-24T00:00:00"/>
    <d v="2025-09-30T00:00:00"/>
    <n v="799.9980000000000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1.737000000000002"/>
    <n v="0"/>
    <n v="14.467000000000001"/>
    <n v="41.737000000000002"/>
    <n v="16.103999999999999"/>
    <n v="0"/>
    <n v="22.724"/>
    <n v="0"/>
    <m/>
    <s v=""/>
    <n v="95.031999999999996"/>
    <n v="41.737000000000002"/>
    <n v="0.43918890478996553"/>
    <n v="5.217138042845107E-2"/>
  </r>
  <r>
    <s v="-"/>
    <n v="1139456769"/>
    <x v="73"/>
    <x v="73"/>
    <s v="검사사용량"/>
    <d v="2025-08-01T00:00:00"/>
    <d v="2025-12-09T00:00:00"/>
    <n v="233.627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32"/>
    <n v="0"/>
    <n v="2.6909999999999998"/>
    <n v="0"/>
    <n v="1.6519999999999999"/>
    <n v="4.0110000000000001"/>
    <n v="1.744"/>
    <n v="0"/>
    <m/>
    <s v=""/>
    <n v="7.407"/>
    <n v="4.0110000000000001"/>
    <n v="0.54151478331308223"/>
    <n v="1.716839235191138E-2"/>
  </r>
  <r>
    <s v="법인"/>
    <n v="1408201185"/>
    <x v="74"/>
    <x v="74"/>
    <s v="검사사용량"/>
    <d v="2025-07-15T00:00:00"/>
    <d v="2025-10-14T00:00:00"/>
    <n v="1521.4965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6.6950000000000003"/>
    <n v="0"/>
    <n v="3.0059999999999998"/>
    <n v="6.6950000000000003"/>
    <n v="43.426000000000002"/>
    <n v="0"/>
    <n v="121.774"/>
    <n v="0"/>
    <n v="-17.584999999999997"/>
    <s v=""/>
    <n v="157.316"/>
    <n v="6.6950000000000003"/>
    <n v="4.2557654656868976E-2"/>
    <n v="4.4002730206740542E-3"/>
  </r>
  <r>
    <s v="법인"/>
    <n v="1118202809"/>
    <x v="75"/>
    <x v="75"/>
    <s v="검사사용량"/>
    <d v="2025-09-30T00:00:00"/>
    <d v="2025-11-10T00:00:00"/>
    <n v="1560.011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0.213000000000001"/>
    <n v="0"/>
    <n v="40.579000000000001"/>
    <n v="30.213000000000001"/>
    <n v="35.194000000000003"/>
    <n v="40.579000000000001"/>
    <n v="41.631999999999998"/>
    <n v="35.194000000000003"/>
    <m/>
    <s v=""/>
    <n v="147.61799999999999"/>
    <n v="105.986"/>
    <n v="0.71797477272419363"/>
    <n v="6.7939234045488253E-2"/>
  </r>
  <r>
    <s v="법인"/>
    <n v="1278215707"/>
    <x v="76"/>
    <x v="76"/>
    <s v="검사사용량"/>
    <d v="2025-06-30T00:00:00"/>
    <d v="2025-10-28T00:00:00"/>
    <n v="573.965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"/>
    <n v="0"/>
    <n v="5"/>
    <n v="0"/>
    <n v="5"/>
    <n v="5"/>
    <n v="5"/>
    <n v="5"/>
    <m/>
    <s v=""/>
    <n v="20"/>
    <n v="10"/>
    <n v="0.5"/>
    <n v="1.7422665145087245E-2"/>
  </r>
  <r>
    <s v="-"/>
    <n v="2109203614"/>
    <x v="77"/>
    <x v="77"/>
    <s v="검사사용량"/>
    <d v="2025-07-15T00:00:00"/>
    <d v="2025-11-04T00:00:00"/>
    <n v="886.5303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4.1349999999999998"/>
    <n v="0"/>
    <n v="15.279"/>
    <n v="4.1349999999999998"/>
    <n v="9.7240000000000002"/>
    <n v="15.279"/>
    <n v="9.0530000000000008"/>
    <n v="9.7240000000000002"/>
    <m/>
    <s v=""/>
    <n v="38.191000000000003"/>
    <n v="29.138000000000002"/>
    <n v="0.76295462281689408"/>
    <n v="3.2867457224253112E-2"/>
  </r>
  <r>
    <s v="법인"/>
    <n v="2248207134"/>
    <x v="78"/>
    <x v="78"/>
    <s v="검사사용량"/>
    <d v="2025-07-21T00:00:00"/>
    <d v="2025-11-11T00:00:00"/>
    <n v="572.9479999999999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7360000000000002"/>
    <n v="0"/>
    <n v="18.061"/>
    <n v="2.7360000000000002"/>
    <n v="17.876000000000001"/>
    <n v="0"/>
    <n v="18.84"/>
    <n v="35.936999999999998"/>
    <m/>
    <s v=""/>
    <n v="57.513000000000005"/>
    <n v="38.672999999999995"/>
    <n v="0.67242188722549667"/>
    <n v="6.7498272094500711E-2"/>
  </r>
  <r>
    <s v="-"/>
    <n v="2649600117"/>
    <x v="79"/>
    <x v="79"/>
    <s v="검사사용량"/>
    <d v="2025-09-30T00:00:00"/>
    <d v="2025-12-01T00:00:00"/>
    <n v="543.904933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0550000000000002"/>
    <n v="0"/>
    <n v="12.194000000000001"/>
    <n v="0"/>
    <n v="10.061999999999999"/>
    <n v="15.249000000000001"/>
    <n v="15.743"/>
    <n v="10.061999999999999"/>
    <m/>
    <s v=""/>
    <n v="41.054000000000002"/>
    <n v="25.311"/>
    <n v="0.61652944901836604"/>
    <n v="4.6535705900648629E-2"/>
  </r>
  <r>
    <s v="법인"/>
    <n v="3088207903"/>
    <x v="80"/>
    <x v="80"/>
    <s v="검사사용량"/>
    <d v="2025-08-12T00:00:00"/>
    <d v="2025-11-25T00:00:00"/>
    <n v="283.312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.12"/>
    <n v="0"/>
    <n v="4.9139999999999997"/>
    <n v="3.12"/>
    <n v="3.2759999999999998"/>
    <n v="4.9139999999999997"/>
    <n v="4.7190000000000003"/>
    <n v="3.2759999999999998"/>
    <m/>
    <s v=""/>
    <n v="16.029"/>
    <n v="11.309999999999999"/>
    <n v="0.70559610705596099"/>
    <n v="3.9920652849155698E-2"/>
  </r>
  <r>
    <s v="-"/>
    <n v="3119602309"/>
    <x v="81"/>
    <x v="81"/>
    <s v="검사사용량"/>
    <d v="2025-08-01T00:00:00"/>
    <d v="2025-11-18T00:00:00"/>
    <n v="1714.734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.89400000000000002"/>
    <n v="0"/>
    <n v="14.4"/>
    <n v="0"/>
    <n v="24.294"/>
    <n v="0.89400000000000002"/>
    <n v="59.082000000000001"/>
    <n v="6.6989999999999998"/>
    <m/>
    <s v=""/>
    <n v="98.67"/>
    <n v="7.593"/>
    <n v="7.6953481301307386E-2"/>
    <n v="4.4280894715509975E-3"/>
  </r>
  <r>
    <s v="-"/>
    <n v="4109607163"/>
    <x v="82"/>
    <x v="82"/>
    <s v="검사사용량"/>
    <d v="2025-09-23T00:00:00"/>
    <d v="2025-11-25T00:00:00"/>
    <n v="541.9800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5.3550000000000004"/>
    <n v="0"/>
    <n v="8.1210000000000004"/>
    <n v="5.3550000000000004"/>
    <n v="10.372"/>
    <n v="8.1210000000000004"/>
    <n v="6.1120000000000001"/>
    <n v="10.372"/>
    <m/>
    <s v=""/>
    <n v="29.96"/>
    <n v="23.847999999999999"/>
    <n v="0.79599465954606141"/>
    <n v="4.4001615557471577E-2"/>
  </r>
  <r>
    <s v="-"/>
    <n v="4160973375"/>
    <x v="83"/>
    <x v="83"/>
    <s v="검사사용량"/>
    <d v="2025-07-23T00:00:00"/>
    <d v="2025-11-11T00:00:00"/>
    <n v="347.39400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0.291"/>
    <n v="0"/>
    <n v="11.637"/>
    <n v="0"/>
    <n v="7.1970000000000001"/>
    <n v="0"/>
    <n v="9.1950000000000003"/>
    <n v="10.291"/>
    <m/>
    <s v=""/>
    <n v="38.32"/>
    <n v="10.291"/>
    <n v="0.2685542797494781"/>
    <n v="2.9623424699332747E-2"/>
  </r>
  <r>
    <s v="법인"/>
    <n v="4238200140"/>
    <x v="84"/>
    <x v="84"/>
    <s v="검사사용량"/>
    <d v="2025-08-12T00:00:00"/>
    <d v="2025-11-18T00:00:00"/>
    <n v="2157.0328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9380000000000002"/>
    <n v="0"/>
    <n v="19.297999999999998"/>
    <n v="0"/>
    <n v="14.372"/>
    <n v="0"/>
    <n v="0"/>
    <n v="22.236000000000001"/>
    <m/>
    <s v=""/>
    <n v="36.607999999999997"/>
    <n v="22.236000000000001"/>
    <n v="0.60740821678321688"/>
    <n v="1.0308605413881514E-2"/>
  </r>
  <r>
    <s v="-"/>
    <n v="6109097133"/>
    <x v="85"/>
    <x v="85"/>
    <s v="검사사용량"/>
    <d v="2025-08-22T00:00:00"/>
    <d v="2025-11-25T00:00:00"/>
    <n v="255.91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7.234"/>
    <n v="0"/>
    <n v="7.1440000000000001"/>
    <n v="7.234"/>
    <n v="6.4640000000000004"/>
    <n v="7.1440000000000001"/>
    <n v="8.2759999999999998"/>
    <n v="6.4640000000000004"/>
    <m/>
    <s v=""/>
    <n v="29.117999999999999"/>
    <n v="20.841999999999999"/>
    <n v="0.71577718249879796"/>
    <n v="8.1440467026418717E-2"/>
  </r>
  <r>
    <s v="법인"/>
    <n v="6108205190"/>
    <x v="86"/>
    <x v="86"/>
    <s v="검사사용량"/>
    <d v="2025-09-04T00:00:00"/>
    <d v="2025-11-24T00:00:00"/>
    <n v="995.7934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1.76"/>
    <n v="0"/>
    <n v="14.08"/>
    <n v="11.76"/>
    <n v="12.512"/>
    <n v="0"/>
    <n v="38.415999999999997"/>
    <n v="12.512"/>
    <m/>
    <n v="12.512"/>
    <n v="76.768000000000001"/>
    <n v="36.783999999999999"/>
    <n v="0.47915798249270525"/>
    <n v="3.6939385525211803E-2"/>
  </r>
  <r>
    <s v="-"/>
    <n v="6129235248"/>
    <x v="87"/>
    <x v="87"/>
    <s v="검사사용량"/>
    <d v="2025-09-24T00:00:00"/>
    <d v="2025-11-10T00:00:00"/>
    <n v="803.4379999999999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.004"/>
    <n v="0"/>
    <n v="1.032"/>
    <n v="0"/>
    <n v="5.3219999999999992"/>
    <n v="3.036"/>
    <n v="0"/>
    <n v="5.3220000000000001"/>
    <m/>
    <s v=""/>
    <n v="8.3579999999999988"/>
    <n v="8.3580000000000005"/>
    <n v="1.0000000000000002"/>
    <n v="1.0402793992815875E-2"/>
  </r>
  <r>
    <s v="-"/>
    <n v="6159083712"/>
    <x v="88"/>
    <x v="88"/>
    <s v="검사사용량"/>
    <d v="2025-09-30T00:00:00"/>
    <d v="2025-11-17T00:00:00"/>
    <n v="567.79060000000004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4239999999999999"/>
    <n v="0"/>
    <n v="1.1519999999999999"/>
    <n v="0"/>
    <n v="1.264"/>
    <n v="1.4239999999999999"/>
    <n v="1.216"/>
    <n v="1.1519999999999999"/>
    <m/>
    <s v=""/>
    <n v="5.056"/>
    <n v="2.5759999999999996"/>
    <n v="0.50949367088607589"/>
    <n v="4.5368838441495855E-3"/>
  </r>
  <r>
    <s v="법인"/>
    <n v="5058204846"/>
    <x v="89"/>
    <x v="89"/>
    <s v="검사사용량"/>
    <d v="2025-08-13T00:00:00"/>
    <d v="2025-11-25T00:00:00"/>
    <n v="852.24400000000003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5.472"/>
    <n v="0"/>
    <n v="42.16"/>
    <n v="0"/>
    <n v="39.152000000000001"/>
    <n v="15.472"/>
    <n v="0"/>
    <n v="0"/>
    <m/>
    <s v=""/>
    <n v="96.783999999999992"/>
    <n v="15.472"/>
    <n v="0.1598611340717474"/>
    <n v="1.8154425258494044E-2"/>
  </r>
  <r>
    <s v="법인"/>
    <n v="7368200013"/>
    <x v="90"/>
    <x v="90"/>
    <s v="구독형"/>
    <d v="2025-10-31T00:00:00"/>
    <d v="2026-01-06T00:00:00"/>
    <n v="196.23956000000001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96.23955999999998"/>
    <n v="0"/>
    <n v="0"/>
    <n v="0"/>
    <n v="0"/>
    <n v="0"/>
    <n v="0"/>
    <n v="0"/>
    <m/>
    <s v=""/>
    <n v="196.23955999999998"/>
    <n v="0"/>
    <n v="0"/>
    <n v="0"/>
  </r>
  <r>
    <s v="법인"/>
    <n v="7158200205"/>
    <x v="91"/>
    <x v="91"/>
    <s v="검사사용량"/>
    <d v="2025-11-06T00:00:00"/>
    <d v="2025-11-17T00:00:00"/>
    <n v="1171.729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33.488"/>
    <n v="0"/>
    <n v="32.008000000000003"/>
    <n v="33.488"/>
    <n v="25.7"/>
    <n v="32.008000000000003"/>
    <n v="37.501199999999997"/>
    <n v="25.7"/>
    <m/>
    <s v=""/>
    <n v="128.69720000000001"/>
    <n v="91.196000000000012"/>
    <n v="0.7086090451074305"/>
    <n v="7.7830283282226534E-2"/>
  </r>
  <r>
    <s v="법인"/>
    <n v="3348200383"/>
    <x v="92"/>
    <x v="92"/>
    <s v="구독형"/>
    <d v="2025-10-31T00:00:00"/>
    <d v="2026-01-06T00:00:00"/>
    <n v="252.0217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252.02177"/>
    <n v="0"/>
    <n v="0"/>
    <n v="0"/>
    <n v="0"/>
    <n v="0"/>
    <n v="0"/>
    <n v="0"/>
    <m/>
    <s v=""/>
    <n v="252.02177"/>
    <n v="0"/>
    <n v="0"/>
    <n v="0"/>
  </r>
  <r>
    <s v="-"/>
    <n v="3639300316"/>
    <x v="93"/>
    <x v="93"/>
    <s v="검사사용량"/>
    <d v="2025-10-31T00:00:00"/>
    <d v="2025-12-16T00:00:00"/>
    <n v="739.47429999999997"/>
    <s v="30일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0"/>
    <n v="1.2869999999999999"/>
    <n v="0"/>
    <n v="12.363"/>
    <n v="0"/>
    <n v="16.678999999999998"/>
    <n v="13.65"/>
    <n v="21.670999999999999"/>
    <n v="16.678999999999998"/>
    <m/>
    <s v=""/>
    <n v="52"/>
    <n v="30.329000000000001"/>
    <n v="0.58325000000000005"/>
    <n v="4.1014271895588532E-2"/>
  </r>
  <r>
    <s v="법인"/>
    <n v="1358216196"/>
    <x v="94"/>
    <x v="94"/>
    <s v="검사사용량"/>
    <d v="2025-12-15T00:00:00"/>
    <d v="2026-02-03T00:00:00"/>
    <n v="329.17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329.16999999999996"/>
    <n v="0"/>
    <n v="0"/>
    <n v="0"/>
    <n v="0"/>
    <n v="0"/>
    <m/>
    <n v="329.17"/>
    <n v="329.16999999999996"/>
    <n v="329.17"/>
    <n v="1.0000000000000002"/>
    <n v="1"/>
  </r>
  <r>
    <s v="법인"/>
    <n v="1298204787"/>
    <x v="95"/>
    <x v="95"/>
    <s v="검사사용량"/>
    <d v="2025-08-14T00:00:00"/>
    <d v="2025-10-14T00:00:00"/>
    <n v="2054.0659999999998"/>
    <s v="30일"/>
    <m/>
    <m/>
    <m/>
    <m/>
    <m/>
    <m/>
    <m/>
    <m/>
    <m/>
    <m/>
    <m/>
    <m/>
    <m/>
    <m/>
    <m/>
    <m/>
    <m/>
    <m/>
    <m/>
    <m/>
    <m/>
    <m/>
    <m/>
    <m/>
    <m/>
    <m/>
    <n v="69.818169999999995"/>
    <n v="0"/>
    <n v="53.531052000000003"/>
    <n v="69.818169999999995"/>
    <n v="69.865391000000002"/>
    <n v="53.531052000000003"/>
    <n v="69.563040000000001"/>
    <n v="69.865391000000002"/>
    <m/>
    <s v=""/>
    <n v="262.77765299999999"/>
    <n v="193.21461299999999"/>
    <n v="0.73527794618060616"/>
    <n v="9.4064461901418941E-2"/>
  </r>
  <r>
    <s v="-"/>
    <n v="5061723853"/>
    <x v="96"/>
    <x v="96"/>
    <s v="검사사용량"/>
    <d v="2025-09-30T00:00:00"/>
    <d v="2025-12-09T00:00:00"/>
    <n v="961.95799999999997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6.79"/>
    <n v="0"/>
    <n v="28.747"/>
    <n v="26.79"/>
    <n v="28.603000000000002"/>
    <n v="28.747"/>
    <m/>
    <s v=""/>
    <n v="84.14"/>
    <n v="55.536999999999999"/>
    <n v="0.66005467078678393"/>
    <n v="5.7733289810989671E-2"/>
  </r>
  <r>
    <s v="법인"/>
    <n v="1288206410"/>
    <x v="97"/>
    <x v="97"/>
    <s v="구축형"/>
    <d v="2026-02-20T00:00:00"/>
    <d v="2026-02-19T00:00:00"/>
    <n v="11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6.15"/>
    <n v="0"/>
    <n v="88.85"/>
    <n v="0"/>
    <n v="0"/>
    <n v="0"/>
    <m/>
    <s v=""/>
    <n v="115"/>
    <n v="0"/>
    <n v="0"/>
    <n v="0"/>
  </r>
  <r>
    <s v="법인"/>
    <n v="6058204243"/>
    <x v="98"/>
    <x v="98"/>
    <s v="검사사용량"/>
    <d v="2025-09-05T00:00:00"/>
    <d v="2025-11-18T00:00:00"/>
    <n v="2143.8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9.4730000000000008"/>
    <n v="0"/>
    <n v="8.2089999999999996"/>
    <n v="0"/>
    <n v="14.536"/>
    <n v="9.4730000000000008"/>
    <m/>
    <s v=""/>
    <n v="32.218000000000004"/>
    <n v="9.4730000000000008"/>
    <n v="0.29402818300329009"/>
    <n v="4.4186035664143227E-3"/>
  </r>
  <r>
    <s v="-"/>
    <n v="4109207035"/>
    <x v="99"/>
    <x v="99"/>
    <s v="검사사용량"/>
    <d v="2025-09-11T00:00:00"/>
    <d v="2025-12-15T00:00:00"/>
    <n v="1096.462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5.984"/>
    <n v="0"/>
    <n v="25.181999999999999"/>
    <n v="0"/>
    <n v="24.911999999999999"/>
    <n v="15.984"/>
    <m/>
    <n v="25.181999999999999"/>
    <n v="66.078000000000003"/>
    <n v="41.165999999999997"/>
    <n v="0.62299101062380813"/>
    <n v="3.7544361966100261E-2"/>
  </r>
  <r>
    <s v="-"/>
    <n v="4099164290"/>
    <x v="100"/>
    <x v="100"/>
    <s v="검사사용량"/>
    <d v="2025-09-11T00:00:00"/>
    <d v="2025-12-15T00:00:00"/>
    <n v="1553.1581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5.3120000000000003"/>
    <n v="0"/>
    <n v="21.216000000000001"/>
    <n v="0"/>
    <n v="24.24"/>
    <n v="26.527999999999999"/>
    <m/>
    <s v=""/>
    <n v="50.768000000000001"/>
    <n v="26.527999999999999"/>
    <n v="0.52253387960920261"/>
    <n v="1.7080038406907833E-2"/>
  </r>
  <r>
    <s v="법인"/>
    <n v="1228230509"/>
    <x v="101"/>
    <x v="101"/>
    <s v="검사사용량"/>
    <d v="2025-08-11T00:00:00"/>
    <d v="2025-11-18T00:00:00"/>
    <n v="420.2219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3.91"/>
    <n v="0"/>
    <n v="2.3530000000000002"/>
    <n v="3.919"/>
    <n v="7.4669999999999996"/>
    <n v="2.3439999999999999"/>
    <m/>
    <s v=""/>
    <n v="13.73"/>
    <n v="6.2629999999999999"/>
    <n v="0.45615440640932264"/>
    <n v="1.4904026919104665E-2"/>
  </r>
  <r>
    <s v="-"/>
    <n v="3052995077"/>
    <x v="102"/>
    <x v="102"/>
    <s v="검사사용량"/>
    <d v="2025-09-16T00:00:00"/>
    <d v="2025-11-25T00:00:00"/>
    <n v="513.9107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2.3140000000000001"/>
    <n v="0"/>
    <n v="3.6269999999999998"/>
    <n v="0"/>
    <n v="4.3940000000000001"/>
    <n v="3.6269999999999998"/>
    <m/>
    <s v=""/>
    <n v="10.335000000000001"/>
    <n v="3.6269999999999998"/>
    <n v="0.35094339622641502"/>
    <n v="7.0576450232219283E-3"/>
  </r>
  <r>
    <s v="-"/>
    <n v="1469901371"/>
    <x v="103"/>
    <x v="103"/>
    <s v="검사사용량"/>
    <d v="2025-11-28T00:00:00"/>
    <d v="2025-12-12T00:00:00"/>
    <n v="330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.984"/>
    <n v="0"/>
    <n v="3.6320000000000001"/>
    <n v="0"/>
    <n v="4.6559999999999997"/>
    <n v="0"/>
    <m/>
    <s v=""/>
    <n v="10.271999999999998"/>
    <n v="0"/>
    <n v="0"/>
    <n v="0"/>
  </r>
  <r>
    <s v="-"/>
    <n v="4102672846"/>
    <x v="104"/>
    <x v="104"/>
    <s v="검사사용량"/>
    <d v="2025-11-07T00:00:00"/>
    <d v="2026-01-06T00:00:00"/>
    <n v="249.2369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1.353"/>
    <n v="0"/>
    <n v="5.7949999999999999"/>
    <n v="0"/>
    <n v="6.9370000000000003"/>
    <n v="1.353"/>
    <m/>
    <s v=""/>
    <n v="14.085000000000001"/>
    <n v="1.353"/>
    <n v="9.6059637912673052E-2"/>
    <n v="5.4285679895039662E-3"/>
  </r>
  <r>
    <s v="-"/>
    <n v="6091320031"/>
    <x v="105"/>
    <x v="105"/>
    <s v="검사사용량"/>
    <d v="2025-09-24T00:00:00"/>
    <d v="2025-11-03T00:00:00"/>
    <n v="354.88310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.96"/>
    <n v="0"/>
    <n v="2.2400000000000002"/>
    <n v="0.96"/>
    <n v="3.36"/>
    <n v="2.2400000000000002"/>
    <m/>
    <s v=""/>
    <n v="6.5600000000000005"/>
    <n v="3.2"/>
    <n v="0.48780487804878048"/>
    <n v="9.0170537847533462E-3"/>
  </r>
  <r>
    <s v="법인"/>
    <n v="2088201633"/>
    <x v="106"/>
    <x v="106"/>
    <s v="검사사용량"/>
    <d v="2025-10-29T00:00:00"/>
    <d v="2025-11-14T00:00:00"/>
    <n v="1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.4420000000000002"/>
    <n v="0"/>
    <n v="2.145"/>
    <n v="0"/>
    <m/>
    <n v="2.4420000000000002"/>
    <n v="4.5869999999999997"/>
    <n v="2.4420000000000002"/>
    <n v="0.53237410071942448"/>
    <n v="1.2333333333333335E-2"/>
  </r>
  <r>
    <s v="-"/>
    <n v="6179208917"/>
    <x v="107"/>
    <x v="107"/>
    <s v="검사사용량"/>
    <d v="2025-11-28T00:00:00"/>
    <d v="2026-01-13T00:00:00"/>
    <n v="983.7591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8.9440000000000008"/>
    <n v="0"/>
    <n v="16.132999999999999"/>
    <n v="8.9440000000000008"/>
    <m/>
    <s v=""/>
    <n v="25.076999999999998"/>
    <n v="8.9440000000000008"/>
    <n v="0.3566614826334889"/>
    <n v="9.0916563174193235E-3"/>
  </r>
  <r>
    <s v="-"/>
    <n v="2249051334"/>
    <x v="108"/>
    <x v="108"/>
    <s v="검사사용량"/>
    <d v="2025-12-17T00:00:00"/>
    <d v="2026-02-10T00:00:00"/>
    <n v="287.374000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94699999999999995"/>
    <n v="0"/>
    <n v="2.258"/>
    <n v="0.94699999999999995"/>
    <m/>
    <s v=""/>
    <n v="3.2050000000000001"/>
    <n v="0.94699999999999995"/>
    <n v="0.29547581903276127"/>
    <n v="3.2953572696207724E-3"/>
  </r>
  <r>
    <s v="-"/>
    <n v="4159055955"/>
    <x v="109"/>
    <x v="109"/>
    <s v="검사사용량"/>
    <d v="2025-11-19T00:00:00"/>
    <d v="2026-01-20T00:00:00"/>
    <n v="516.3181929999999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6.9980000000000002"/>
    <n v="0"/>
    <n v="10.976000000000001"/>
    <n v="0"/>
    <m/>
    <s v=""/>
    <n v="17.974"/>
    <n v="0"/>
    <n v="0"/>
    <n v="0"/>
  </r>
  <r>
    <s v="법인"/>
    <n v="1228213795"/>
    <x v="110"/>
    <x v="110"/>
    <s v="검사사용량"/>
    <d v="2025-11-24T00:00:00"/>
    <d v="2026-01-20T00:00:00"/>
    <n v="1502.824646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67600000000000005"/>
    <n v="0"/>
    <n v="11.856"/>
    <n v="0.67600000000000005"/>
    <m/>
    <s v=""/>
    <n v="12.532"/>
    <n v="0.67600000000000005"/>
    <n v="5.3941908713692949E-2"/>
    <n v="4.4981961255378565E-4"/>
  </r>
  <r>
    <s v="법인"/>
    <n v="1308213383"/>
    <x v="111"/>
    <x v="111"/>
    <s v="검사사용량"/>
    <d v="2025-11-11T00:00:00"/>
    <d v="2026-01-13T00:00:00"/>
    <n v="490.977500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3.904"/>
    <n v="0"/>
    <n v="17.28"/>
    <n v="0"/>
    <m/>
    <s v=""/>
    <n v="31.184000000000001"/>
    <n v="0"/>
    <n v="0"/>
    <n v="0"/>
  </r>
  <r>
    <s v="법인"/>
    <n v="1348207603"/>
    <x v="112"/>
    <x v="112"/>
    <s v="검사사용량"/>
    <d v="2025-12-16T00:00:00"/>
    <d v="2025-12-29T00:00:00"/>
    <n v="1621.2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7.7064000000000004"/>
    <n v="0"/>
    <n v="14.976000000000001"/>
    <n v="0"/>
    <m/>
    <s v=""/>
    <n v="22.682400000000001"/>
    <n v="0"/>
    <n v="0"/>
    <n v="0"/>
  </r>
  <r>
    <s v="법인"/>
    <n v="1378209745"/>
    <x v="113"/>
    <x v="113"/>
    <s v="검사사용량"/>
    <d v="2025-12-18T00:00:00"/>
    <d v="2026-01-20T00:00:00"/>
    <n v="94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0.593999999999999"/>
    <n v="0"/>
    <n v="25.524999999999999"/>
    <n v="10.593999999999999"/>
    <m/>
    <s v=""/>
    <n v="36.119"/>
    <n v="10.593999999999999"/>
    <n v="0.29330823112489268"/>
    <n v="1.1163329820864067E-2"/>
  </r>
  <r>
    <s v="법인"/>
    <n v="1398200376"/>
    <x v="114"/>
    <x v="114"/>
    <s v="구축형"/>
    <d v="2025-11-27T00:00:00"/>
    <d v="2026-01-20T00:00:00"/>
    <n v="99.88200000000000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99.881999999999991"/>
    <n v="0"/>
    <n v="0"/>
    <n v="0"/>
    <n v="-99.368499999999997"/>
    <s v=""/>
    <n v="0.51349999999999341"/>
    <n v="0"/>
    <n v="0"/>
    <n v="0"/>
  </r>
  <r>
    <s v="법인"/>
    <n v="2738200017"/>
    <x v="115"/>
    <x v="115"/>
    <s v="검사사용량"/>
    <d v="2025-08-26T00:00:00"/>
    <d v="2025-12-09T00:00:00"/>
    <n v="1856.60584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9.4710000000000001"/>
    <n v="0"/>
    <n v="22.971"/>
    <n v="0"/>
    <m/>
    <s v=""/>
    <n v="32.442"/>
    <n v="0"/>
    <n v="0"/>
    <n v="0"/>
  </r>
  <r>
    <s v="법인"/>
    <n v="4038202289"/>
    <x v="116"/>
    <x v="116"/>
    <s v="검사사용량"/>
    <d v="2025-08-20T00:00:00"/>
    <d v="2025-12-09T00:00:00"/>
    <n v="1553.17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2.75"/>
    <n v="0"/>
    <n v="36.81"/>
    <n v="0"/>
    <m/>
    <s v=""/>
    <n v="49.56"/>
    <n v="0"/>
    <n v="0"/>
    <n v="0"/>
  </r>
  <r>
    <s v="법인"/>
    <n v="4168211504"/>
    <x v="117"/>
    <x v="117"/>
    <s v="검사사용량"/>
    <d v="2025-09-12T00:00:00"/>
    <d v="2026-01-13T00:00:00"/>
    <n v="659.9769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274"/>
    <n v="0"/>
    <n v="5.7039999999999997"/>
    <n v="1.274"/>
    <m/>
    <s v=""/>
    <n v="6.9779999999999998"/>
    <n v="1.274"/>
    <n v="0.18257380338205789"/>
    <n v="1.9303703007832091E-3"/>
  </r>
  <r>
    <s v="-"/>
    <n v="4189602686"/>
    <x v="118"/>
    <x v="118"/>
    <s v="검사사용량"/>
    <d v="2025-12-04T00:00:00"/>
    <d v="2026-01-27T00:00:00"/>
    <n v="370.809399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93799999999999994"/>
    <n v="0"/>
    <n v="12.186999999999999"/>
    <n v="0"/>
    <m/>
    <s v=""/>
    <n v="13.125"/>
    <n v="0"/>
    <n v="0"/>
    <n v="0"/>
  </r>
  <r>
    <s v="-"/>
    <n v="8839200093"/>
    <x v="119"/>
    <x v="119"/>
    <s v="검사사용량"/>
    <d v="2025-06-30T00:00:00"/>
    <d v="2026-02-10T00:00:00"/>
    <n v="232.14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0629999999999999"/>
    <n v="0"/>
    <n v="2.641"/>
    <n v="1.0629999999999999"/>
    <m/>
    <s v=""/>
    <n v="3.7039999999999997"/>
    <n v="1.0629999999999999"/>
    <n v="0.28698704103671707"/>
    <n v="4.5791332816403898E-3"/>
  </r>
  <r>
    <s v="-"/>
    <n v="6559100341"/>
    <x v="120"/>
    <x v="120"/>
    <s v="검사사용량"/>
    <d v="2025-08-11T00:00:00"/>
    <d v="2025-12-02T00:00:00"/>
    <n v="222.38900000000001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5"/>
    <n v="0"/>
    <n v="1.5"/>
    <n v="0"/>
    <m/>
    <s v=""/>
    <n v="3"/>
    <n v="0"/>
    <n v="0"/>
    <n v="0"/>
  </r>
  <r>
    <s v="법인"/>
    <n v="3048207366"/>
    <x v="121"/>
    <x v="121"/>
    <s v="검사사용량"/>
    <d v="2025-12-03T00:00:00"/>
    <d v="2026-01-27T00:00:00"/>
    <n v="221.83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.6830000000000001"/>
    <n v="0"/>
    <n v="5.4470000000000001"/>
    <n v="0"/>
    <m/>
    <s v=""/>
    <n v="7.13"/>
    <n v="0"/>
    <n v="0"/>
    <n v="0"/>
  </r>
  <r>
    <s v="-"/>
    <n v="5789001589"/>
    <x v="122"/>
    <x v="122"/>
    <s v="검사사용량"/>
    <d v="2025-11-27T00:00:00"/>
    <d v="2026-01-20T00:00:00"/>
    <n v="686.854696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5.4660000000000002"/>
    <n v="0"/>
    <n v="11.948"/>
    <n v="0"/>
    <m/>
    <s v=""/>
    <n v="17.414000000000001"/>
    <n v="0"/>
    <n v="0"/>
    <n v="0"/>
  </r>
  <r>
    <s v="-"/>
    <n v="2999801310"/>
    <x v="123"/>
    <x v="123"/>
    <s v="검사사용량"/>
    <d v="2025-11-24T00:00:00"/>
    <d v="2026-01-20T00:00:00"/>
    <n v="862.13728200000003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0.704000000000001"/>
    <n v="0"/>
    <n v="16.736000000000001"/>
    <n v="10.704000000000001"/>
    <m/>
    <s v=""/>
    <n v="27.44"/>
    <n v="10.704000000000001"/>
    <n v="0.39008746355685131"/>
    <n v="1.241565609501156E-2"/>
  </r>
  <r>
    <s v="법인"/>
    <n v="4098219449"/>
    <x v="124"/>
    <x v="124"/>
    <s v="검사사용량"/>
    <d v="2025-12-09T00:00:00"/>
    <d v="2026-02-03T00:00:00"/>
    <n v="590.11506399999996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.375"/>
    <n v="0"/>
    <n v="5.5659999999999998"/>
    <n v="3.375"/>
    <m/>
    <s v=""/>
    <n v="8.9409999999999989"/>
    <n v="3.375"/>
    <n v="0.37747455541885699"/>
    <n v="5.7192235987387034E-3"/>
  </r>
  <r>
    <s v="-"/>
    <n v="8449201739"/>
    <x v="125"/>
    <x v="125"/>
    <s v="검사사용량"/>
    <d v="2025-12-19T00:00:00"/>
    <d v="2026-02-10T00:00:00"/>
    <n v="710.76787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0.16"/>
    <n v="0"/>
    <n v="14.16"/>
    <n v="0.16"/>
    <m/>
    <n v="14.16"/>
    <n v="14.32"/>
    <n v="14.32"/>
    <n v="1"/>
    <n v="2.0147224577362899E-2"/>
  </r>
  <r>
    <s v="-"/>
    <n v="3839202010"/>
    <x v="126"/>
    <x v="126"/>
    <s v="검사사용량"/>
    <d v="2025-11-18T00:00:00"/>
    <d v="2026-01-14T00:00:00"/>
    <n v="329.70859999999999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.0960000000000001"/>
    <n v="0"/>
    <n v="2.88"/>
    <n v="0"/>
    <m/>
    <s v=""/>
    <n v="4.976"/>
    <n v="0"/>
    <n v="0"/>
    <n v="0"/>
  </r>
  <r>
    <s v="법인"/>
    <n v="7698200425"/>
    <x v="127"/>
    <x v="127"/>
    <s v="검사사용량"/>
    <d v="2025-11-07T00:00:00"/>
    <d v="2026-01-06T00:00:00"/>
    <n v="2254.6824299999998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3.4489999999999998"/>
    <n v="0"/>
    <n v="7.4569999999999999"/>
    <n v="3.4489999999999998"/>
    <m/>
    <s v=""/>
    <n v="10.905999999999999"/>
    <n v="3.4489999999999998"/>
    <n v="0.31624793691545938"/>
    <n v="1.5297054494721016E-3"/>
  </r>
  <r>
    <s v="-"/>
    <n v="3669801736"/>
    <x v="128"/>
    <x v="128"/>
    <s v="검사사용량"/>
    <d v="2025-12-08T00:00:00"/>
    <d v="2026-01-27T00:00:00"/>
    <n v="688.65480200000002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12.128"/>
    <n v="0"/>
    <n v="19.654"/>
    <n v="0"/>
    <m/>
    <s v=""/>
    <n v="31.782"/>
    <n v="0"/>
    <n v="0"/>
    <n v="0"/>
  </r>
  <r>
    <s v="-"/>
    <n v="7339000251"/>
    <x v="129"/>
    <x v="129"/>
    <s v="구축형"/>
    <d v="2026-02-03T00:00:00"/>
    <d v="2026-03-24T00:00:00"/>
    <n v="285"/>
    <s v="30일"/>
    <m/>
    <m/>
    <m/>
    <m/>
    <m/>
    <m/>
    <m/>
    <m/>
    <m/>
    <m/>
    <m/>
    <m/>
    <m/>
    <m/>
    <m/>
    <m/>
    <m/>
    <m/>
    <m/>
    <m/>
    <m/>
    <m/>
    <m/>
    <m/>
    <m/>
    <m/>
    <n v="0"/>
    <n v="0"/>
    <n v="0"/>
    <n v="0"/>
    <n v="285"/>
    <n v="0"/>
    <n v="0"/>
    <n v="0"/>
    <m/>
    <s v=""/>
    <n v="285"/>
    <n v="0"/>
    <n v="0"/>
    <n v="0"/>
  </r>
  <r>
    <s v="-"/>
    <n v="1179601595"/>
    <x v="130"/>
    <x v="130"/>
    <s v="사용량"/>
    <d v="2025-12-22T00:00:00"/>
    <d v="2026-02-10T00:00:00"/>
    <n v="232.33699999999999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.1820000000000004"/>
    <n v="0"/>
    <m/>
    <s v=""/>
    <n v="5.1820000000000004"/>
    <n v="0"/>
    <n v="0"/>
    <n v="0"/>
  </r>
  <r>
    <s v="-"/>
    <n v="1219210232"/>
    <x v="131"/>
    <x v="131"/>
    <s v="사용량"/>
    <d v="2025-12-17T00:00:00"/>
    <d v="2026-02-10T00:00:00"/>
    <n v="435.15855699999997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.528"/>
    <n v="0"/>
    <m/>
    <s v=""/>
    <n v="2.528"/>
    <n v="0"/>
    <n v="0"/>
    <n v="0"/>
  </r>
  <r>
    <s v="-"/>
    <n v="1308202173"/>
    <x v="132"/>
    <x v="132"/>
    <s v="사용량"/>
    <d v="2025-12-19T00:00:00"/>
    <d v="2026-03-06T00:00:00"/>
    <n v="2445.0254660000001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50.61"/>
    <n v="0"/>
    <m/>
    <s v=""/>
    <n v="50.61"/>
    <n v="0"/>
    <n v="0"/>
    <n v="0"/>
  </r>
  <r>
    <s v="-"/>
    <n v="4028200712"/>
    <x v="133"/>
    <x v="133"/>
    <s v="사용량"/>
    <d v="2025-12-16T00:00:00"/>
    <d v="2026-02-03T00:00:00"/>
    <n v="1799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27.908999999999999"/>
    <n v="0"/>
    <m/>
    <s v=""/>
    <n v="27.908999999999999"/>
    <n v="0"/>
    <n v="0"/>
    <n v="0"/>
  </r>
  <r>
    <s v="-"/>
    <n v="3069899368"/>
    <x v="134"/>
    <x v="134"/>
    <s v="사용량"/>
    <d v="2025-10-27T00:00:00"/>
    <d v="2026-01-05T00:00:00"/>
    <n v="553.04399999999998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4"/>
    <n v="0"/>
    <m/>
    <s v=""/>
    <n v="4"/>
    <n v="0"/>
    <n v="0"/>
    <n v="0"/>
  </r>
  <r>
    <s v="-"/>
    <n v="4109253621"/>
    <x v="135"/>
    <x v="135"/>
    <s v="사용량"/>
    <d v="2026-01-13T00:00:00"/>
    <d v="2026-02-24T00:00:00"/>
    <n v="964.66526599999997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6.24"/>
    <n v="0"/>
    <m/>
    <s v=""/>
    <n v="6.24"/>
    <n v="0"/>
    <n v="0"/>
    <n v="0"/>
  </r>
  <r>
    <s v="-"/>
    <n v="8531101603"/>
    <x v="136"/>
    <x v="136"/>
    <s v="사용량"/>
    <d v="2026-01-19T00:00:00"/>
    <d v="2026-02-24T00:00:00"/>
    <n v="592.75373300000001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13.151999999999999"/>
    <n v="0"/>
    <m/>
    <s v=""/>
    <n v="13.151999999999999"/>
    <n v="0"/>
    <n v="0"/>
    <n v="0"/>
  </r>
  <r>
    <s v="-"/>
    <n v="2819402019"/>
    <x v="137"/>
    <x v="137"/>
    <s v="사용량"/>
    <d v="2025-11-07T00:00:00"/>
    <d v="2026-01-13T00:00:00"/>
    <n v="520.08656699999995"/>
    <s v="30일"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m/>
    <n v="0.35199999999999998"/>
    <n v="0"/>
    <m/>
    <s v=""/>
    <n v="0.35199999999999998"/>
    <n v="0"/>
    <n v="0"/>
    <n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피벗 테이블1" cacheId="3" applyNumberFormats="0" applyBorderFormats="0" applyFontFormats="0" applyPatternFormats="0" applyAlignmentFormats="0" applyWidthHeightFormats="1" dataCaption="값" updatedVersion="5" minRefreshableVersion="3" useAutoFormatting="1" rowGrandTotals="0" colGrandTotals="0" itemPrintTitles="1" createdVersion="5" indent="0" compact="0" compactData="0" multipleFieldFilters="0">
  <location ref="A3:E141" firstHeaderRow="0" firstDataRow="1" firstDataCol="2"/>
  <pivotFields count="49"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8">
        <item x="100"/>
        <item x="23"/>
        <item x="46"/>
        <item x="106"/>
        <item x="7"/>
        <item x="17"/>
        <item x="1"/>
        <item x="72"/>
        <item x="96"/>
        <item x="73"/>
        <item x="107"/>
        <item x="70"/>
        <item x="108"/>
        <item x="53"/>
        <item x="74"/>
        <item x="47"/>
        <item x="26"/>
        <item x="109"/>
        <item x="0"/>
        <item x="48"/>
        <item x="75"/>
        <item x="130"/>
        <item x="49"/>
        <item x="131"/>
        <item x="110"/>
        <item x="101"/>
        <item x="4"/>
        <item x="71"/>
        <item x="31"/>
        <item x="76"/>
        <item x="45"/>
        <item x="97"/>
        <item x="6"/>
        <item x="95"/>
        <item x="132"/>
        <item x="111"/>
        <item x="112"/>
        <item x="50"/>
        <item x="40"/>
        <item x="94"/>
        <item x="51"/>
        <item x="8"/>
        <item x="113"/>
        <item x="114"/>
        <item x="9"/>
        <item x="10"/>
        <item x="77"/>
        <item x="12"/>
        <item x="13"/>
        <item x="52"/>
        <item x="78"/>
        <item x="54"/>
        <item x="79"/>
        <item x="115"/>
        <item x="15"/>
        <item x="35"/>
        <item x="80"/>
        <item x="16"/>
        <item x="43"/>
        <item x="81"/>
        <item x="56"/>
        <item x="18"/>
        <item x="133"/>
        <item x="116"/>
        <item x="58"/>
        <item x="19"/>
        <item x="59"/>
        <item x="42"/>
        <item x="60"/>
        <item x="61"/>
        <item x="62"/>
        <item x="104"/>
        <item x="99"/>
        <item x="82"/>
        <item x="63"/>
        <item x="64"/>
        <item x="20"/>
        <item x="65"/>
        <item x="83"/>
        <item x="117"/>
        <item x="66"/>
        <item x="118"/>
        <item x="84"/>
        <item x="119"/>
        <item x="32"/>
        <item x="41"/>
        <item x="21"/>
        <item x="22"/>
        <item x="85"/>
        <item x="39"/>
        <item x="98"/>
        <item x="105"/>
        <item x="86"/>
        <item x="87"/>
        <item x="88"/>
        <item x="24"/>
        <item x="36"/>
        <item x="28"/>
        <item x="37"/>
        <item x="120"/>
        <item x="11"/>
        <item x="5"/>
        <item x="55"/>
        <item x="14"/>
        <item x="89"/>
        <item x="2"/>
        <item x="25"/>
        <item x="38"/>
        <item x="34"/>
        <item x="121"/>
        <item x="90"/>
        <item x="3"/>
        <item x="102"/>
        <item x="91"/>
        <item x="134"/>
        <item x="30"/>
        <item x="122"/>
        <item x="123"/>
        <item x="33"/>
        <item x="124"/>
        <item x="44"/>
        <item x="57"/>
        <item x="135"/>
        <item x="136"/>
        <item x="29"/>
        <item x="103"/>
        <item x="68"/>
        <item x="92"/>
        <item x="125"/>
        <item x="27"/>
        <item x="137"/>
        <item x="126"/>
        <item x="67"/>
        <item x="127"/>
        <item x="128"/>
        <item x="69"/>
        <item x="93"/>
        <item x="129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outline="0" showAll="0" defaultSubtotal="0">
      <items count="138">
        <item x="92"/>
        <item x="112"/>
        <item x="95"/>
        <item x="48"/>
        <item x="66"/>
        <item x="114"/>
        <item x="133"/>
        <item x="132"/>
        <item x="104"/>
        <item x="54"/>
        <item x="47"/>
        <item x="125"/>
        <item x="80"/>
        <item x="12"/>
        <item x="83"/>
        <item x="135"/>
        <item x="61"/>
        <item x="34"/>
        <item x="59"/>
        <item x="99"/>
        <item x="60"/>
        <item x="88"/>
        <item x="107"/>
        <item x="26"/>
        <item x="129"/>
        <item x="16"/>
        <item x="63"/>
        <item x="35"/>
        <item x="27"/>
        <item x="128"/>
        <item x="82"/>
        <item x="3"/>
        <item x="6"/>
        <item x="70"/>
        <item x="20"/>
        <item x="137"/>
        <item x="56"/>
        <item x="126"/>
        <item x="39"/>
        <item x="19"/>
        <item x="55"/>
        <item x="36"/>
        <item x="46"/>
        <item x="134"/>
        <item x="79"/>
        <item x="13"/>
        <item x="102"/>
        <item x="85"/>
        <item x="87"/>
        <item x="81"/>
        <item x="77"/>
        <item x="106"/>
        <item x="28"/>
        <item x="10"/>
        <item x="67"/>
        <item x="131"/>
        <item x="121"/>
        <item x="37"/>
        <item x="53"/>
        <item x="21"/>
        <item x="30"/>
        <item x="38"/>
        <item x="15"/>
        <item x="62"/>
        <item x="11"/>
        <item x="0"/>
        <item x="1"/>
        <item x="115"/>
        <item x="96"/>
        <item x="122"/>
        <item x="123"/>
        <item x="31"/>
        <item x="105"/>
        <item x="136"/>
        <item x="43"/>
        <item x="57"/>
        <item x="100"/>
        <item x="116"/>
        <item x="73"/>
        <item x="69"/>
        <item x="90"/>
        <item x="89"/>
        <item x="58"/>
        <item x="111"/>
        <item x="50"/>
        <item x="51"/>
        <item x="91"/>
        <item x="84"/>
        <item x="4"/>
        <item x="32"/>
        <item x="74"/>
        <item x="78"/>
        <item x="49"/>
        <item x="14"/>
        <item x="110"/>
        <item x="25"/>
        <item x="76"/>
        <item x="101"/>
        <item x="71"/>
        <item x="5"/>
        <item x="9"/>
        <item x="23"/>
        <item x="8"/>
        <item x="2"/>
        <item x="127"/>
        <item x="117"/>
        <item x="41"/>
        <item x="72"/>
        <item x="64"/>
        <item x="124"/>
        <item x="86"/>
        <item x="33"/>
        <item x="40"/>
        <item x="18"/>
        <item x="97"/>
        <item x="113"/>
        <item x="120"/>
        <item x="118"/>
        <item x="108"/>
        <item x="29"/>
        <item x="44"/>
        <item x="75"/>
        <item x="45"/>
        <item x="119"/>
        <item x="52"/>
        <item x="22"/>
        <item x="103"/>
        <item x="98"/>
        <item x="24"/>
        <item x="94"/>
        <item x="93"/>
        <item x="109"/>
        <item x="7"/>
        <item x="65"/>
        <item x="17"/>
        <item x="130"/>
        <item x="68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4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numFmtId="176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compact="0" numFmtId="9" outline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2"/>
    <field x="3"/>
  </rowFields>
  <rowItems count="138">
    <i>
      <x/>
      <x v="76"/>
    </i>
    <i>
      <x v="1"/>
      <x v="101"/>
    </i>
    <i>
      <x v="2"/>
      <x v="42"/>
    </i>
    <i>
      <x v="3"/>
      <x v="51"/>
    </i>
    <i>
      <x v="4"/>
      <x v="132"/>
    </i>
    <i>
      <x v="5"/>
      <x v="134"/>
    </i>
    <i>
      <x v="6"/>
      <x v="66"/>
    </i>
    <i>
      <x v="7"/>
      <x v="107"/>
    </i>
    <i>
      <x v="8"/>
      <x v="68"/>
    </i>
    <i>
      <x v="9"/>
      <x v="78"/>
    </i>
    <i>
      <x v="10"/>
      <x v="22"/>
    </i>
    <i>
      <x v="11"/>
      <x v="33"/>
    </i>
    <i>
      <x v="12"/>
      <x v="118"/>
    </i>
    <i>
      <x v="13"/>
      <x v="58"/>
    </i>
    <i>
      <x v="14"/>
      <x v="90"/>
    </i>
    <i>
      <x v="15"/>
      <x v="10"/>
    </i>
    <i>
      <x v="16"/>
      <x v="23"/>
    </i>
    <i>
      <x v="17"/>
      <x v="131"/>
    </i>
    <i>
      <x v="18"/>
      <x v="65"/>
    </i>
    <i>
      <x v="19"/>
      <x v="3"/>
    </i>
    <i>
      <x v="20"/>
      <x v="121"/>
    </i>
    <i>
      <x v="21"/>
      <x v="135"/>
    </i>
    <i>
      <x v="22"/>
      <x v="92"/>
    </i>
    <i>
      <x v="23"/>
      <x v="55"/>
    </i>
    <i>
      <x v="24"/>
      <x v="94"/>
    </i>
    <i>
      <x v="25"/>
      <x v="97"/>
    </i>
    <i>
      <x v="26"/>
      <x v="88"/>
    </i>
    <i>
      <x v="27"/>
      <x v="98"/>
    </i>
    <i>
      <x v="28"/>
      <x v="71"/>
    </i>
    <i>
      <x v="29"/>
      <x v="96"/>
    </i>
    <i>
      <x v="30"/>
      <x v="122"/>
    </i>
    <i>
      <x v="31"/>
      <x v="114"/>
    </i>
    <i>
      <x v="32"/>
      <x v="32"/>
    </i>
    <i>
      <x v="33"/>
      <x v="2"/>
    </i>
    <i>
      <x v="34"/>
      <x v="7"/>
    </i>
    <i>
      <x v="35"/>
      <x v="83"/>
    </i>
    <i>
      <x v="36"/>
      <x v="1"/>
    </i>
    <i>
      <x v="37"/>
      <x v="84"/>
    </i>
    <i>
      <x v="38"/>
      <x v="112"/>
    </i>
    <i>
      <x v="39"/>
      <x v="129"/>
    </i>
    <i>
      <x v="40"/>
      <x v="85"/>
    </i>
    <i>
      <x v="41"/>
      <x v="102"/>
    </i>
    <i>
      <x v="42"/>
      <x v="115"/>
    </i>
    <i>
      <x v="43"/>
      <x v="5"/>
    </i>
    <i>
      <x v="44"/>
      <x v="100"/>
    </i>
    <i>
      <x v="45"/>
      <x v="53"/>
    </i>
    <i>
      <x v="46"/>
      <x v="50"/>
    </i>
    <i>
      <x v="47"/>
      <x v="13"/>
    </i>
    <i>
      <x v="48"/>
      <x v="45"/>
    </i>
    <i>
      <x v="49"/>
      <x v="124"/>
    </i>
    <i>
      <x v="50"/>
      <x v="91"/>
    </i>
    <i>
      <x v="51"/>
      <x v="9"/>
    </i>
    <i>
      <x v="52"/>
      <x v="44"/>
    </i>
    <i>
      <x v="53"/>
      <x v="67"/>
    </i>
    <i>
      <x v="54"/>
      <x v="62"/>
    </i>
    <i>
      <x v="55"/>
      <x v="27"/>
    </i>
    <i>
      <x v="56"/>
      <x v="12"/>
    </i>
    <i>
      <x v="57"/>
      <x v="25"/>
    </i>
    <i>
      <x v="58"/>
      <x v="74"/>
    </i>
    <i>
      <x v="59"/>
      <x v="49"/>
    </i>
    <i>
      <x v="60"/>
      <x v="36"/>
    </i>
    <i>
      <x v="61"/>
      <x v="113"/>
    </i>
    <i>
      <x v="62"/>
      <x v="6"/>
    </i>
    <i>
      <x v="63"/>
      <x v="77"/>
    </i>
    <i>
      <x v="64"/>
      <x v="82"/>
    </i>
    <i>
      <x v="65"/>
      <x v="39"/>
    </i>
    <i>
      <x v="66"/>
      <x v="18"/>
    </i>
    <i>
      <x v="67"/>
      <x v="137"/>
    </i>
    <i>
      <x v="68"/>
      <x v="20"/>
    </i>
    <i>
      <x v="69"/>
      <x v="16"/>
    </i>
    <i>
      <x v="70"/>
      <x v="63"/>
    </i>
    <i>
      <x v="71"/>
      <x v="8"/>
    </i>
    <i>
      <x v="72"/>
      <x v="19"/>
    </i>
    <i>
      <x v="73"/>
      <x v="30"/>
    </i>
    <i>
      <x v="74"/>
      <x v="26"/>
    </i>
    <i>
      <x v="75"/>
      <x v="108"/>
    </i>
    <i>
      <x v="76"/>
      <x v="34"/>
    </i>
    <i>
      <x v="77"/>
      <x v="133"/>
    </i>
    <i>
      <x v="78"/>
      <x v="14"/>
    </i>
    <i>
      <x v="79"/>
      <x v="105"/>
    </i>
    <i>
      <x v="80"/>
      <x v="4"/>
    </i>
    <i>
      <x v="81"/>
      <x v="117"/>
    </i>
    <i>
      <x v="82"/>
      <x v="87"/>
    </i>
    <i>
      <x v="83"/>
      <x v="123"/>
    </i>
    <i>
      <x v="84"/>
      <x v="89"/>
    </i>
    <i>
      <x v="85"/>
      <x v="106"/>
    </i>
    <i>
      <x v="86"/>
      <x v="59"/>
    </i>
    <i>
      <x v="87"/>
      <x v="125"/>
    </i>
    <i>
      <x v="88"/>
      <x v="47"/>
    </i>
    <i>
      <x v="89"/>
      <x v="38"/>
    </i>
    <i>
      <x v="90"/>
      <x v="127"/>
    </i>
    <i>
      <x v="91"/>
      <x v="72"/>
    </i>
    <i>
      <x v="92"/>
      <x v="110"/>
    </i>
    <i>
      <x v="93"/>
      <x v="48"/>
    </i>
    <i>
      <x v="94"/>
      <x v="21"/>
    </i>
    <i>
      <x v="95"/>
      <x v="128"/>
    </i>
    <i>
      <x v="96"/>
      <x v="41"/>
    </i>
    <i>
      <x v="97"/>
      <x v="52"/>
    </i>
    <i>
      <x v="98"/>
      <x v="57"/>
    </i>
    <i>
      <x v="99"/>
      <x v="116"/>
    </i>
    <i>
      <x v="100"/>
      <x v="64"/>
    </i>
    <i>
      <x v="101"/>
      <x v="99"/>
    </i>
    <i>
      <x v="102"/>
      <x v="40"/>
    </i>
    <i>
      <x v="103"/>
      <x v="93"/>
    </i>
    <i>
      <x v="104"/>
      <x v="81"/>
    </i>
    <i>
      <x v="105"/>
      <x v="103"/>
    </i>
    <i>
      <x v="106"/>
      <x v="95"/>
    </i>
    <i>
      <x v="107"/>
      <x v="61"/>
    </i>
    <i>
      <x v="108"/>
      <x v="17"/>
    </i>
    <i>
      <x v="109"/>
      <x v="56"/>
    </i>
    <i>
      <x v="110"/>
      <x v="80"/>
    </i>
    <i>
      <x v="111"/>
      <x v="31"/>
    </i>
    <i>
      <x v="112"/>
      <x v="46"/>
    </i>
    <i>
      <x v="113"/>
      <x v="86"/>
    </i>
    <i>
      <x v="114"/>
      <x v="43"/>
    </i>
    <i>
      <x v="115"/>
      <x v="60"/>
    </i>
    <i>
      <x v="116"/>
      <x v="69"/>
    </i>
    <i>
      <x v="117"/>
      <x v="70"/>
    </i>
    <i>
      <x v="118"/>
      <x v="111"/>
    </i>
    <i>
      <x v="119"/>
      <x v="109"/>
    </i>
    <i>
      <x v="120"/>
      <x v="120"/>
    </i>
    <i>
      <x v="121"/>
      <x v="75"/>
    </i>
    <i>
      <x v="122"/>
      <x v="15"/>
    </i>
    <i>
      <x v="123"/>
      <x v="73"/>
    </i>
    <i>
      <x v="124"/>
      <x v="119"/>
    </i>
    <i>
      <x v="125"/>
      <x v="126"/>
    </i>
    <i>
      <x v="126"/>
      <x v="136"/>
    </i>
    <i>
      <x v="127"/>
      <x/>
    </i>
    <i>
      <x v="128"/>
      <x v="11"/>
    </i>
    <i>
      <x v="129"/>
      <x v="28"/>
    </i>
    <i>
      <x v="130"/>
      <x v="35"/>
    </i>
    <i>
      <x v="131"/>
      <x v="37"/>
    </i>
    <i>
      <x v="132"/>
      <x v="54"/>
    </i>
    <i>
      <x v="133"/>
      <x v="104"/>
    </i>
    <i>
      <x v="134"/>
      <x v="29"/>
    </i>
    <i>
      <x v="135"/>
      <x v="79"/>
    </i>
    <i>
      <x v="136"/>
      <x v="130"/>
    </i>
    <i>
      <x v="137"/>
      <x v="24"/>
    </i>
  </rowItems>
  <colFields count="1">
    <field x="-2"/>
  </colFields>
  <colItems count="3">
    <i>
      <x/>
    </i>
    <i i="1">
      <x v="1"/>
    </i>
    <i i="2">
      <x v="2"/>
    </i>
  </colItems>
  <dataFields count="3">
    <dataField name="합계 : 매출" fld="7" baseField="0" baseItem="0"/>
    <dataField name="합계 : 매출20" fld="45" baseField="0" baseItem="0"/>
    <dataField name="합계 : 수금19" fld="4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fillDownLabelsDefault="1" hideValuesRow="1"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BG231"/>
  <sheetViews>
    <sheetView showGridLines="0" tabSelected="1" zoomScale="85" zoomScaleNormal="85" workbookViewId="0">
      <pane xSplit="11" ySplit="4" topLeftCell="AX17" activePane="bottomRight" state="frozen"/>
      <selection activeCell="D176" sqref="D176"/>
      <selection pane="topRight" activeCell="D176" sqref="D176"/>
      <selection pane="bottomLeft" activeCell="D176" sqref="D176"/>
      <selection pane="bottomRight" activeCell="AX28" sqref="AX28"/>
    </sheetView>
  </sheetViews>
  <sheetFormatPr defaultColWidth="9.140625" defaultRowHeight="12" outlineLevelCol="1" x14ac:dyDescent="0.2"/>
  <cols>
    <col min="1" max="1" width="6.28515625" style="41" customWidth="1"/>
    <col min="2" max="2" width="8.5703125" style="41" bestFit="1" customWidth="1"/>
    <col min="3" max="3" width="7.7109375" style="41" bestFit="1" customWidth="1"/>
    <col min="4" max="4" width="14.7109375" style="41" customWidth="1"/>
    <col min="5" max="5" width="10.7109375" style="41" bestFit="1" customWidth="1"/>
    <col min="6" max="6" width="47" style="34" bestFit="1" customWidth="1"/>
    <col min="7" max="7" width="14.140625" style="41" bestFit="1" customWidth="1"/>
    <col min="8" max="8" width="11.28515625" style="41" bestFit="1" customWidth="1"/>
    <col min="9" max="9" width="14.28515625" style="41" customWidth="1"/>
    <col min="10" max="10" width="11" style="37" customWidth="1"/>
    <col min="11" max="11" width="15.42578125" style="41" bestFit="1" customWidth="1"/>
    <col min="12" max="13" width="13" style="38" customWidth="1" outlineLevel="1"/>
    <col min="14" max="37" width="11.28515625" style="38" customWidth="1" outlineLevel="1"/>
    <col min="38" max="38" width="15" style="38" customWidth="1" outlineLevel="1"/>
    <col min="39" max="45" width="11.28515625" style="38" customWidth="1" outlineLevel="1"/>
    <col min="46" max="49" width="11.28515625" style="38" bestFit="1" customWidth="1" outlineLevel="1"/>
    <col min="50" max="55" width="11.28515625" style="38" customWidth="1" outlineLevel="1"/>
    <col min="56" max="56" width="11.28515625" style="38" bestFit="1" customWidth="1"/>
    <col min="57" max="57" width="11.28515625" style="37" bestFit="1" customWidth="1"/>
    <col min="58" max="58" width="11.42578125" style="34" bestFit="1" customWidth="1"/>
    <col min="59" max="59" width="20.28515625" style="20" bestFit="1" customWidth="1"/>
    <col min="60" max="61" width="7.7109375" style="20" customWidth="1"/>
    <col min="62" max="68" width="15.140625" style="20" customWidth="1"/>
    <col min="69" max="70" width="20" style="20" bestFit="1" customWidth="1"/>
    <col min="71" max="71" width="15.7109375" style="20" customWidth="1"/>
    <col min="72" max="81" width="19.28515625" style="20" bestFit="1" customWidth="1"/>
    <col min="82" max="83" width="20" style="20" bestFit="1" customWidth="1"/>
    <col min="84" max="84" width="15.7109375" style="20" bestFit="1" customWidth="1"/>
    <col min="85" max="85" width="24.140625" style="20" bestFit="1" customWidth="1"/>
    <col min="86" max="16384" width="9.140625" style="20"/>
  </cols>
  <sheetData>
    <row r="1" spans="1:59" hidden="1" x14ac:dyDescent="0.2">
      <c r="A1" s="34" t="s">
        <v>380</v>
      </c>
      <c r="B1" s="34"/>
      <c r="C1" s="34"/>
      <c r="D1" s="34"/>
      <c r="E1" s="34"/>
      <c r="F1" s="35"/>
      <c r="G1" s="36"/>
      <c r="H1" s="36"/>
      <c r="I1" s="36"/>
      <c r="K1" s="36"/>
      <c r="BD1" s="39"/>
      <c r="BE1" s="7"/>
      <c r="BF1" s="7"/>
      <c r="BG1" s="40"/>
    </row>
    <row r="2" spans="1:59" ht="12.75" thickBot="1" x14ac:dyDescent="0.25">
      <c r="F2" s="35"/>
      <c r="G2" s="36"/>
      <c r="H2" s="36"/>
      <c r="I2" s="36"/>
      <c r="K2" s="36"/>
      <c r="AM2" s="42"/>
      <c r="AO2" s="42"/>
      <c r="AQ2" s="42"/>
      <c r="AS2" s="42"/>
      <c r="AU2" s="42"/>
      <c r="AW2" s="42"/>
      <c r="AX2" s="42"/>
      <c r="AY2" s="42"/>
      <c r="AZ2" s="42"/>
      <c r="BA2" s="42"/>
      <c r="BB2" s="42"/>
      <c r="BC2" s="42"/>
      <c r="BE2" s="7"/>
      <c r="BG2" s="8" t="s">
        <v>379</v>
      </c>
    </row>
    <row r="3" spans="1:59" ht="17.45" customHeight="1" x14ac:dyDescent="0.2">
      <c r="A3" s="28" t="s">
        <v>378</v>
      </c>
      <c r="B3" s="28" t="s">
        <v>1551</v>
      </c>
      <c r="C3" s="28" t="s">
        <v>1552</v>
      </c>
      <c r="D3" s="140" t="s">
        <v>159</v>
      </c>
      <c r="E3" s="140" t="s">
        <v>157</v>
      </c>
      <c r="F3" s="28" t="s">
        <v>1476</v>
      </c>
      <c r="G3" s="170" t="s">
        <v>376</v>
      </c>
      <c r="H3" s="171"/>
      <c r="I3" s="171"/>
      <c r="J3" s="171"/>
      <c r="K3" s="172"/>
      <c r="L3" s="161" t="s">
        <v>0</v>
      </c>
      <c r="M3" s="162"/>
      <c r="N3" s="161" t="s">
        <v>375</v>
      </c>
      <c r="O3" s="162"/>
      <c r="P3" s="161" t="s">
        <v>374</v>
      </c>
      <c r="Q3" s="162"/>
      <c r="R3" s="161" t="s">
        <v>373</v>
      </c>
      <c r="S3" s="162"/>
      <c r="T3" s="161" t="s">
        <v>372</v>
      </c>
      <c r="U3" s="162"/>
      <c r="V3" s="161" t="s">
        <v>371</v>
      </c>
      <c r="W3" s="162"/>
      <c r="X3" s="161" t="s">
        <v>370</v>
      </c>
      <c r="Y3" s="162"/>
      <c r="Z3" s="161" t="s">
        <v>369</v>
      </c>
      <c r="AA3" s="162"/>
      <c r="AB3" s="161" t="s">
        <v>368</v>
      </c>
      <c r="AC3" s="162"/>
      <c r="AD3" s="161" t="s">
        <v>367</v>
      </c>
      <c r="AE3" s="162"/>
      <c r="AF3" s="161" t="s">
        <v>366</v>
      </c>
      <c r="AG3" s="162"/>
      <c r="AH3" s="161" t="s">
        <v>365</v>
      </c>
      <c r="AI3" s="162"/>
      <c r="AJ3" s="161" t="s">
        <v>364</v>
      </c>
      <c r="AK3" s="162"/>
      <c r="AL3" s="161" t="s">
        <v>363</v>
      </c>
      <c r="AM3" s="162"/>
      <c r="AN3" s="163" t="s">
        <v>384</v>
      </c>
      <c r="AO3" s="162"/>
      <c r="AP3" s="163" t="s">
        <v>391</v>
      </c>
      <c r="AQ3" s="162"/>
      <c r="AR3" s="163" t="s">
        <v>449</v>
      </c>
      <c r="AS3" s="162"/>
      <c r="AT3" s="163" t="s">
        <v>1494</v>
      </c>
      <c r="AU3" s="162"/>
      <c r="AV3" s="163" t="s">
        <v>1525</v>
      </c>
      <c r="AW3" s="162"/>
      <c r="AX3" s="163" t="s">
        <v>1538</v>
      </c>
      <c r="AY3" s="162"/>
      <c r="AZ3" s="163" t="s">
        <v>1583</v>
      </c>
      <c r="BA3" s="162"/>
      <c r="BB3" s="163" t="s">
        <v>1604</v>
      </c>
      <c r="BC3" s="162"/>
      <c r="BD3" s="158" t="s">
        <v>362</v>
      </c>
      <c r="BE3" s="159"/>
      <c r="BF3" s="159"/>
      <c r="BG3" s="31" t="s">
        <v>361</v>
      </c>
    </row>
    <row r="4" spans="1:59" s="29" customFormat="1" ht="18" customHeight="1" x14ac:dyDescent="0.2">
      <c r="A4" s="142" t="s">
        <v>309</v>
      </c>
      <c r="B4" s="142" t="s">
        <v>1550</v>
      </c>
      <c r="C4" s="142" t="s">
        <v>1553</v>
      </c>
      <c r="D4" s="141" t="s">
        <v>159</v>
      </c>
      <c r="E4" s="141" t="s">
        <v>157</v>
      </c>
      <c r="F4" s="142" t="s">
        <v>1497</v>
      </c>
      <c r="G4" s="43" t="s">
        <v>360</v>
      </c>
      <c r="H4" s="44" t="s">
        <v>359</v>
      </c>
      <c r="I4" s="44" t="s">
        <v>358</v>
      </c>
      <c r="J4" s="5" t="s">
        <v>357</v>
      </c>
      <c r="K4" s="45" t="s">
        <v>356</v>
      </c>
      <c r="L4" s="6" t="s">
        <v>323</v>
      </c>
      <c r="M4" s="4" t="s">
        <v>355</v>
      </c>
      <c r="N4" s="6" t="s">
        <v>323</v>
      </c>
      <c r="O4" s="4" t="s">
        <v>355</v>
      </c>
      <c r="P4" s="6" t="s">
        <v>323</v>
      </c>
      <c r="Q4" s="4" t="s">
        <v>355</v>
      </c>
      <c r="R4" s="6" t="s">
        <v>323</v>
      </c>
      <c r="S4" s="4" t="s">
        <v>355</v>
      </c>
      <c r="T4" s="6" t="s">
        <v>323</v>
      </c>
      <c r="U4" s="4" t="s">
        <v>355</v>
      </c>
      <c r="V4" s="6" t="s">
        <v>323</v>
      </c>
      <c r="W4" s="4" t="s">
        <v>355</v>
      </c>
      <c r="X4" s="6" t="s">
        <v>323</v>
      </c>
      <c r="Y4" s="4" t="s">
        <v>355</v>
      </c>
      <c r="Z4" s="6" t="s">
        <v>323</v>
      </c>
      <c r="AA4" s="4" t="s">
        <v>355</v>
      </c>
      <c r="AB4" s="6" t="s">
        <v>323</v>
      </c>
      <c r="AC4" s="4" t="s">
        <v>355</v>
      </c>
      <c r="AD4" s="6" t="s">
        <v>323</v>
      </c>
      <c r="AE4" s="4" t="s">
        <v>355</v>
      </c>
      <c r="AF4" s="6" t="s">
        <v>323</v>
      </c>
      <c r="AG4" s="4" t="s">
        <v>355</v>
      </c>
      <c r="AH4" s="6" t="s">
        <v>323</v>
      </c>
      <c r="AI4" s="4" t="s">
        <v>355</v>
      </c>
      <c r="AJ4" s="6" t="s">
        <v>323</v>
      </c>
      <c r="AK4" s="4" t="s">
        <v>355</v>
      </c>
      <c r="AL4" s="6" t="s">
        <v>323</v>
      </c>
      <c r="AM4" s="4" t="s">
        <v>355</v>
      </c>
      <c r="AN4" s="6" t="s">
        <v>323</v>
      </c>
      <c r="AO4" s="4" t="s">
        <v>161</v>
      </c>
      <c r="AP4" s="6" t="s">
        <v>323</v>
      </c>
      <c r="AQ4" s="4" t="s">
        <v>161</v>
      </c>
      <c r="AR4" s="6" t="s">
        <v>323</v>
      </c>
      <c r="AS4" s="4" t="s">
        <v>161</v>
      </c>
      <c r="AT4" s="6" t="s">
        <v>323</v>
      </c>
      <c r="AU4" s="4" t="s">
        <v>161</v>
      </c>
      <c r="AV4" s="6" t="s">
        <v>323</v>
      </c>
      <c r="AW4" s="4" t="s">
        <v>161</v>
      </c>
      <c r="AX4" s="6" t="s">
        <v>323</v>
      </c>
      <c r="AY4" s="4" t="s">
        <v>161</v>
      </c>
      <c r="AZ4" s="6" t="s">
        <v>323</v>
      </c>
      <c r="BA4" s="4" t="s">
        <v>161</v>
      </c>
      <c r="BB4" s="6" t="s">
        <v>323</v>
      </c>
      <c r="BC4" s="4" t="s">
        <v>161</v>
      </c>
      <c r="BD4" s="6" t="s">
        <v>323</v>
      </c>
      <c r="BE4" s="5" t="s">
        <v>355</v>
      </c>
      <c r="BF4" s="27" t="s">
        <v>354</v>
      </c>
      <c r="BG4" s="30" t="s">
        <v>354</v>
      </c>
    </row>
    <row r="5" spans="1:59" ht="18" customHeight="1" x14ac:dyDescent="0.2">
      <c r="A5" s="27" t="str">
        <f>IF(MID(D5,4,1)="8","법인","개인")</f>
        <v>개인</v>
      </c>
      <c r="B5" s="27" t="s">
        <v>1555</v>
      </c>
      <c r="C5" s="27" t="s">
        <v>1554</v>
      </c>
      <c r="D5" s="33">
        <v>1059028677</v>
      </c>
      <c r="E5" s="33">
        <v>10031447</v>
      </c>
      <c r="F5" s="28" t="s">
        <v>148</v>
      </c>
      <c r="G5" s="46" t="s">
        <v>322</v>
      </c>
      <c r="H5" s="79">
        <v>45891</v>
      </c>
      <c r="I5" s="79">
        <v>45930</v>
      </c>
      <c r="J5" s="11">
        <v>654.49540000000002</v>
      </c>
      <c r="K5" s="47" t="s">
        <v>311</v>
      </c>
      <c r="L5" s="9">
        <v>0</v>
      </c>
      <c r="M5" s="10">
        <v>0</v>
      </c>
      <c r="N5" s="9">
        <v>0</v>
      </c>
      <c r="O5" s="10">
        <v>0</v>
      </c>
      <c r="P5" s="9">
        <v>0</v>
      </c>
      <c r="Q5" s="10">
        <v>0</v>
      </c>
      <c r="R5" s="9">
        <v>0</v>
      </c>
      <c r="S5" s="10">
        <v>0</v>
      </c>
      <c r="T5" s="9">
        <v>0</v>
      </c>
      <c r="U5" s="10">
        <v>0</v>
      </c>
      <c r="V5" s="9">
        <v>0</v>
      </c>
      <c r="W5" s="10">
        <v>0</v>
      </c>
      <c r="X5" s="9">
        <v>0</v>
      </c>
      <c r="Y5" s="10">
        <v>0</v>
      </c>
      <c r="Z5" s="9">
        <v>0</v>
      </c>
      <c r="AA5" s="10">
        <v>0</v>
      </c>
      <c r="AB5" s="9">
        <v>0</v>
      </c>
      <c r="AC5" s="10">
        <v>0</v>
      </c>
      <c r="AD5" s="9">
        <v>0</v>
      </c>
      <c r="AE5" s="10">
        <v>0</v>
      </c>
      <c r="AF5" s="9">
        <v>0</v>
      </c>
      <c r="AG5" s="10">
        <v>0</v>
      </c>
      <c r="AH5" s="9">
        <v>0</v>
      </c>
      <c r="AI5" s="10">
        <v>0</v>
      </c>
      <c r="AJ5" s="9">
        <v>3.524</v>
      </c>
      <c r="AK5" s="10">
        <v>0</v>
      </c>
      <c r="AL5" s="9">
        <v>7.1349999999999998</v>
      </c>
      <c r="AM5" s="10">
        <v>0</v>
      </c>
      <c r="AN5" s="9">
        <v>6.9169999999999998</v>
      </c>
      <c r="AO5" s="10">
        <v>10.659000000000001</v>
      </c>
      <c r="AP5" s="9">
        <v>6.9850000000000003</v>
      </c>
      <c r="AQ5" s="10">
        <v>6.9169999999999998</v>
      </c>
      <c r="AR5" s="9">
        <v>6.2430000000000003</v>
      </c>
      <c r="AS5" s="10">
        <v>6.9850000000000003</v>
      </c>
      <c r="AT5" s="9">
        <v>7.1020000000000003</v>
      </c>
      <c r="AU5" s="13">
        <v>6.2430000000000003</v>
      </c>
      <c r="AV5" s="9">
        <f>IFERROR(VLOOKUP(E5,[1]Sheet4!$A:$D,4,0),0)</f>
        <v>5.8780000000000001</v>
      </c>
      <c r="AW5" s="13">
        <v>7.1020000000000003</v>
      </c>
      <c r="AX5" s="9">
        <v>6.5439999999999996</v>
      </c>
      <c r="AY5" s="39">
        <v>5.8780000000000001</v>
      </c>
      <c r="AZ5" s="9">
        <v>8.327</v>
      </c>
      <c r="BA5" s="39">
        <v>0</v>
      </c>
      <c r="BB5" s="9">
        <v>7.6769999999999996</v>
      </c>
      <c r="BC5" s="39">
        <v>6.5439999999999996</v>
      </c>
      <c r="BD5" s="9">
        <f>SUM(AN5,AL5,AJ5,AH5,AF5,AD5,AB5,Z5,X5,V5,T5,R5,P5,N5,L5,AP5,AR5,AT5,AV5,AX5,AZ5,BB5)</f>
        <v>66.331999999999994</v>
      </c>
      <c r="BE5" s="11">
        <f>SUM(AM5,AK5,AI5,AG5,AE5,AC5,AA5,Y5,W5,U5,S5,Q5,O5,M5,AO5,AQ5,AS5,AU5,AW5,AY5,BA5,BC5)</f>
        <v>50.328000000000003</v>
      </c>
      <c r="BF5" s="24">
        <f t="shared" ref="BF5:BF53" si="0">BE5/BD5</f>
        <v>0.75872881866972208</v>
      </c>
      <c r="BG5" s="23">
        <f t="shared" ref="BG5:BG12" si="1">BE5/J5</f>
        <v>7.6895880398853839E-2</v>
      </c>
    </row>
    <row r="6" spans="1:59" ht="18" customHeight="1" x14ac:dyDescent="0.2">
      <c r="A6" s="27" t="str">
        <f t="shared" ref="A6:A71" si="2">IF(MID(D6,4,1)="8","법인","개인")</f>
        <v>개인</v>
      </c>
      <c r="B6" s="27" t="s">
        <v>1556</v>
      </c>
      <c r="C6" s="27" t="s">
        <v>1554</v>
      </c>
      <c r="D6" s="26">
        <v>1079060770</v>
      </c>
      <c r="E6" s="26">
        <v>10008739</v>
      </c>
      <c r="F6" s="25" t="s">
        <v>132</v>
      </c>
      <c r="G6" s="48" t="s">
        <v>322</v>
      </c>
      <c r="H6" s="53">
        <v>45896</v>
      </c>
      <c r="I6" s="53">
        <v>45923</v>
      </c>
      <c r="J6" s="14">
        <v>663.274</v>
      </c>
      <c r="K6" s="49" t="s">
        <v>311</v>
      </c>
      <c r="L6" s="12">
        <v>0</v>
      </c>
      <c r="M6" s="13">
        <v>0</v>
      </c>
      <c r="N6" s="12">
        <v>0</v>
      </c>
      <c r="O6" s="13">
        <v>0</v>
      </c>
      <c r="P6" s="12">
        <v>0</v>
      </c>
      <c r="Q6" s="13">
        <v>0</v>
      </c>
      <c r="R6" s="12">
        <v>0</v>
      </c>
      <c r="S6" s="13">
        <v>0</v>
      </c>
      <c r="T6" s="12">
        <v>0</v>
      </c>
      <c r="U6" s="13">
        <v>0</v>
      </c>
      <c r="V6" s="12">
        <v>0</v>
      </c>
      <c r="W6" s="13">
        <v>0</v>
      </c>
      <c r="X6" s="12">
        <v>0</v>
      </c>
      <c r="Y6" s="13">
        <v>0</v>
      </c>
      <c r="Z6" s="12">
        <v>0</v>
      </c>
      <c r="AA6" s="13">
        <v>0</v>
      </c>
      <c r="AB6" s="12">
        <v>0</v>
      </c>
      <c r="AC6" s="13">
        <v>0</v>
      </c>
      <c r="AD6" s="12">
        <v>0</v>
      </c>
      <c r="AE6" s="13">
        <v>0</v>
      </c>
      <c r="AF6" s="12">
        <v>0</v>
      </c>
      <c r="AG6" s="13">
        <v>0</v>
      </c>
      <c r="AH6" s="12">
        <v>0</v>
      </c>
      <c r="AI6" s="13">
        <v>0</v>
      </c>
      <c r="AJ6" s="12">
        <v>3.742</v>
      </c>
      <c r="AK6" s="13">
        <v>0</v>
      </c>
      <c r="AL6" s="12">
        <v>10.791</v>
      </c>
      <c r="AM6" s="13">
        <v>0</v>
      </c>
      <c r="AN6" s="12">
        <v>15.583</v>
      </c>
      <c r="AO6" s="13">
        <v>0</v>
      </c>
      <c r="AP6" s="12">
        <v>8.3119999999999994</v>
      </c>
      <c r="AQ6" s="13">
        <v>0</v>
      </c>
      <c r="AR6" s="12">
        <v>7.0531800000000002</v>
      </c>
      <c r="AS6" s="13">
        <v>0</v>
      </c>
      <c r="AT6" s="12">
        <v>0.112902</v>
      </c>
      <c r="AU6" s="13">
        <v>0</v>
      </c>
      <c r="AV6" s="12">
        <f>IFERROR(VLOOKUP(E6,[1]Sheet4!$A:$D,4,0),0)</f>
        <v>3.5137800000000001</v>
      </c>
      <c r="AW6" s="13">
        <v>0</v>
      </c>
      <c r="AX6" s="12">
        <v>8.4201479999999993</v>
      </c>
      <c r="AY6" s="39">
        <v>11.420502000000001</v>
      </c>
      <c r="AZ6" s="12">
        <v>5.4708180000000004</v>
      </c>
      <c r="BA6" s="39">
        <v>0</v>
      </c>
      <c r="BB6" s="12">
        <v>5.25</v>
      </c>
      <c r="BC6" s="39">
        <v>7.7141099999999998</v>
      </c>
      <c r="BD6" s="12">
        <f t="shared" ref="BD6:BD69" si="3">SUM(AN6,AL6,AJ6,AH6,AF6,AD6,AB6,Z6,X6,V6,T6,R6,P6,N6,L6,AP6,AR6,AT6,AV6,AX6,AZ6,BB6)</f>
        <v>68.248828000000003</v>
      </c>
      <c r="BE6" s="14">
        <f t="shared" ref="BE6:BE69" si="4">SUM(AM6,AK6,AI6,AG6,AE6,AC6,AA6,Y6,W6,U6,S6,Q6,O6,M6,AO6,AQ6,AS6,AU6,AW6,AY6,BA6,BC6)</f>
        <v>19.134612000000001</v>
      </c>
      <c r="BF6" s="24">
        <f t="shared" si="0"/>
        <v>0.2803654298649641</v>
      </c>
      <c r="BG6" s="23">
        <f t="shared" si="1"/>
        <v>2.8848729182811329E-2</v>
      </c>
    </row>
    <row r="7" spans="1:59" ht="18" customHeight="1" x14ac:dyDescent="0.2">
      <c r="A7" s="27" t="str">
        <f t="shared" si="2"/>
        <v>법인</v>
      </c>
      <c r="B7" s="27" t="s">
        <v>1557</v>
      </c>
      <c r="C7" s="27" t="s">
        <v>1496</v>
      </c>
      <c r="D7" s="26">
        <v>1138209244</v>
      </c>
      <c r="E7" s="26">
        <v>10046812</v>
      </c>
      <c r="F7" s="25" t="s">
        <v>156</v>
      </c>
      <c r="G7" s="48" t="s">
        <v>322</v>
      </c>
      <c r="H7" s="53">
        <v>45835</v>
      </c>
      <c r="I7" s="53">
        <v>45944</v>
      </c>
      <c r="J7" s="14">
        <v>837.27199999999993</v>
      </c>
      <c r="K7" s="49" t="s">
        <v>311</v>
      </c>
      <c r="L7" s="12">
        <v>0</v>
      </c>
      <c r="M7" s="13">
        <v>0</v>
      </c>
      <c r="N7" s="12">
        <v>0</v>
      </c>
      <c r="O7" s="13">
        <v>0</v>
      </c>
      <c r="P7" s="12">
        <v>0</v>
      </c>
      <c r="Q7" s="13">
        <v>0</v>
      </c>
      <c r="R7" s="12">
        <v>0</v>
      </c>
      <c r="S7" s="13">
        <v>0</v>
      </c>
      <c r="T7" s="12">
        <v>0</v>
      </c>
      <c r="U7" s="13">
        <v>0</v>
      </c>
      <c r="V7" s="12">
        <v>0</v>
      </c>
      <c r="W7" s="13">
        <v>0</v>
      </c>
      <c r="X7" s="12">
        <v>0</v>
      </c>
      <c r="Y7" s="13">
        <v>0</v>
      </c>
      <c r="Z7" s="12">
        <v>0</v>
      </c>
      <c r="AA7" s="13">
        <v>0</v>
      </c>
      <c r="AB7" s="12">
        <v>0</v>
      </c>
      <c r="AC7" s="13">
        <v>0</v>
      </c>
      <c r="AD7" s="12">
        <v>0</v>
      </c>
      <c r="AE7" s="13">
        <v>0</v>
      </c>
      <c r="AF7" s="12">
        <v>0</v>
      </c>
      <c r="AG7" s="13">
        <v>0</v>
      </c>
      <c r="AH7" s="12">
        <v>0</v>
      </c>
      <c r="AI7" s="13">
        <v>0</v>
      </c>
      <c r="AJ7" s="12">
        <v>13.449</v>
      </c>
      <c r="AK7" s="13">
        <v>0</v>
      </c>
      <c r="AL7" s="12">
        <v>29.420999999999999</v>
      </c>
      <c r="AM7" s="13">
        <v>13.449</v>
      </c>
      <c r="AN7" s="12">
        <v>21.710999999999999</v>
      </c>
      <c r="AO7" s="13">
        <v>29.420999999999999</v>
      </c>
      <c r="AP7" s="12">
        <v>20.898</v>
      </c>
      <c r="AQ7" s="13">
        <v>21.710999999999999</v>
      </c>
      <c r="AR7" s="12">
        <v>23.113</v>
      </c>
      <c r="AS7" s="13">
        <v>20.898</v>
      </c>
      <c r="AT7" s="12">
        <v>17.026</v>
      </c>
      <c r="AU7" s="13">
        <v>23.113</v>
      </c>
      <c r="AV7" s="12">
        <f>IFERROR(VLOOKUP(E7,[1]Sheet4!$A:$D,4,0),0)</f>
        <v>17.061</v>
      </c>
      <c r="AW7" s="13">
        <v>17.026</v>
      </c>
      <c r="AX7" s="12">
        <v>20.225999999999999</v>
      </c>
      <c r="AY7" s="39">
        <v>17.061</v>
      </c>
      <c r="AZ7" s="12">
        <v>21.306999999999999</v>
      </c>
      <c r="BA7" s="39">
        <v>20.225999999999999</v>
      </c>
      <c r="BB7" s="12">
        <v>23.079000000000001</v>
      </c>
      <c r="BC7" s="39">
        <v>21.306999999999999</v>
      </c>
      <c r="BD7" s="12">
        <f t="shared" si="3"/>
        <v>207.291</v>
      </c>
      <c r="BE7" s="14">
        <f t="shared" si="4"/>
        <v>184.21199999999996</v>
      </c>
      <c r="BF7" s="24">
        <f t="shared" si="0"/>
        <v>0.88866376253672352</v>
      </c>
      <c r="BG7" s="23">
        <f t="shared" si="1"/>
        <v>0.22001452335680635</v>
      </c>
    </row>
    <row r="8" spans="1:59" ht="18" customHeight="1" x14ac:dyDescent="0.2">
      <c r="A8" s="27" t="str">
        <f t="shared" si="2"/>
        <v>개인</v>
      </c>
      <c r="B8" s="27" t="s">
        <v>1558</v>
      </c>
      <c r="C8" s="27" t="s">
        <v>1554</v>
      </c>
      <c r="D8" s="26">
        <v>1249428434</v>
      </c>
      <c r="E8" s="26">
        <v>10060702</v>
      </c>
      <c r="F8" s="25" t="s">
        <v>109</v>
      </c>
      <c r="G8" s="48" t="s">
        <v>322</v>
      </c>
      <c r="H8" s="53">
        <v>45869</v>
      </c>
      <c r="I8" s="53">
        <v>45923</v>
      </c>
      <c r="J8" s="14">
        <v>536.54999999999995</v>
      </c>
      <c r="K8" s="49" t="s">
        <v>311</v>
      </c>
      <c r="L8" s="12">
        <v>0</v>
      </c>
      <c r="M8" s="13">
        <v>0</v>
      </c>
      <c r="N8" s="12">
        <v>0</v>
      </c>
      <c r="O8" s="13">
        <v>0</v>
      </c>
      <c r="P8" s="12">
        <v>0</v>
      </c>
      <c r="Q8" s="13">
        <v>0</v>
      </c>
      <c r="R8" s="12">
        <v>0</v>
      </c>
      <c r="S8" s="13">
        <v>0</v>
      </c>
      <c r="T8" s="12">
        <v>0</v>
      </c>
      <c r="U8" s="13">
        <v>0</v>
      </c>
      <c r="V8" s="12">
        <v>0</v>
      </c>
      <c r="W8" s="13">
        <v>0</v>
      </c>
      <c r="X8" s="12">
        <v>0</v>
      </c>
      <c r="Y8" s="13">
        <v>0</v>
      </c>
      <c r="Z8" s="12">
        <v>0</v>
      </c>
      <c r="AA8" s="13">
        <v>0</v>
      </c>
      <c r="AB8" s="12">
        <v>0</v>
      </c>
      <c r="AC8" s="13">
        <v>0</v>
      </c>
      <c r="AD8" s="12">
        <v>0</v>
      </c>
      <c r="AE8" s="13">
        <v>0</v>
      </c>
      <c r="AF8" s="12">
        <v>0</v>
      </c>
      <c r="AG8" s="13">
        <v>0</v>
      </c>
      <c r="AH8" s="12">
        <v>1.84</v>
      </c>
      <c r="AI8" s="13">
        <v>0</v>
      </c>
      <c r="AJ8" s="12">
        <v>7.3120000000000003</v>
      </c>
      <c r="AK8" s="13">
        <v>0</v>
      </c>
      <c r="AL8" s="12">
        <v>13.76</v>
      </c>
      <c r="AM8" s="13">
        <v>1.84</v>
      </c>
      <c r="AN8" s="12">
        <v>12.512</v>
      </c>
      <c r="AO8" s="13">
        <v>7.3120000000000003</v>
      </c>
      <c r="AP8" s="12">
        <v>8.7040000000000006</v>
      </c>
      <c r="AQ8" s="13">
        <v>26.271999999999998</v>
      </c>
      <c r="AR8" s="12">
        <v>8.5760000000000005</v>
      </c>
      <c r="AS8" s="144">
        <v>8.7040000000000006</v>
      </c>
      <c r="AT8" s="12">
        <v>12.784000000000001</v>
      </c>
      <c r="AU8" s="13">
        <v>0</v>
      </c>
      <c r="AV8" s="12">
        <f>IFERROR(VLOOKUP(E8,[1]Sheet4!$A:$D,4,0),0)</f>
        <v>12.928000000000001</v>
      </c>
      <c r="AW8" s="145">
        <v>21.36</v>
      </c>
      <c r="AX8" s="12">
        <v>12.064</v>
      </c>
      <c r="AY8" s="146">
        <v>12.928000000000001</v>
      </c>
      <c r="AZ8" s="12">
        <v>9.0079999999999991</v>
      </c>
      <c r="BA8" s="146">
        <v>12.064</v>
      </c>
      <c r="BB8" s="12">
        <v>10.304</v>
      </c>
      <c r="BC8" s="39">
        <v>9.0079999999999991</v>
      </c>
      <c r="BD8" s="12">
        <f t="shared" si="3"/>
        <v>109.79199999999999</v>
      </c>
      <c r="BE8" s="14">
        <f t="shared" si="4"/>
        <v>99.487999999999985</v>
      </c>
      <c r="BF8" s="24">
        <f t="shared" si="0"/>
        <v>0.90614981055085975</v>
      </c>
      <c r="BG8" s="23">
        <f t="shared" si="1"/>
        <v>0.18542167551952288</v>
      </c>
    </row>
    <row r="9" spans="1:59" ht="18" customHeight="1" x14ac:dyDescent="0.2">
      <c r="A9" s="27" t="str">
        <f t="shared" si="2"/>
        <v>법인</v>
      </c>
      <c r="B9" s="27" t="s">
        <v>1559</v>
      </c>
      <c r="C9" s="27" t="s">
        <v>1496</v>
      </c>
      <c r="D9" s="26">
        <v>1258206916</v>
      </c>
      <c r="E9" s="26">
        <v>10032706</v>
      </c>
      <c r="F9" s="25" t="s">
        <v>353</v>
      </c>
      <c r="G9" s="48" t="s">
        <v>322</v>
      </c>
      <c r="H9" s="53">
        <v>45848</v>
      </c>
      <c r="I9" s="53">
        <v>45958</v>
      </c>
      <c r="J9" s="14">
        <v>429.23500000000001</v>
      </c>
      <c r="K9" s="49" t="s">
        <v>311</v>
      </c>
      <c r="L9" s="12">
        <v>0</v>
      </c>
      <c r="M9" s="13">
        <v>0</v>
      </c>
      <c r="N9" s="12">
        <v>0</v>
      </c>
      <c r="O9" s="13">
        <v>0</v>
      </c>
      <c r="P9" s="12">
        <v>0</v>
      </c>
      <c r="Q9" s="13">
        <v>0</v>
      </c>
      <c r="R9" s="12">
        <v>0</v>
      </c>
      <c r="S9" s="13">
        <v>0</v>
      </c>
      <c r="T9" s="12">
        <v>0</v>
      </c>
      <c r="U9" s="13">
        <v>0</v>
      </c>
      <c r="V9" s="12">
        <v>0</v>
      </c>
      <c r="W9" s="13">
        <v>0</v>
      </c>
      <c r="X9" s="12">
        <v>0</v>
      </c>
      <c r="Y9" s="13">
        <v>0</v>
      </c>
      <c r="Z9" s="12">
        <v>0</v>
      </c>
      <c r="AA9" s="13">
        <v>0</v>
      </c>
      <c r="AB9" s="12">
        <v>0</v>
      </c>
      <c r="AC9" s="13">
        <v>0</v>
      </c>
      <c r="AD9" s="12">
        <v>0</v>
      </c>
      <c r="AE9" s="13">
        <v>0</v>
      </c>
      <c r="AF9" s="12">
        <v>0</v>
      </c>
      <c r="AG9" s="13">
        <v>0</v>
      </c>
      <c r="AH9" s="12">
        <v>0</v>
      </c>
      <c r="AI9" s="13">
        <v>0</v>
      </c>
      <c r="AJ9" s="12">
        <v>8.4130000000000003</v>
      </c>
      <c r="AK9" s="13">
        <v>0</v>
      </c>
      <c r="AL9" s="12">
        <v>12.362</v>
      </c>
      <c r="AM9" s="13">
        <v>0</v>
      </c>
      <c r="AN9" s="12">
        <v>15.868</v>
      </c>
      <c r="AO9" s="13">
        <v>8.4130000000000003</v>
      </c>
      <c r="AP9" s="12">
        <v>14.404999999999999</v>
      </c>
      <c r="AQ9" s="13">
        <v>0</v>
      </c>
      <c r="AR9" s="12" t="s">
        <v>1496</v>
      </c>
      <c r="AS9" s="13">
        <v>12.362</v>
      </c>
      <c r="AT9" s="12">
        <v>34.152000000000001</v>
      </c>
      <c r="AU9" s="13">
        <v>0</v>
      </c>
      <c r="AV9" s="12">
        <f>IFERROR(VLOOKUP(E9,[1]Sheet4!$A:$D,4,0),0)</f>
        <v>16.497</v>
      </c>
      <c r="AW9" s="13">
        <v>15.868</v>
      </c>
      <c r="AX9" s="12">
        <v>13.4</v>
      </c>
      <c r="AY9" s="39">
        <v>15</v>
      </c>
      <c r="AZ9" s="12">
        <v>8.19</v>
      </c>
      <c r="BA9" s="39">
        <v>18</v>
      </c>
      <c r="BB9" s="12">
        <v>7.9770000000000003</v>
      </c>
      <c r="BC9" s="39">
        <v>3</v>
      </c>
      <c r="BD9" s="12">
        <f t="shared" si="3"/>
        <v>131.26400000000001</v>
      </c>
      <c r="BE9" s="14">
        <f t="shared" si="4"/>
        <v>72.643000000000001</v>
      </c>
      <c r="BF9" s="24">
        <f t="shared" si="0"/>
        <v>0.55341144563627498</v>
      </c>
      <c r="BG9" s="23">
        <f t="shared" si="1"/>
        <v>0.16923829603830071</v>
      </c>
    </row>
    <row r="10" spans="1:59" ht="18" customHeight="1" x14ac:dyDescent="0.2">
      <c r="A10" s="27" t="str">
        <f t="shared" si="2"/>
        <v>법인</v>
      </c>
      <c r="B10" s="27" t="s">
        <v>1560</v>
      </c>
      <c r="C10" s="27" t="s">
        <v>1496</v>
      </c>
      <c r="D10" s="26">
        <v>1278221650</v>
      </c>
      <c r="E10" s="26">
        <v>10045809</v>
      </c>
      <c r="F10" s="25" t="s">
        <v>352</v>
      </c>
      <c r="G10" s="48" t="s">
        <v>322</v>
      </c>
      <c r="H10" s="53">
        <v>45834</v>
      </c>
      <c r="I10" s="53">
        <v>45923</v>
      </c>
      <c r="J10" s="14">
        <v>605.33400000000006</v>
      </c>
      <c r="K10" s="49" t="s">
        <v>311</v>
      </c>
      <c r="L10" s="12">
        <v>0</v>
      </c>
      <c r="M10" s="13">
        <v>0</v>
      </c>
      <c r="N10" s="12">
        <v>0</v>
      </c>
      <c r="O10" s="13">
        <v>0</v>
      </c>
      <c r="P10" s="12">
        <v>0</v>
      </c>
      <c r="Q10" s="13">
        <v>0</v>
      </c>
      <c r="R10" s="12">
        <v>0</v>
      </c>
      <c r="S10" s="13">
        <v>0</v>
      </c>
      <c r="T10" s="12">
        <v>0</v>
      </c>
      <c r="U10" s="13">
        <v>0</v>
      </c>
      <c r="V10" s="12">
        <v>0</v>
      </c>
      <c r="W10" s="13">
        <v>0</v>
      </c>
      <c r="X10" s="12">
        <v>0</v>
      </c>
      <c r="Y10" s="13">
        <v>0</v>
      </c>
      <c r="Z10" s="12">
        <v>0</v>
      </c>
      <c r="AA10" s="13">
        <v>0</v>
      </c>
      <c r="AB10" s="12">
        <v>0</v>
      </c>
      <c r="AC10" s="13">
        <v>0</v>
      </c>
      <c r="AD10" s="12">
        <v>0</v>
      </c>
      <c r="AE10" s="13">
        <v>0</v>
      </c>
      <c r="AF10" s="12">
        <v>0</v>
      </c>
      <c r="AG10" s="13">
        <v>0</v>
      </c>
      <c r="AH10" s="12">
        <v>7.0309999999999997</v>
      </c>
      <c r="AI10" s="13">
        <v>0</v>
      </c>
      <c r="AJ10" s="12">
        <v>6.7729999999999997</v>
      </c>
      <c r="AK10" s="13">
        <v>0</v>
      </c>
      <c r="AL10" s="12">
        <v>10.192</v>
      </c>
      <c r="AM10" s="13">
        <v>0</v>
      </c>
      <c r="AN10" s="12">
        <v>11.257999999999999</v>
      </c>
      <c r="AO10" s="13">
        <v>13.804</v>
      </c>
      <c r="AP10" s="12">
        <v>10.855</v>
      </c>
      <c r="AQ10" s="13">
        <v>10.192</v>
      </c>
      <c r="AR10" s="12">
        <v>11.375</v>
      </c>
      <c r="AS10" s="13">
        <v>11.257999999999999</v>
      </c>
      <c r="AT10" s="12">
        <v>12.285</v>
      </c>
      <c r="AU10" s="13">
        <v>10.855</v>
      </c>
      <c r="AV10" s="12">
        <f>IFERROR(VLOOKUP(E10,[1]Sheet4!$A:$D,4,0),0)</f>
        <v>11.791</v>
      </c>
      <c r="AW10" s="13">
        <v>11.375</v>
      </c>
      <c r="AX10" s="12">
        <v>9.984</v>
      </c>
      <c r="AY10" s="39">
        <v>12.285</v>
      </c>
      <c r="AZ10" s="12">
        <v>12.272</v>
      </c>
      <c r="BA10" s="39">
        <v>11.791</v>
      </c>
      <c r="BB10" s="12">
        <v>12.48</v>
      </c>
      <c r="BC10" s="39">
        <v>9.984</v>
      </c>
      <c r="BD10" s="12">
        <f t="shared" si="3"/>
        <v>116.29599999999999</v>
      </c>
      <c r="BE10" s="14">
        <f t="shared" si="4"/>
        <v>91.543999999999997</v>
      </c>
      <c r="BF10" s="24">
        <f t="shared" si="0"/>
        <v>0.78716378895232852</v>
      </c>
      <c r="BG10" s="23">
        <f t="shared" si="1"/>
        <v>0.15122890833820665</v>
      </c>
    </row>
    <row r="11" spans="1:59" ht="18" customHeight="1" x14ac:dyDescent="0.2">
      <c r="A11" s="27" t="str">
        <f t="shared" si="2"/>
        <v>개인</v>
      </c>
      <c r="B11" s="27" t="s">
        <v>1558</v>
      </c>
      <c r="C11" s="27" t="s">
        <v>1554</v>
      </c>
      <c r="D11" s="26">
        <v>1289131022</v>
      </c>
      <c r="E11" s="26">
        <v>10033043</v>
      </c>
      <c r="F11" s="25" t="s">
        <v>130</v>
      </c>
      <c r="G11" s="48" t="s">
        <v>322</v>
      </c>
      <c r="H11" s="53">
        <v>45806</v>
      </c>
      <c r="I11" s="53">
        <v>45888</v>
      </c>
      <c r="J11" s="14">
        <v>351.42600000000004</v>
      </c>
      <c r="K11" s="49" t="s">
        <v>311</v>
      </c>
      <c r="L11" s="12">
        <v>0</v>
      </c>
      <c r="M11" s="13">
        <v>0</v>
      </c>
      <c r="N11" s="12">
        <v>0</v>
      </c>
      <c r="O11" s="13">
        <v>0</v>
      </c>
      <c r="P11" s="12">
        <v>0</v>
      </c>
      <c r="Q11" s="13">
        <v>0</v>
      </c>
      <c r="R11" s="12">
        <v>0</v>
      </c>
      <c r="S11" s="13">
        <v>0</v>
      </c>
      <c r="T11" s="12">
        <v>0</v>
      </c>
      <c r="U11" s="13">
        <v>0</v>
      </c>
      <c r="V11" s="12">
        <v>0</v>
      </c>
      <c r="W11" s="13">
        <v>0</v>
      </c>
      <c r="X11" s="12">
        <v>0</v>
      </c>
      <c r="Y11" s="13">
        <v>0</v>
      </c>
      <c r="Z11" s="12">
        <v>0</v>
      </c>
      <c r="AA11" s="13">
        <v>0</v>
      </c>
      <c r="AB11" s="12">
        <v>0</v>
      </c>
      <c r="AC11" s="13">
        <v>0</v>
      </c>
      <c r="AD11" s="12">
        <v>0</v>
      </c>
      <c r="AE11" s="13">
        <v>0</v>
      </c>
      <c r="AF11" s="12">
        <v>0</v>
      </c>
      <c r="AG11" s="13">
        <v>0</v>
      </c>
      <c r="AH11" s="12">
        <v>0</v>
      </c>
      <c r="AI11" s="13">
        <v>0</v>
      </c>
      <c r="AJ11" s="12">
        <v>10.003</v>
      </c>
      <c r="AK11" s="13">
        <v>0</v>
      </c>
      <c r="AL11" s="12">
        <v>9.4949999999999992</v>
      </c>
      <c r="AM11" s="13">
        <v>10.003</v>
      </c>
      <c r="AN11" s="12">
        <v>6.9290000000000003</v>
      </c>
      <c r="AO11" s="13">
        <v>9.4949999999999992</v>
      </c>
      <c r="AP11" s="12">
        <v>6.1059999999999999</v>
      </c>
      <c r="AQ11" s="13">
        <v>6.9290000000000003</v>
      </c>
      <c r="AR11" s="12">
        <v>8.3550000000000004</v>
      </c>
      <c r="AS11" s="13">
        <v>6.1059999999999999</v>
      </c>
      <c r="AT11" s="12">
        <v>9.3989999999999991</v>
      </c>
      <c r="AU11" s="13">
        <v>8.3550000000000004</v>
      </c>
      <c r="AV11" s="12">
        <f>IFERROR(VLOOKUP(E11,[1]Sheet4!$A:$D,4,0),0)</f>
        <v>7.6449999999999996</v>
      </c>
      <c r="AW11" s="13">
        <v>9.3989999999999991</v>
      </c>
      <c r="AX11" s="12">
        <v>9.01</v>
      </c>
      <c r="AY11" s="39">
        <v>7.6449999999999996</v>
      </c>
      <c r="AZ11" s="12">
        <v>11.775</v>
      </c>
      <c r="BA11" s="39">
        <v>9.01</v>
      </c>
      <c r="BB11" s="12">
        <v>11.129</v>
      </c>
      <c r="BC11" s="39">
        <v>11.775</v>
      </c>
      <c r="BD11" s="12">
        <f t="shared" si="3"/>
        <v>89.846000000000018</v>
      </c>
      <c r="BE11" s="14">
        <f t="shared" si="4"/>
        <v>78.717000000000013</v>
      </c>
      <c r="BF11" s="24">
        <f t="shared" si="0"/>
        <v>0.87613249337755716</v>
      </c>
      <c r="BG11" s="23">
        <f t="shared" si="1"/>
        <v>0.22399310238855408</v>
      </c>
    </row>
    <row r="12" spans="1:59" ht="18" customHeight="1" x14ac:dyDescent="0.2">
      <c r="A12" s="27" t="str">
        <f t="shared" si="2"/>
        <v>개인</v>
      </c>
      <c r="B12" s="27" t="s">
        <v>1555</v>
      </c>
      <c r="C12" s="27" t="s">
        <v>1554</v>
      </c>
      <c r="D12" s="26">
        <v>1289239661</v>
      </c>
      <c r="E12" s="26">
        <v>10006915</v>
      </c>
      <c r="F12" s="25" t="s">
        <v>134</v>
      </c>
      <c r="G12" s="48" t="s">
        <v>322</v>
      </c>
      <c r="H12" s="53">
        <v>45953</v>
      </c>
      <c r="I12" s="53">
        <v>45965</v>
      </c>
      <c r="J12" s="14">
        <v>1054.308548</v>
      </c>
      <c r="K12" s="49" t="s">
        <v>311</v>
      </c>
      <c r="L12" s="12">
        <v>0</v>
      </c>
      <c r="M12" s="13">
        <v>0</v>
      </c>
      <c r="N12" s="12">
        <v>0</v>
      </c>
      <c r="O12" s="13">
        <v>0</v>
      </c>
      <c r="P12" s="12">
        <v>0</v>
      </c>
      <c r="Q12" s="13">
        <v>0</v>
      </c>
      <c r="R12" s="12">
        <v>0</v>
      </c>
      <c r="S12" s="13">
        <v>0</v>
      </c>
      <c r="T12" s="12">
        <v>0</v>
      </c>
      <c r="U12" s="13">
        <v>0</v>
      </c>
      <c r="V12" s="12">
        <v>0</v>
      </c>
      <c r="W12" s="13">
        <v>0</v>
      </c>
      <c r="X12" s="12">
        <v>0</v>
      </c>
      <c r="Y12" s="13">
        <v>0</v>
      </c>
      <c r="Z12" s="12">
        <v>0</v>
      </c>
      <c r="AA12" s="13">
        <v>0</v>
      </c>
      <c r="AB12" s="12">
        <v>0</v>
      </c>
      <c r="AC12" s="13">
        <v>0</v>
      </c>
      <c r="AD12" s="12">
        <v>0</v>
      </c>
      <c r="AE12" s="13">
        <v>0</v>
      </c>
      <c r="AF12" s="12">
        <v>0</v>
      </c>
      <c r="AG12" s="13">
        <v>0</v>
      </c>
      <c r="AH12" s="12">
        <v>0</v>
      </c>
      <c r="AI12" s="13">
        <v>0</v>
      </c>
      <c r="AJ12" s="12">
        <v>2.6920000000000002</v>
      </c>
      <c r="AK12" s="13">
        <v>0</v>
      </c>
      <c r="AL12" s="12">
        <v>7.0720000000000001</v>
      </c>
      <c r="AM12" s="13">
        <v>0</v>
      </c>
      <c r="AN12" s="12">
        <v>9.5519999999999996</v>
      </c>
      <c r="AO12" s="13">
        <v>9.7639999999999993</v>
      </c>
      <c r="AP12" s="12">
        <v>8.8000000000000007</v>
      </c>
      <c r="AQ12" s="13">
        <v>9.5519999999999996</v>
      </c>
      <c r="AR12" s="12">
        <v>10.08</v>
      </c>
      <c r="AS12" s="13">
        <v>8.8000000000000007</v>
      </c>
      <c r="AT12" s="12">
        <v>9.44</v>
      </c>
      <c r="AU12" s="13">
        <v>10.08</v>
      </c>
      <c r="AV12" s="12">
        <f>IFERROR(VLOOKUP(E12,[1]Sheet4!$A:$D,4,0),0)</f>
        <v>9.6959999999999997</v>
      </c>
      <c r="AW12" s="13">
        <v>9.44</v>
      </c>
      <c r="AX12" s="12">
        <v>9.3759999999999994</v>
      </c>
      <c r="AY12" s="39">
        <v>9.6959999999999997</v>
      </c>
      <c r="AZ12" s="12">
        <v>8.7680000000000007</v>
      </c>
      <c r="BA12" s="39">
        <v>9.3759999999999994</v>
      </c>
      <c r="BB12" s="12">
        <v>7.7279999999999998</v>
      </c>
      <c r="BC12" s="39">
        <v>8.7680000000000007</v>
      </c>
      <c r="BD12" s="12">
        <f t="shared" si="3"/>
        <v>83.203999999999994</v>
      </c>
      <c r="BE12" s="14">
        <f t="shared" si="4"/>
        <v>75.475999999999999</v>
      </c>
      <c r="BF12" s="24">
        <f t="shared" si="0"/>
        <v>0.90711985000721129</v>
      </c>
      <c r="BG12" s="23">
        <f t="shared" si="1"/>
        <v>7.1588151441223075E-2</v>
      </c>
    </row>
    <row r="13" spans="1:59" ht="18" customHeight="1" x14ac:dyDescent="0.2">
      <c r="A13" s="27" t="str">
        <f t="shared" si="2"/>
        <v>법인</v>
      </c>
      <c r="B13" s="27" t="s">
        <v>1561</v>
      </c>
      <c r="C13" s="27" t="s">
        <v>1496</v>
      </c>
      <c r="D13" s="26">
        <v>1378208431</v>
      </c>
      <c r="E13" s="26">
        <v>10033886</v>
      </c>
      <c r="F13" s="25" t="s">
        <v>351</v>
      </c>
      <c r="G13" s="48" t="s">
        <v>322</v>
      </c>
      <c r="H13" s="53">
        <v>45897</v>
      </c>
      <c r="I13" s="53">
        <v>45944</v>
      </c>
      <c r="J13" s="14">
        <v>1146.845</v>
      </c>
      <c r="K13" s="49" t="s">
        <v>350</v>
      </c>
      <c r="L13" s="12">
        <v>0</v>
      </c>
      <c r="M13" s="13">
        <v>0</v>
      </c>
      <c r="N13" s="12">
        <v>0</v>
      </c>
      <c r="O13" s="13">
        <v>0</v>
      </c>
      <c r="P13" s="12">
        <v>0</v>
      </c>
      <c r="Q13" s="13">
        <v>0</v>
      </c>
      <c r="R13" s="12">
        <v>0</v>
      </c>
      <c r="S13" s="13">
        <v>0</v>
      </c>
      <c r="T13" s="12">
        <v>0</v>
      </c>
      <c r="U13" s="13">
        <v>0</v>
      </c>
      <c r="V13" s="12">
        <v>0</v>
      </c>
      <c r="W13" s="13">
        <v>0</v>
      </c>
      <c r="X13" s="12">
        <v>0</v>
      </c>
      <c r="Y13" s="13">
        <v>0</v>
      </c>
      <c r="Z13" s="12">
        <v>0</v>
      </c>
      <c r="AA13" s="13">
        <v>0</v>
      </c>
      <c r="AB13" s="12">
        <v>0</v>
      </c>
      <c r="AC13" s="13">
        <v>0</v>
      </c>
      <c r="AD13" s="12">
        <v>0</v>
      </c>
      <c r="AE13" s="13">
        <v>0</v>
      </c>
      <c r="AF13" s="12">
        <v>0</v>
      </c>
      <c r="AG13" s="13">
        <v>0</v>
      </c>
      <c r="AH13" s="12">
        <v>0</v>
      </c>
      <c r="AI13" s="13">
        <v>0</v>
      </c>
      <c r="AJ13" s="12">
        <v>82.381</v>
      </c>
      <c r="AK13" s="13">
        <v>0</v>
      </c>
      <c r="AL13" s="12">
        <v>39.234000000000002</v>
      </c>
      <c r="AM13" s="13">
        <v>82.381</v>
      </c>
      <c r="AN13" s="12">
        <v>31.564</v>
      </c>
      <c r="AO13" s="13">
        <v>39.234000000000002</v>
      </c>
      <c r="AP13" s="12">
        <v>77.141999999999996</v>
      </c>
      <c r="AQ13" s="13">
        <v>31.564</v>
      </c>
      <c r="AR13" s="12">
        <v>56.991999999999997</v>
      </c>
      <c r="AS13" s="13">
        <v>77.141999999999996</v>
      </c>
      <c r="AT13" s="12">
        <v>35.698</v>
      </c>
      <c r="AU13" s="13">
        <v>56.991999999999997</v>
      </c>
      <c r="AV13" s="12">
        <f>IFERROR(VLOOKUP(E13,[1]Sheet4!$A:$D,4,0),0)</f>
        <v>44.343000000000004</v>
      </c>
      <c r="AW13" s="13">
        <v>35.698</v>
      </c>
      <c r="AX13" s="12">
        <v>52.078000000000003</v>
      </c>
      <c r="AY13" s="39">
        <v>44.343000000000004</v>
      </c>
      <c r="AZ13" s="12">
        <v>43.719000000000001</v>
      </c>
      <c r="BA13" s="39">
        <v>52.078000000000003</v>
      </c>
      <c r="BB13" s="12">
        <v>53.898000000000003</v>
      </c>
      <c r="BC13" s="39">
        <v>43.719000000000001</v>
      </c>
      <c r="BD13" s="12">
        <f t="shared" si="3"/>
        <v>517.04899999999998</v>
      </c>
      <c r="BE13" s="14">
        <f t="shared" si="4"/>
        <v>463.15100000000001</v>
      </c>
      <c r="BF13" s="24">
        <f t="shared" si="0"/>
        <v>0.89575842908505776</v>
      </c>
      <c r="BG13" s="23">
        <v>0</v>
      </c>
    </row>
    <row r="14" spans="1:59" ht="18" customHeight="1" x14ac:dyDescent="0.2">
      <c r="A14" s="27" t="str">
        <f t="shared" si="2"/>
        <v>법인</v>
      </c>
      <c r="B14" s="27" t="s">
        <v>1562</v>
      </c>
      <c r="C14" s="27" t="s">
        <v>1496</v>
      </c>
      <c r="D14" s="26">
        <v>1428200955</v>
      </c>
      <c r="E14" s="26">
        <v>10034115</v>
      </c>
      <c r="F14" s="25" t="s">
        <v>349</v>
      </c>
      <c r="G14" s="48" t="s">
        <v>319</v>
      </c>
      <c r="H14" s="53">
        <v>45923</v>
      </c>
      <c r="I14" s="50">
        <v>45964</v>
      </c>
      <c r="J14" s="14">
        <v>420.56399999999996</v>
      </c>
      <c r="K14" s="51">
        <v>0</v>
      </c>
      <c r="L14" s="12">
        <v>0</v>
      </c>
      <c r="M14" s="13">
        <v>0</v>
      </c>
      <c r="N14" s="12">
        <v>0</v>
      </c>
      <c r="O14" s="13">
        <v>0</v>
      </c>
      <c r="P14" s="12">
        <v>0</v>
      </c>
      <c r="Q14" s="13">
        <v>0</v>
      </c>
      <c r="R14" s="12">
        <v>0</v>
      </c>
      <c r="S14" s="13">
        <v>0</v>
      </c>
      <c r="T14" s="12">
        <v>0</v>
      </c>
      <c r="U14" s="13">
        <v>0</v>
      </c>
      <c r="V14" s="12">
        <v>0</v>
      </c>
      <c r="W14" s="13">
        <v>0</v>
      </c>
      <c r="X14" s="12">
        <v>0</v>
      </c>
      <c r="Y14" s="13">
        <v>0</v>
      </c>
      <c r="Z14" s="12">
        <v>0</v>
      </c>
      <c r="AA14" s="13">
        <v>0</v>
      </c>
      <c r="AB14" s="12">
        <v>0</v>
      </c>
      <c r="AC14" s="13">
        <v>0</v>
      </c>
      <c r="AD14" s="12">
        <v>0</v>
      </c>
      <c r="AE14" s="13">
        <v>0</v>
      </c>
      <c r="AF14" s="12">
        <v>0</v>
      </c>
      <c r="AG14" s="13">
        <v>0</v>
      </c>
      <c r="AH14" s="12">
        <v>420.56400000000002</v>
      </c>
      <c r="AI14" s="13">
        <v>0</v>
      </c>
      <c r="AJ14" s="12">
        <v>0</v>
      </c>
      <c r="AK14" s="13">
        <v>0</v>
      </c>
      <c r="AL14" s="12">
        <v>0</v>
      </c>
      <c r="AM14" s="13">
        <v>0</v>
      </c>
      <c r="AN14" s="12">
        <v>0</v>
      </c>
      <c r="AO14" s="13">
        <v>126.1692</v>
      </c>
      <c r="AP14" s="12">
        <v>0</v>
      </c>
      <c r="AQ14" s="13">
        <v>294.39479999999998</v>
      </c>
      <c r="AR14" s="12" t="s">
        <v>1496</v>
      </c>
      <c r="AS14" s="13">
        <v>0</v>
      </c>
      <c r="AT14" s="12">
        <v>0</v>
      </c>
      <c r="AU14" s="13">
        <v>0</v>
      </c>
      <c r="AV14" s="12">
        <f>IFERROR(VLOOKUP(E14,[1]Sheet4!$A:$D,4,0),0)</f>
        <v>0</v>
      </c>
      <c r="AW14" s="13">
        <v>0</v>
      </c>
      <c r="AX14" s="12">
        <v>0</v>
      </c>
      <c r="AY14" s="39">
        <v>0</v>
      </c>
      <c r="AZ14" s="12">
        <v>0</v>
      </c>
      <c r="BA14" s="39">
        <v>0</v>
      </c>
      <c r="BB14" s="12">
        <v>0</v>
      </c>
      <c r="BC14" s="39">
        <v>0</v>
      </c>
      <c r="BD14" s="12">
        <f t="shared" si="3"/>
        <v>420.56400000000002</v>
      </c>
      <c r="BE14" s="14">
        <f t="shared" si="4"/>
        <v>420.56399999999996</v>
      </c>
      <c r="BF14" s="24">
        <f t="shared" si="0"/>
        <v>0.99999999999999989</v>
      </c>
      <c r="BG14" s="23">
        <f t="shared" ref="BG14:BG22" si="5">BE14/J14</f>
        <v>1</v>
      </c>
    </row>
    <row r="15" spans="1:59" ht="18" customHeight="1" x14ac:dyDescent="0.2">
      <c r="A15" s="27" t="str">
        <f t="shared" si="2"/>
        <v>개인</v>
      </c>
      <c r="B15" s="27" t="s">
        <v>1558</v>
      </c>
      <c r="C15" s="27" t="s">
        <v>1554</v>
      </c>
      <c r="D15" s="26">
        <v>2059615760</v>
      </c>
      <c r="E15" s="26">
        <v>10034679</v>
      </c>
      <c r="F15" s="25" t="s">
        <v>120</v>
      </c>
      <c r="G15" s="48" t="s">
        <v>322</v>
      </c>
      <c r="H15" s="53">
        <v>45845</v>
      </c>
      <c r="I15" s="53">
        <v>45958</v>
      </c>
      <c r="J15" s="14">
        <v>490.29800000000006</v>
      </c>
      <c r="K15" s="49" t="s">
        <v>311</v>
      </c>
      <c r="L15" s="12">
        <v>0</v>
      </c>
      <c r="M15" s="13">
        <v>0</v>
      </c>
      <c r="N15" s="12">
        <v>0</v>
      </c>
      <c r="O15" s="13">
        <v>0</v>
      </c>
      <c r="P15" s="12">
        <v>0</v>
      </c>
      <c r="Q15" s="13">
        <v>0</v>
      </c>
      <c r="R15" s="12">
        <v>0</v>
      </c>
      <c r="S15" s="13">
        <v>0</v>
      </c>
      <c r="T15" s="12">
        <v>0</v>
      </c>
      <c r="U15" s="13">
        <v>0</v>
      </c>
      <c r="V15" s="12">
        <v>0</v>
      </c>
      <c r="W15" s="13">
        <v>0</v>
      </c>
      <c r="X15" s="12">
        <v>0</v>
      </c>
      <c r="Y15" s="13">
        <v>0</v>
      </c>
      <c r="Z15" s="12">
        <v>0</v>
      </c>
      <c r="AA15" s="13">
        <v>0</v>
      </c>
      <c r="AB15" s="12">
        <v>0</v>
      </c>
      <c r="AC15" s="13">
        <v>0</v>
      </c>
      <c r="AD15" s="12">
        <v>0</v>
      </c>
      <c r="AE15" s="13">
        <v>0</v>
      </c>
      <c r="AF15" s="12">
        <v>0</v>
      </c>
      <c r="AG15" s="13">
        <v>0</v>
      </c>
      <c r="AH15" s="12">
        <v>0</v>
      </c>
      <c r="AI15" s="13">
        <v>0</v>
      </c>
      <c r="AJ15" s="12">
        <v>7.7590000000000003</v>
      </c>
      <c r="AK15" s="13">
        <v>0</v>
      </c>
      <c r="AL15" s="12">
        <v>12.558999999999999</v>
      </c>
      <c r="AM15" s="13">
        <v>0</v>
      </c>
      <c r="AN15" s="12">
        <v>9.9350000000000005</v>
      </c>
      <c r="AO15" s="13">
        <v>20.318000000000001</v>
      </c>
      <c r="AP15" s="12">
        <v>5.4390000000000001</v>
      </c>
      <c r="AQ15" s="13">
        <v>9.9350000000000005</v>
      </c>
      <c r="AR15" s="12">
        <v>10.336</v>
      </c>
      <c r="AS15" s="13">
        <v>5.4390000000000001</v>
      </c>
      <c r="AT15" s="12">
        <v>11.513</v>
      </c>
      <c r="AU15" s="13">
        <v>10.336</v>
      </c>
      <c r="AV15" s="12">
        <f>IFERROR(VLOOKUP(E15,[1]Sheet4!$A:$D,4,0),0)</f>
        <v>10.131</v>
      </c>
      <c r="AW15" s="13">
        <v>11.513</v>
      </c>
      <c r="AX15" s="12">
        <v>9.4</v>
      </c>
      <c r="AY15" s="39">
        <v>10.131</v>
      </c>
      <c r="AZ15" s="12">
        <v>10.119999999999999</v>
      </c>
      <c r="BA15" s="39">
        <v>9.4</v>
      </c>
      <c r="BB15" s="12">
        <v>12.835000000000001</v>
      </c>
      <c r="BC15" s="39">
        <v>10.119999999999999</v>
      </c>
      <c r="BD15" s="12">
        <f t="shared" si="3"/>
        <v>100.02700000000002</v>
      </c>
      <c r="BE15" s="14">
        <f t="shared" si="4"/>
        <v>87.192000000000007</v>
      </c>
      <c r="BF15" s="24">
        <f t="shared" si="0"/>
        <v>0.87168464514581057</v>
      </c>
      <c r="BG15" s="23">
        <f t="shared" si="5"/>
        <v>0.17783470460821785</v>
      </c>
    </row>
    <row r="16" spans="1:59" ht="18" customHeight="1" x14ac:dyDescent="0.2">
      <c r="A16" s="27" t="str">
        <f t="shared" si="2"/>
        <v>개인</v>
      </c>
      <c r="B16" s="27" t="s">
        <v>1559</v>
      </c>
      <c r="C16" s="27" t="s">
        <v>1554</v>
      </c>
      <c r="D16" s="26">
        <v>2109607113</v>
      </c>
      <c r="E16" s="26">
        <v>10044981</v>
      </c>
      <c r="F16" s="25" t="s">
        <v>124</v>
      </c>
      <c r="G16" s="48" t="s">
        <v>322</v>
      </c>
      <c r="H16" s="53">
        <v>45849</v>
      </c>
      <c r="I16" s="53">
        <v>45965</v>
      </c>
      <c r="J16" s="14">
        <v>404.67899999999997</v>
      </c>
      <c r="K16" s="49" t="s">
        <v>311</v>
      </c>
      <c r="L16" s="12">
        <v>0</v>
      </c>
      <c r="M16" s="13">
        <v>0</v>
      </c>
      <c r="N16" s="12">
        <v>0</v>
      </c>
      <c r="O16" s="13">
        <v>0</v>
      </c>
      <c r="P16" s="12">
        <v>0</v>
      </c>
      <c r="Q16" s="13">
        <v>0</v>
      </c>
      <c r="R16" s="12">
        <v>0</v>
      </c>
      <c r="S16" s="13">
        <v>0</v>
      </c>
      <c r="T16" s="12">
        <v>0</v>
      </c>
      <c r="U16" s="13">
        <v>0</v>
      </c>
      <c r="V16" s="12">
        <v>0</v>
      </c>
      <c r="W16" s="13">
        <v>0</v>
      </c>
      <c r="X16" s="12">
        <v>0</v>
      </c>
      <c r="Y16" s="13">
        <v>0</v>
      </c>
      <c r="Z16" s="12">
        <v>0</v>
      </c>
      <c r="AA16" s="13">
        <v>0</v>
      </c>
      <c r="AB16" s="12">
        <v>0</v>
      </c>
      <c r="AC16" s="13">
        <v>0</v>
      </c>
      <c r="AD16" s="12">
        <v>0</v>
      </c>
      <c r="AE16" s="13">
        <v>0</v>
      </c>
      <c r="AF16" s="12">
        <v>0</v>
      </c>
      <c r="AG16" s="13">
        <v>0</v>
      </c>
      <c r="AH16" s="12">
        <v>0</v>
      </c>
      <c r="AI16" s="13">
        <v>0</v>
      </c>
      <c r="AJ16" s="12">
        <v>5.9640000000000004</v>
      </c>
      <c r="AK16" s="13">
        <v>0</v>
      </c>
      <c r="AL16" s="12">
        <v>10.712999999999999</v>
      </c>
      <c r="AM16" s="13">
        <v>0</v>
      </c>
      <c r="AN16" s="12">
        <v>13.101000000000001</v>
      </c>
      <c r="AO16" s="13">
        <v>5.9640000000000004</v>
      </c>
      <c r="AP16" s="12">
        <v>9.8249999999999993</v>
      </c>
      <c r="AQ16" s="13">
        <v>10.712999999999999</v>
      </c>
      <c r="AR16" s="12">
        <v>12.917999999999999</v>
      </c>
      <c r="AS16" s="13">
        <v>13.101000000000001</v>
      </c>
      <c r="AT16" s="12">
        <v>9.3960000000000008</v>
      </c>
      <c r="AU16" s="13">
        <v>12.743</v>
      </c>
      <c r="AV16" s="12">
        <f>IFERROR(VLOOKUP(E16,[1]Sheet4!$A:$D,4,0),0)</f>
        <v>9.5679999999999996</v>
      </c>
      <c r="AW16" s="13">
        <v>14</v>
      </c>
      <c r="AX16" s="12">
        <v>11.837</v>
      </c>
      <c r="AY16" s="39">
        <v>14.964</v>
      </c>
      <c r="AZ16" s="12">
        <v>12.128</v>
      </c>
      <c r="BA16" s="39">
        <v>11.837</v>
      </c>
      <c r="BB16" s="12">
        <v>11.105</v>
      </c>
      <c r="BC16" s="39">
        <v>12.128</v>
      </c>
      <c r="BD16" s="12">
        <f t="shared" si="3"/>
        <v>106.55500000000001</v>
      </c>
      <c r="BE16" s="14">
        <f t="shared" si="4"/>
        <v>95.45</v>
      </c>
      <c r="BF16" s="24">
        <f t="shared" si="0"/>
        <v>0.89578152128009003</v>
      </c>
      <c r="BG16" s="23">
        <f t="shared" si="5"/>
        <v>0.23586595795680035</v>
      </c>
    </row>
    <row r="17" spans="1:59" ht="18" customHeight="1" x14ac:dyDescent="0.2">
      <c r="A17" s="27" t="str">
        <f t="shared" si="2"/>
        <v>개인</v>
      </c>
      <c r="B17" s="27" t="s">
        <v>1555</v>
      </c>
      <c r="C17" s="27" t="s">
        <v>1554</v>
      </c>
      <c r="D17" s="26">
        <v>2129011299</v>
      </c>
      <c r="E17" s="26">
        <v>10035069</v>
      </c>
      <c r="F17" s="25" t="s">
        <v>66</v>
      </c>
      <c r="G17" s="48" t="s">
        <v>322</v>
      </c>
      <c r="H17" s="53">
        <v>45797</v>
      </c>
      <c r="I17" s="53">
        <v>45840</v>
      </c>
      <c r="J17" s="14">
        <v>1401.8890000000001</v>
      </c>
      <c r="K17" s="49" t="s">
        <v>312</v>
      </c>
      <c r="L17" s="12">
        <v>0</v>
      </c>
      <c r="M17" s="13">
        <v>0</v>
      </c>
      <c r="N17" s="12">
        <v>0</v>
      </c>
      <c r="O17" s="13">
        <v>0</v>
      </c>
      <c r="P17" s="12">
        <v>0</v>
      </c>
      <c r="Q17" s="13">
        <v>0</v>
      </c>
      <c r="R17" s="12">
        <v>0</v>
      </c>
      <c r="S17" s="13">
        <v>0</v>
      </c>
      <c r="T17" s="12">
        <v>0</v>
      </c>
      <c r="U17" s="13">
        <v>0</v>
      </c>
      <c r="V17" s="12">
        <v>0</v>
      </c>
      <c r="W17" s="13">
        <v>0</v>
      </c>
      <c r="X17" s="12">
        <v>0</v>
      </c>
      <c r="Y17" s="13">
        <v>0</v>
      </c>
      <c r="Z17" s="12">
        <v>0</v>
      </c>
      <c r="AA17" s="13">
        <v>0</v>
      </c>
      <c r="AB17" s="12">
        <v>5.3419999999999996</v>
      </c>
      <c r="AC17" s="13">
        <v>0</v>
      </c>
      <c r="AD17" s="12">
        <v>50.708799999999997</v>
      </c>
      <c r="AE17" s="13">
        <v>0</v>
      </c>
      <c r="AF17" s="12">
        <v>47.751600000000003</v>
      </c>
      <c r="AG17" s="13">
        <v>0</v>
      </c>
      <c r="AH17" s="12">
        <v>47.417200000000001</v>
      </c>
      <c r="AI17" s="13">
        <v>0</v>
      </c>
      <c r="AJ17" s="12">
        <v>29.071999999999999</v>
      </c>
      <c r="AK17" s="15">
        <v>103.80240000000001</v>
      </c>
      <c r="AL17" s="12">
        <v>31.325199999999999</v>
      </c>
      <c r="AM17" s="13">
        <v>47.417200000000001</v>
      </c>
      <c r="AN17" s="12">
        <v>20.231200000000001</v>
      </c>
      <c r="AO17" s="13">
        <v>29.071999999999999</v>
      </c>
      <c r="AP17" s="12">
        <v>23.393999999999998</v>
      </c>
      <c r="AQ17" s="13">
        <v>31.325199999999999</v>
      </c>
      <c r="AR17" s="12">
        <v>28.5428</v>
      </c>
      <c r="AS17" s="13">
        <v>0</v>
      </c>
      <c r="AT17" s="12">
        <v>30.392800000000001</v>
      </c>
      <c r="AU17" s="13">
        <v>43.6252</v>
      </c>
      <c r="AV17" s="12">
        <f>IFERROR(VLOOKUP(E17,[1]Sheet4!$A:$D,4,0),0)</f>
        <v>31.965199999999999</v>
      </c>
      <c r="AW17" s="13">
        <v>28.5428</v>
      </c>
      <c r="AX17" s="12">
        <v>31.393599999999999</v>
      </c>
      <c r="AY17" s="39">
        <v>30.392800000000001</v>
      </c>
      <c r="AZ17" s="12">
        <v>37.494</v>
      </c>
      <c r="BA17" s="39">
        <v>0</v>
      </c>
      <c r="BB17" s="12">
        <v>35.844000000000001</v>
      </c>
      <c r="BC17" s="39">
        <v>63.358800000000002</v>
      </c>
      <c r="BD17" s="12">
        <f t="shared" si="3"/>
        <v>450.87439999999998</v>
      </c>
      <c r="BE17" s="14">
        <f t="shared" si="4"/>
        <v>377.53640000000007</v>
      </c>
      <c r="BF17" s="24">
        <f t="shared" si="0"/>
        <v>0.83734272781954378</v>
      </c>
      <c r="BG17" s="23">
        <f t="shared" si="5"/>
        <v>0.26930548709633934</v>
      </c>
    </row>
    <row r="18" spans="1:59" ht="18" customHeight="1" x14ac:dyDescent="0.2">
      <c r="A18" s="27" t="str">
        <f t="shared" si="2"/>
        <v>개인</v>
      </c>
      <c r="B18" s="27" t="s">
        <v>1558</v>
      </c>
      <c r="C18" s="27" t="s">
        <v>1554</v>
      </c>
      <c r="D18" s="26">
        <v>2129097720</v>
      </c>
      <c r="E18" s="26">
        <v>10035078</v>
      </c>
      <c r="F18" s="25" t="s">
        <v>144</v>
      </c>
      <c r="G18" s="48" t="s">
        <v>322</v>
      </c>
      <c r="H18" s="53">
        <v>45810</v>
      </c>
      <c r="I18" s="53">
        <v>45923</v>
      </c>
      <c r="J18" s="14">
        <v>279.08499999999998</v>
      </c>
      <c r="K18" s="49" t="s">
        <v>311</v>
      </c>
      <c r="L18" s="12">
        <v>0</v>
      </c>
      <c r="M18" s="13">
        <v>0</v>
      </c>
      <c r="N18" s="12">
        <v>0</v>
      </c>
      <c r="O18" s="13">
        <v>0</v>
      </c>
      <c r="P18" s="12">
        <v>0</v>
      </c>
      <c r="Q18" s="13">
        <v>0</v>
      </c>
      <c r="R18" s="12">
        <v>0</v>
      </c>
      <c r="S18" s="13">
        <v>0</v>
      </c>
      <c r="T18" s="12">
        <v>0</v>
      </c>
      <c r="U18" s="13">
        <v>0</v>
      </c>
      <c r="V18" s="12">
        <v>0</v>
      </c>
      <c r="W18" s="13">
        <v>0</v>
      </c>
      <c r="X18" s="12">
        <v>0</v>
      </c>
      <c r="Y18" s="13">
        <v>0</v>
      </c>
      <c r="Z18" s="12">
        <v>0</v>
      </c>
      <c r="AA18" s="13">
        <v>0</v>
      </c>
      <c r="AB18" s="12">
        <v>0</v>
      </c>
      <c r="AC18" s="13">
        <v>0</v>
      </c>
      <c r="AD18" s="12">
        <v>0</v>
      </c>
      <c r="AE18" s="13">
        <v>0</v>
      </c>
      <c r="AF18" s="12">
        <v>0</v>
      </c>
      <c r="AG18" s="13">
        <v>0</v>
      </c>
      <c r="AH18" s="12">
        <v>0</v>
      </c>
      <c r="AI18" s="13">
        <v>0</v>
      </c>
      <c r="AJ18" s="12">
        <v>2</v>
      </c>
      <c r="AK18" s="13">
        <v>0</v>
      </c>
      <c r="AL18" s="12">
        <v>6.2279999999999998</v>
      </c>
      <c r="AM18" s="13">
        <v>0</v>
      </c>
      <c r="AN18" s="12">
        <v>10.475</v>
      </c>
      <c r="AO18" s="13">
        <v>0</v>
      </c>
      <c r="AP18" s="12">
        <v>9.43</v>
      </c>
      <c r="AQ18" s="13">
        <v>0</v>
      </c>
      <c r="AR18" s="12">
        <v>6.3620000000000001</v>
      </c>
      <c r="AS18" s="144">
        <v>28.132999999999999</v>
      </c>
      <c r="AT18" s="12">
        <v>7.4569999999999999</v>
      </c>
      <c r="AU18" s="13">
        <v>6.3620000000000001</v>
      </c>
      <c r="AV18" s="12">
        <f>IFERROR(VLOOKUP(E18,[1]Sheet4!$A:$D,4,0),0)</f>
        <v>6.2910000000000004</v>
      </c>
      <c r="AW18" s="13">
        <v>7.4569999999999999</v>
      </c>
      <c r="AX18" s="12">
        <v>7.9109999999999996</v>
      </c>
      <c r="AY18" s="39">
        <v>0</v>
      </c>
      <c r="AZ18" s="12">
        <v>5.6509999999999998</v>
      </c>
      <c r="BA18" s="39">
        <v>6.2910000000000004</v>
      </c>
      <c r="BB18" s="12">
        <v>5.5810000000000004</v>
      </c>
      <c r="BC18" s="39">
        <v>0</v>
      </c>
      <c r="BD18" s="12">
        <f t="shared" si="3"/>
        <v>67.385999999999996</v>
      </c>
      <c r="BE18" s="14">
        <f t="shared" si="4"/>
        <v>48.242999999999995</v>
      </c>
      <c r="BF18" s="24">
        <f t="shared" si="0"/>
        <v>0.71592022081738038</v>
      </c>
      <c r="BG18" s="23">
        <f t="shared" si="5"/>
        <v>0.17286131465324184</v>
      </c>
    </row>
    <row r="19" spans="1:59" ht="18" customHeight="1" x14ac:dyDescent="0.2">
      <c r="A19" s="27" t="str">
        <f t="shared" si="2"/>
        <v>법인</v>
      </c>
      <c r="B19" s="27" t="s">
        <v>1563</v>
      </c>
      <c r="C19" s="27" t="s">
        <v>1496</v>
      </c>
      <c r="D19" s="26">
        <v>2248207089</v>
      </c>
      <c r="E19" s="26">
        <v>10046570</v>
      </c>
      <c r="F19" s="25" t="s">
        <v>118</v>
      </c>
      <c r="G19" s="48" t="s">
        <v>322</v>
      </c>
      <c r="H19" s="53">
        <v>45902</v>
      </c>
      <c r="I19" s="53">
        <v>45965</v>
      </c>
      <c r="J19" s="14">
        <v>884.44200000000001</v>
      </c>
      <c r="K19" s="49" t="s">
        <v>311</v>
      </c>
      <c r="L19" s="12">
        <v>0</v>
      </c>
      <c r="M19" s="13">
        <v>0</v>
      </c>
      <c r="N19" s="12">
        <v>0</v>
      </c>
      <c r="O19" s="13">
        <v>0</v>
      </c>
      <c r="P19" s="12">
        <v>0</v>
      </c>
      <c r="Q19" s="13">
        <v>0</v>
      </c>
      <c r="R19" s="12">
        <v>0</v>
      </c>
      <c r="S19" s="13">
        <v>0</v>
      </c>
      <c r="T19" s="12">
        <v>0</v>
      </c>
      <c r="U19" s="13">
        <v>0</v>
      </c>
      <c r="V19" s="12">
        <v>0</v>
      </c>
      <c r="W19" s="13">
        <v>0</v>
      </c>
      <c r="X19" s="12">
        <v>0</v>
      </c>
      <c r="Y19" s="13">
        <v>0</v>
      </c>
      <c r="Z19" s="12">
        <v>0</v>
      </c>
      <c r="AA19" s="13">
        <v>0</v>
      </c>
      <c r="AB19" s="12">
        <v>0</v>
      </c>
      <c r="AC19" s="13">
        <v>0</v>
      </c>
      <c r="AD19" s="12">
        <v>0</v>
      </c>
      <c r="AE19" s="13">
        <v>0</v>
      </c>
      <c r="AF19" s="12">
        <v>0</v>
      </c>
      <c r="AG19" s="13">
        <v>0</v>
      </c>
      <c r="AH19" s="12">
        <v>0</v>
      </c>
      <c r="AI19" s="13">
        <v>0</v>
      </c>
      <c r="AJ19" s="12">
        <v>3.0419999999999998</v>
      </c>
      <c r="AK19" s="13">
        <v>0</v>
      </c>
      <c r="AL19" s="12">
        <v>20.617999999999999</v>
      </c>
      <c r="AM19" s="13">
        <v>3.0419999999999998</v>
      </c>
      <c r="AN19" s="12">
        <v>27.495000000000001</v>
      </c>
      <c r="AO19" s="13">
        <v>3.0419999999999998</v>
      </c>
      <c r="AP19" s="12">
        <v>17.094999999999999</v>
      </c>
      <c r="AQ19" s="13">
        <v>20.617999999999999</v>
      </c>
      <c r="AR19" s="12">
        <v>21.021000000000001</v>
      </c>
      <c r="AS19" s="13">
        <v>27.495000000000001</v>
      </c>
      <c r="AT19" s="12">
        <v>20.384</v>
      </c>
      <c r="AU19" s="13">
        <v>17.094999999999999</v>
      </c>
      <c r="AV19" s="12">
        <f>IFERROR(VLOOKUP(E19,[1]Sheet4!$A:$D,4,0),0)</f>
        <v>24.088999999999999</v>
      </c>
      <c r="AW19" s="13">
        <v>21.021000000000001</v>
      </c>
      <c r="AX19" s="12">
        <v>24.206</v>
      </c>
      <c r="AY19" s="39">
        <v>20.384</v>
      </c>
      <c r="AZ19" s="12">
        <v>25.701000000000001</v>
      </c>
      <c r="BA19" s="39">
        <v>24.088999999999999</v>
      </c>
      <c r="BB19" s="12">
        <v>21.722999999999999</v>
      </c>
      <c r="BC19" s="39">
        <v>24.206</v>
      </c>
      <c r="BD19" s="12">
        <f t="shared" si="3"/>
        <v>205.37399999999997</v>
      </c>
      <c r="BE19" s="14">
        <f t="shared" si="4"/>
        <v>160.99199999999999</v>
      </c>
      <c r="BF19" s="24">
        <f t="shared" si="0"/>
        <v>0.78389669578427656</v>
      </c>
      <c r="BG19" s="23">
        <f t="shared" si="5"/>
        <v>0.18202663374195255</v>
      </c>
    </row>
    <row r="20" spans="1:59" ht="18" customHeight="1" x14ac:dyDescent="0.2">
      <c r="A20" s="27" t="str">
        <f t="shared" si="2"/>
        <v>개인</v>
      </c>
      <c r="B20" s="27" t="s">
        <v>1564</v>
      </c>
      <c r="C20" s="27" t="s">
        <v>1554</v>
      </c>
      <c r="D20" s="26">
        <v>2859000091</v>
      </c>
      <c r="E20" s="26">
        <v>10036016</v>
      </c>
      <c r="F20" s="25" t="s">
        <v>122</v>
      </c>
      <c r="G20" s="48" t="s">
        <v>322</v>
      </c>
      <c r="H20" s="53">
        <v>45880</v>
      </c>
      <c r="I20" s="53">
        <v>45972</v>
      </c>
      <c r="J20" s="14">
        <v>324.59199999999998</v>
      </c>
      <c r="K20" s="49" t="s">
        <v>311</v>
      </c>
      <c r="L20" s="12">
        <v>0</v>
      </c>
      <c r="M20" s="13">
        <v>0</v>
      </c>
      <c r="N20" s="12">
        <v>0</v>
      </c>
      <c r="O20" s="13">
        <v>0</v>
      </c>
      <c r="P20" s="12">
        <v>0</v>
      </c>
      <c r="Q20" s="13">
        <v>0</v>
      </c>
      <c r="R20" s="12">
        <v>0</v>
      </c>
      <c r="S20" s="13">
        <v>0</v>
      </c>
      <c r="T20" s="12">
        <v>0</v>
      </c>
      <c r="U20" s="13">
        <v>0</v>
      </c>
      <c r="V20" s="12">
        <v>0</v>
      </c>
      <c r="W20" s="13">
        <v>0</v>
      </c>
      <c r="X20" s="12">
        <v>0</v>
      </c>
      <c r="Y20" s="13">
        <v>0</v>
      </c>
      <c r="Z20" s="12">
        <v>0</v>
      </c>
      <c r="AA20" s="13">
        <v>0</v>
      </c>
      <c r="AB20" s="12">
        <v>0</v>
      </c>
      <c r="AC20" s="13">
        <v>0</v>
      </c>
      <c r="AD20" s="12">
        <v>0</v>
      </c>
      <c r="AE20" s="13">
        <v>0</v>
      </c>
      <c r="AF20" s="12">
        <v>0</v>
      </c>
      <c r="AG20" s="13">
        <v>0</v>
      </c>
      <c r="AH20" s="12">
        <v>0</v>
      </c>
      <c r="AI20" s="13">
        <v>0</v>
      </c>
      <c r="AJ20" s="12">
        <v>1.3280000000000001</v>
      </c>
      <c r="AK20" s="13">
        <v>0</v>
      </c>
      <c r="AL20" s="12">
        <v>5.056</v>
      </c>
      <c r="AM20" s="13">
        <v>1.3280000000000001</v>
      </c>
      <c r="AN20" s="12">
        <v>3.2160000000000002</v>
      </c>
      <c r="AO20" s="13">
        <v>5.056</v>
      </c>
      <c r="AP20" s="12">
        <v>4.5919999999999996</v>
      </c>
      <c r="AQ20" s="13">
        <v>3.2160000000000002</v>
      </c>
      <c r="AR20" s="12">
        <v>5.952</v>
      </c>
      <c r="AS20" s="13">
        <v>4.5919999999999996</v>
      </c>
      <c r="AT20" s="12">
        <v>2.88</v>
      </c>
      <c r="AU20" s="13">
        <v>5.952</v>
      </c>
      <c r="AV20" s="12">
        <f>IFERROR(VLOOKUP(E20,[1]Sheet4!$A:$D,4,0),0)</f>
        <v>2.4319999999999999</v>
      </c>
      <c r="AW20" s="145">
        <f>[2]raw!$AX$19/1000000</f>
        <v>2.8800002</v>
      </c>
      <c r="AX20" s="12">
        <v>5.12</v>
      </c>
      <c r="AY20" s="146">
        <v>2.4319999999999999</v>
      </c>
      <c r="AZ20" s="12">
        <v>3.6480000000000001</v>
      </c>
      <c r="BA20" s="146">
        <v>5.12</v>
      </c>
      <c r="BB20" s="12">
        <v>3.2</v>
      </c>
      <c r="BC20" s="39">
        <v>3.6480000000000001</v>
      </c>
      <c r="BD20" s="12">
        <f t="shared" si="3"/>
        <v>37.423999999999999</v>
      </c>
      <c r="BE20" s="14">
        <f t="shared" si="4"/>
        <v>34.224000199999999</v>
      </c>
      <c r="BF20" s="24">
        <f t="shared" si="0"/>
        <v>0.91449337858058999</v>
      </c>
      <c r="BG20" s="23">
        <f t="shared" si="5"/>
        <v>0.10543697996253759</v>
      </c>
    </row>
    <row r="21" spans="1:59" ht="18" customHeight="1" x14ac:dyDescent="0.2">
      <c r="A21" s="27" t="str">
        <f t="shared" si="2"/>
        <v>개인</v>
      </c>
      <c r="B21" s="27" t="s">
        <v>1559</v>
      </c>
      <c r="C21" s="27" t="s">
        <v>1554</v>
      </c>
      <c r="D21" s="26">
        <v>3109602311</v>
      </c>
      <c r="E21" s="26">
        <v>10036590</v>
      </c>
      <c r="F21" s="25" t="s">
        <v>136</v>
      </c>
      <c r="G21" s="48" t="s">
        <v>322</v>
      </c>
      <c r="H21" s="53">
        <v>45838</v>
      </c>
      <c r="I21" s="53">
        <v>45951</v>
      </c>
      <c r="J21" s="14">
        <v>969.53099999999995</v>
      </c>
      <c r="K21" s="49" t="s">
        <v>313</v>
      </c>
      <c r="L21" s="12">
        <v>0</v>
      </c>
      <c r="M21" s="13">
        <v>0</v>
      </c>
      <c r="N21" s="12">
        <v>0</v>
      </c>
      <c r="O21" s="13">
        <v>0</v>
      </c>
      <c r="P21" s="12">
        <v>0</v>
      </c>
      <c r="Q21" s="13">
        <v>0</v>
      </c>
      <c r="R21" s="12">
        <v>0</v>
      </c>
      <c r="S21" s="13">
        <v>0</v>
      </c>
      <c r="T21" s="12">
        <v>0</v>
      </c>
      <c r="U21" s="13">
        <v>0</v>
      </c>
      <c r="V21" s="12">
        <v>0</v>
      </c>
      <c r="W21" s="13">
        <v>0</v>
      </c>
      <c r="X21" s="12">
        <v>0</v>
      </c>
      <c r="Y21" s="13">
        <v>0</v>
      </c>
      <c r="Z21" s="12">
        <v>0</v>
      </c>
      <c r="AA21" s="13">
        <v>0</v>
      </c>
      <c r="AB21" s="12">
        <v>0</v>
      </c>
      <c r="AC21" s="13">
        <v>0</v>
      </c>
      <c r="AD21" s="12">
        <v>0</v>
      </c>
      <c r="AE21" s="13">
        <v>0</v>
      </c>
      <c r="AF21" s="12">
        <v>0</v>
      </c>
      <c r="AG21" s="13">
        <v>0</v>
      </c>
      <c r="AH21" s="12">
        <v>0</v>
      </c>
      <c r="AI21" s="13">
        <v>0</v>
      </c>
      <c r="AJ21" s="12">
        <v>7.6959999999999997</v>
      </c>
      <c r="AK21" s="13">
        <v>0</v>
      </c>
      <c r="AL21" s="12">
        <v>13.882999999999999</v>
      </c>
      <c r="AM21" s="13">
        <v>0</v>
      </c>
      <c r="AN21" s="12">
        <v>13.752000000000001</v>
      </c>
      <c r="AO21" s="13">
        <v>7.6959999999999997</v>
      </c>
      <c r="AP21" s="12">
        <v>8.2159999999999993</v>
      </c>
      <c r="AQ21" s="13">
        <v>14.135</v>
      </c>
      <c r="AR21" s="12">
        <v>12.259</v>
      </c>
      <c r="AS21" s="13">
        <v>14.004</v>
      </c>
      <c r="AT21" s="12">
        <v>19.387</v>
      </c>
      <c r="AU21" s="13">
        <v>8.2159999999999993</v>
      </c>
      <c r="AV21" s="12">
        <f>IFERROR(VLOOKUP(E21,[1]Sheet4!$A:$D,4,0),0)</f>
        <v>28.381</v>
      </c>
      <c r="AW21" s="13">
        <v>11.755000000000001</v>
      </c>
      <c r="AX21" s="12">
        <v>29.457999999999998</v>
      </c>
      <c r="AY21" s="39">
        <v>19.387</v>
      </c>
      <c r="AZ21" s="12">
        <v>27.19</v>
      </c>
      <c r="BA21" s="39">
        <v>28.381</v>
      </c>
      <c r="BB21" s="12">
        <v>51.515000000000001</v>
      </c>
      <c r="BC21" s="39">
        <v>29.457999999999998</v>
      </c>
      <c r="BD21" s="12">
        <f t="shared" si="3"/>
        <v>211.73699999999997</v>
      </c>
      <c r="BE21" s="14">
        <f t="shared" si="4"/>
        <v>133.03200000000001</v>
      </c>
      <c r="BF21" s="24">
        <f t="shared" si="0"/>
        <v>0.62828886779353643</v>
      </c>
      <c r="BG21" s="23">
        <f t="shared" si="5"/>
        <v>0.13721273481714358</v>
      </c>
    </row>
    <row r="22" spans="1:59" ht="18" customHeight="1" x14ac:dyDescent="0.2">
      <c r="A22" s="27" t="str">
        <f t="shared" si="2"/>
        <v>개인</v>
      </c>
      <c r="B22" s="27" t="s">
        <v>1558</v>
      </c>
      <c r="C22" s="27" t="s">
        <v>1554</v>
      </c>
      <c r="D22" s="26">
        <v>3129151282</v>
      </c>
      <c r="E22" s="26">
        <v>10008171</v>
      </c>
      <c r="F22" s="25" t="s">
        <v>142</v>
      </c>
      <c r="G22" s="48" t="s">
        <v>322</v>
      </c>
      <c r="H22" s="53">
        <v>45833</v>
      </c>
      <c r="I22" s="53">
        <v>45951</v>
      </c>
      <c r="J22" s="14">
        <v>476.62000000000006</v>
      </c>
      <c r="K22" s="49" t="s">
        <v>311</v>
      </c>
      <c r="L22" s="12">
        <v>0</v>
      </c>
      <c r="M22" s="13">
        <v>0</v>
      </c>
      <c r="N22" s="12">
        <v>0</v>
      </c>
      <c r="O22" s="13">
        <v>0</v>
      </c>
      <c r="P22" s="12">
        <v>0</v>
      </c>
      <c r="Q22" s="13">
        <v>0</v>
      </c>
      <c r="R22" s="12">
        <v>0</v>
      </c>
      <c r="S22" s="13">
        <v>0</v>
      </c>
      <c r="T22" s="12">
        <v>0</v>
      </c>
      <c r="U22" s="13">
        <v>0</v>
      </c>
      <c r="V22" s="12">
        <v>0</v>
      </c>
      <c r="W22" s="13">
        <v>0</v>
      </c>
      <c r="X22" s="12">
        <v>0</v>
      </c>
      <c r="Y22" s="13">
        <v>0</v>
      </c>
      <c r="Z22" s="12">
        <v>0</v>
      </c>
      <c r="AA22" s="13">
        <v>0</v>
      </c>
      <c r="AB22" s="12">
        <v>0</v>
      </c>
      <c r="AC22" s="13">
        <v>0</v>
      </c>
      <c r="AD22" s="12">
        <v>0</v>
      </c>
      <c r="AE22" s="13">
        <v>0</v>
      </c>
      <c r="AF22" s="12">
        <v>0</v>
      </c>
      <c r="AG22" s="13">
        <v>0</v>
      </c>
      <c r="AH22" s="12">
        <v>0</v>
      </c>
      <c r="AI22" s="13">
        <v>0</v>
      </c>
      <c r="AJ22" s="12">
        <v>2.649</v>
      </c>
      <c r="AK22" s="13">
        <v>0</v>
      </c>
      <c r="AL22" s="12">
        <v>7.0510000000000002</v>
      </c>
      <c r="AM22" s="13">
        <v>0</v>
      </c>
      <c r="AN22" s="12">
        <v>15.753</v>
      </c>
      <c r="AO22" s="13">
        <v>0</v>
      </c>
      <c r="AP22" s="12">
        <v>17.760000000000002</v>
      </c>
      <c r="AQ22" s="13">
        <v>9.6999999999999993</v>
      </c>
      <c r="AR22" s="12">
        <v>18.561</v>
      </c>
      <c r="AS22" s="13">
        <v>0</v>
      </c>
      <c r="AT22" s="12">
        <v>13.519</v>
      </c>
      <c r="AU22" s="13">
        <v>0</v>
      </c>
      <c r="AV22" s="12">
        <f>IFERROR(VLOOKUP(E22,[1]Sheet4!$A:$D,4,0),0)</f>
        <v>17.25</v>
      </c>
      <c r="AW22" s="13">
        <v>0</v>
      </c>
      <c r="AX22" s="12">
        <v>14.896000000000001</v>
      </c>
      <c r="AY22" s="39">
        <v>0</v>
      </c>
      <c r="AZ22" s="12">
        <v>15.462</v>
      </c>
      <c r="BA22" s="39">
        <v>15.573</v>
      </c>
      <c r="BB22" s="12">
        <v>20.992999999999999</v>
      </c>
      <c r="BC22" s="39">
        <v>17.760000000000002</v>
      </c>
      <c r="BD22" s="12">
        <f t="shared" si="3"/>
        <v>143.89400000000001</v>
      </c>
      <c r="BE22" s="14">
        <f t="shared" si="4"/>
        <v>43.033000000000001</v>
      </c>
      <c r="BF22" s="24">
        <f t="shared" si="0"/>
        <v>0.2990604194754472</v>
      </c>
      <c r="BG22" s="23">
        <f t="shared" si="5"/>
        <v>9.0287860349964319E-2</v>
      </c>
    </row>
    <row r="23" spans="1:59" ht="18" customHeight="1" x14ac:dyDescent="0.2">
      <c r="A23" s="27" t="str">
        <f t="shared" si="2"/>
        <v>법인</v>
      </c>
      <c r="B23" s="27" t="s">
        <v>1560</v>
      </c>
      <c r="C23" s="27" t="s">
        <v>1496</v>
      </c>
      <c r="D23" s="26">
        <v>3668200250</v>
      </c>
      <c r="E23" s="26">
        <v>10037290</v>
      </c>
      <c r="F23" s="25" t="s">
        <v>79</v>
      </c>
      <c r="G23" s="48" t="s">
        <v>320</v>
      </c>
      <c r="H23" s="53">
        <v>45916</v>
      </c>
      <c r="I23" s="50">
        <v>45969</v>
      </c>
      <c r="J23" s="14">
        <v>220</v>
      </c>
      <c r="K23" s="49" t="s">
        <v>348</v>
      </c>
      <c r="L23" s="12">
        <v>0</v>
      </c>
      <c r="M23" s="13">
        <v>0</v>
      </c>
      <c r="N23" s="12">
        <v>0</v>
      </c>
      <c r="O23" s="13">
        <v>0</v>
      </c>
      <c r="P23" s="12">
        <v>0</v>
      </c>
      <c r="Q23" s="13">
        <v>0</v>
      </c>
      <c r="R23" s="12">
        <v>0</v>
      </c>
      <c r="S23" s="13">
        <v>0</v>
      </c>
      <c r="T23" s="12">
        <v>0</v>
      </c>
      <c r="U23" s="13">
        <v>0</v>
      </c>
      <c r="V23" s="12">
        <v>0</v>
      </c>
      <c r="W23" s="13">
        <v>0</v>
      </c>
      <c r="X23" s="12">
        <v>0</v>
      </c>
      <c r="Y23" s="13">
        <v>0</v>
      </c>
      <c r="Z23" s="12">
        <v>0</v>
      </c>
      <c r="AA23" s="13">
        <v>0</v>
      </c>
      <c r="AB23" s="12">
        <v>0</v>
      </c>
      <c r="AC23" s="13">
        <v>0</v>
      </c>
      <c r="AD23" s="12">
        <v>220</v>
      </c>
      <c r="AE23" s="13">
        <v>0</v>
      </c>
      <c r="AF23" s="12">
        <v>0</v>
      </c>
      <c r="AG23" s="13">
        <v>0</v>
      </c>
      <c r="AH23" s="12">
        <v>0</v>
      </c>
      <c r="AI23" s="13">
        <v>0</v>
      </c>
      <c r="AJ23" s="12">
        <v>-220</v>
      </c>
      <c r="AK23" s="13">
        <v>0</v>
      </c>
      <c r="AL23" s="12">
        <v>220</v>
      </c>
      <c r="AM23" s="13">
        <v>0</v>
      </c>
      <c r="AN23" s="12">
        <v>0</v>
      </c>
      <c r="AO23" s="13">
        <v>220</v>
      </c>
      <c r="AP23" s="12">
        <v>0</v>
      </c>
      <c r="AQ23" s="13">
        <v>0</v>
      </c>
      <c r="AR23" s="12" t="s">
        <v>1496</v>
      </c>
      <c r="AS23" s="13">
        <v>0</v>
      </c>
      <c r="AT23" s="12">
        <v>0</v>
      </c>
      <c r="AU23" s="13">
        <v>0</v>
      </c>
      <c r="AV23" s="12">
        <f>IFERROR(VLOOKUP(E23,[1]Sheet4!$A:$D,4,0),0)</f>
        <v>0</v>
      </c>
      <c r="AW23" s="13">
        <v>0</v>
      </c>
      <c r="AX23" s="12">
        <v>0</v>
      </c>
      <c r="AY23" s="39">
        <v>0</v>
      </c>
      <c r="AZ23" s="12">
        <v>0</v>
      </c>
      <c r="BA23" s="39">
        <v>0</v>
      </c>
      <c r="BB23" s="12">
        <v>0</v>
      </c>
      <c r="BC23" s="39">
        <v>0</v>
      </c>
      <c r="BD23" s="12">
        <f t="shared" si="3"/>
        <v>220</v>
      </c>
      <c r="BE23" s="14">
        <f t="shared" si="4"/>
        <v>220</v>
      </c>
      <c r="BF23" s="24">
        <f t="shared" si="0"/>
        <v>1</v>
      </c>
      <c r="BG23" s="23">
        <v>0</v>
      </c>
    </row>
    <row r="24" spans="1:59" ht="18" customHeight="1" x14ac:dyDescent="0.2">
      <c r="A24" s="27" t="str">
        <f t="shared" si="2"/>
        <v>개인</v>
      </c>
      <c r="B24" s="27" t="s">
        <v>1556</v>
      </c>
      <c r="C24" s="27" t="s">
        <v>1554</v>
      </c>
      <c r="D24" s="26">
        <v>4059009702</v>
      </c>
      <c r="E24" s="26">
        <v>10037788</v>
      </c>
      <c r="F24" s="25" t="s">
        <v>150</v>
      </c>
      <c r="G24" s="48" t="s">
        <v>320</v>
      </c>
      <c r="H24" s="53">
        <v>45908</v>
      </c>
      <c r="I24" s="50">
        <v>45993</v>
      </c>
      <c r="J24" s="14">
        <v>209.16499999999999</v>
      </c>
      <c r="K24" s="49" t="s">
        <v>311</v>
      </c>
      <c r="L24" s="12">
        <v>0</v>
      </c>
      <c r="M24" s="13">
        <v>0</v>
      </c>
      <c r="N24" s="12">
        <v>0</v>
      </c>
      <c r="O24" s="13">
        <v>0</v>
      </c>
      <c r="P24" s="12">
        <v>0</v>
      </c>
      <c r="Q24" s="13">
        <v>0</v>
      </c>
      <c r="R24" s="12">
        <v>0</v>
      </c>
      <c r="S24" s="13">
        <v>0</v>
      </c>
      <c r="T24" s="12">
        <v>0</v>
      </c>
      <c r="U24" s="13">
        <v>0</v>
      </c>
      <c r="V24" s="12">
        <v>0</v>
      </c>
      <c r="W24" s="13">
        <v>0</v>
      </c>
      <c r="X24" s="12">
        <v>0</v>
      </c>
      <c r="Y24" s="13">
        <v>0</v>
      </c>
      <c r="Z24" s="12">
        <v>0</v>
      </c>
      <c r="AA24" s="13">
        <v>0</v>
      </c>
      <c r="AB24" s="12">
        <v>0</v>
      </c>
      <c r="AC24" s="13">
        <v>0</v>
      </c>
      <c r="AD24" s="12">
        <v>0</v>
      </c>
      <c r="AE24" s="13">
        <v>0</v>
      </c>
      <c r="AF24" s="12">
        <v>0</v>
      </c>
      <c r="AG24" s="13">
        <v>0</v>
      </c>
      <c r="AH24" s="12">
        <v>0</v>
      </c>
      <c r="AI24" s="13">
        <v>0</v>
      </c>
      <c r="AJ24" s="12">
        <v>209.16499999999999</v>
      </c>
      <c r="AK24" s="13">
        <v>0</v>
      </c>
      <c r="AL24" s="12">
        <v>0</v>
      </c>
      <c r="AM24" s="13">
        <v>69.165000000000006</v>
      </c>
      <c r="AN24" s="12">
        <v>0</v>
      </c>
      <c r="AO24" s="13">
        <v>70</v>
      </c>
      <c r="AP24" s="12">
        <v>0</v>
      </c>
      <c r="AQ24" s="13">
        <v>70</v>
      </c>
      <c r="AR24" s="12" t="s">
        <v>1496</v>
      </c>
      <c r="AS24" s="13">
        <v>0</v>
      </c>
      <c r="AT24" s="12">
        <v>0</v>
      </c>
      <c r="AU24" s="13">
        <v>0</v>
      </c>
      <c r="AV24" s="12">
        <f>IFERROR(VLOOKUP(E24,[1]Sheet4!$A:$D,4,0),0)</f>
        <v>0</v>
      </c>
      <c r="AW24" s="13">
        <v>0</v>
      </c>
      <c r="AX24" s="12">
        <v>0</v>
      </c>
      <c r="AY24" s="39">
        <v>0</v>
      </c>
      <c r="AZ24" s="12">
        <v>0</v>
      </c>
      <c r="BA24" s="39">
        <v>0</v>
      </c>
      <c r="BB24" s="12">
        <v>0</v>
      </c>
      <c r="BC24" s="39">
        <v>0</v>
      </c>
      <c r="BD24" s="12">
        <f t="shared" si="3"/>
        <v>209.16499999999999</v>
      </c>
      <c r="BE24" s="14">
        <f t="shared" si="4"/>
        <v>209.16500000000002</v>
      </c>
      <c r="BF24" s="24">
        <f t="shared" si="0"/>
        <v>1.0000000000000002</v>
      </c>
      <c r="BG24" s="23">
        <f>BE24/J24</f>
        <v>1.0000000000000002</v>
      </c>
    </row>
    <row r="25" spans="1:59" ht="18" customHeight="1" x14ac:dyDescent="0.2">
      <c r="A25" s="27" t="str">
        <f t="shared" si="2"/>
        <v>개인</v>
      </c>
      <c r="B25" s="27" t="s">
        <v>1556</v>
      </c>
      <c r="C25" s="27" t="s">
        <v>1554</v>
      </c>
      <c r="D25" s="26">
        <v>4119603025</v>
      </c>
      <c r="E25" s="26">
        <v>10038346</v>
      </c>
      <c r="F25" s="25" t="s">
        <v>90</v>
      </c>
      <c r="G25" s="48" t="s">
        <v>322</v>
      </c>
      <c r="H25" s="53">
        <v>45825</v>
      </c>
      <c r="I25" s="53">
        <v>45903</v>
      </c>
      <c r="J25" s="14">
        <v>1600.6979999999999</v>
      </c>
      <c r="K25" s="49" t="s">
        <v>311</v>
      </c>
      <c r="L25" s="12">
        <v>0</v>
      </c>
      <c r="M25" s="13">
        <v>0</v>
      </c>
      <c r="N25" s="12">
        <v>0</v>
      </c>
      <c r="O25" s="13">
        <v>0</v>
      </c>
      <c r="P25" s="12">
        <v>0</v>
      </c>
      <c r="Q25" s="13">
        <v>0</v>
      </c>
      <c r="R25" s="12">
        <v>0</v>
      </c>
      <c r="S25" s="13">
        <v>0</v>
      </c>
      <c r="T25" s="12">
        <v>0</v>
      </c>
      <c r="U25" s="13">
        <v>0</v>
      </c>
      <c r="V25" s="12">
        <v>0</v>
      </c>
      <c r="W25" s="13">
        <v>0</v>
      </c>
      <c r="X25" s="12">
        <v>0</v>
      </c>
      <c r="Y25" s="13">
        <v>0</v>
      </c>
      <c r="Z25" s="12">
        <v>0</v>
      </c>
      <c r="AA25" s="13">
        <v>0</v>
      </c>
      <c r="AB25" s="12">
        <v>0</v>
      </c>
      <c r="AC25" s="13">
        <v>0</v>
      </c>
      <c r="AD25" s="12">
        <v>0</v>
      </c>
      <c r="AE25" s="13">
        <v>0</v>
      </c>
      <c r="AF25" s="12">
        <v>0.32800000000000001</v>
      </c>
      <c r="AG25" s="13">
        <v>0</v>
      </c>
      <c r="AH25" s="12">
        <v>0</v>
      </c>
      <c r="AI25" s="13">
        <v>0</v>
      </c>
      <c r="AJ25" s="12">
        <v>2.7890000000000001</v>
      </c>
      <c r="AK25" s="13">
        <v>0</v>
      </c>
      <c r="AL25" s="12">
        <v>14</v>
      </c>
      <c r="AM25" s="13">
        <v>0</v>
      </c>
      <c r="AN25" s="12">
        <v>16.332000000000001</v>
      </c>
      <c r="AO25" s="13">
        <v>3.117</v>
      </c>
      <c r="AP25" s="12">
        <v>26.378</v>
      </c>
      <c r="AQ25" s="13">
        <v>24.332000000000001</v>
      </c>
      <c r="AR25" s="12">
        <v>23.126000000000001</v>
      </c>
      <c r="AS25" s="13">
        <v>29.378</v>
      </c>
      <c r="AT25" s="12">
        <v>20.658000000000001</v>
      </c>
      <c r="AU25" s="13">
        <v>26.126000000000001</v>
      </c>
      <c r="AV25" s="12">
        <f>IFERROR(VLOOKUP(E25,[1]Sheet4!$A:$D,4,0),0)</f>
        <v>19.803999999999998</v>
      </c>
      <c r="AW25" s="13">
        <v>20.658000000000001</v>
      </c>
      <c r="AX25" s="12">
        <v>17.850999999999999</v>
      </c>
      <c r="AY25" s="39">
        <v>19.803999999999998</v>
      </c>
      <c r="AZ25" s="12">
        <v>20.039000000000001</v>
      </c>
      <c r="BA25" s="39">
        <v>17.850999999999999</v>
      </c>
      <c r="BB25" s="12">
        <v>19.678000000000001</v>
      </c>
      <c r="BC25" s="39">
        <v>20.039000000000001</v>
      </c>
      <c r="BD25" s="12">
        <f t="shared" si="3"/>
        <v>180.983</v>
      </c>
      <c r="BE25" s="14">
        <f t="shared" si="4"/>
        <v>161.30500000000001</v>
      </c>
      <c r="BF25" s="24">
        <f t="shared" si="0"/>
        <v>0.89127155589198992</v>
      </c>
      <c r="BG25" s="23">
        <f>BE25/J25</f>
        <v>0.1007716633618584</v>
      </c>
    </row>
    <row r="26" spans="1:59" ht="18" customHeight="1" x14ac:dyDescent="0.2">
      <c r="A26" s="27" t="str">
        <f t="shared" si="2"/>
        <v>개인</v>
      </c>
      <c r="B26" s="27" t="s">
        <v>1565</v>
      </c>
      <c r="C26" s="27" t="s">
        <v>1554</v>
      </c>
      <c r="D26" s="26">
        <v>5029241763</v>
      </c>
      <c r="E26" s="26">
        <v>10039242</v>
      </c>
      <c r="F26" s="25" t="s">
        <v>140</v>
      </c>
      <c r="G26" s="48" t="s">
        <v>322</v>
      </c>
      <c r="H26" s="53">
        <v>45854</v>
      </c>
      <c r="I26" s="53">
        <v>45972</v>
      </c>
      <c r="J26" s="14">
        <v>254.14599999999999</v>
      </c>
      <c r="K26" s="49" t="s">
        <v>311</v>
      </c>
      <c r="L26" s="12">
        <v>0</v>
      </c>
      <c r="M26" s="13">
        <v>0</v>
      </c>
      <c r="N26" s="12">
        <v>0</v>
      </c>
      <c r="O26" s="13">
        <v>0</v>
      </c>
      <c r="P26" s="12">
        <v>0</v>
      </c>
      <c r="Q26" s="13">
        <v>0</v>
      </c>
      <c r="R26" s="12">
        <v>0</v>
      </c>
      <c r="S26" s="13">
        <v>0</v>
      </c>
      <c r="T26" s="12">
        <v>0</v>
      </c>
      <c r="U26" s="13">
        <v>0</v>
      </c>
      <c r="V26" s="12">
        <v>0</v>
      </c>
      <c r="W26" s="13">
        <v>0</v>
      </c>
      <c r="X26" s="12">
        <v>0</v>
      </c>
      <c r="Y26" s="13">
        <v>0</v>
      </c>
      <c r="Z26" s="12">
        <v>0</v>
      </c>
      <c r="AA26" s="13">
        <v>0</v>
      </c>
      <c r="AB26" s="12">
        <v>0</v>
      </c>
      <c r="AC26" s="13">
        <v>0</v>
      </c>
      <c r="AD26" s="12">
        <v>0</v>
      </c>
      <c r="AE26" s="13">
        <v>0</v>
      </c>
      <c r="AF26" s="12">
        <v>0</v>
      </c>
      <c r="AG26" s="13">
        <v>0</v>
      </c>
      <c r="AH26" s="12">
        <v>0</v>
      </c>
      <c r="AI26" s="13">
        <v>0</v>
      </c>
      <c r="AJ26" s="12">
        <v>1.6679999999999999</v>
      </c>
      <c r="AK26" s="13">
        <v>0</v>
      </c>
      <c r="AL26" s="12">
        <v>4.21</v>
      </c>
      <c r="AM26" s="13">
        <v>1.6679999999999999</v>
      </c>
      <c r="AN26" s="12">
        <v>5.992</v>
      </c>
      <c r="AO26" s="13">
        <v>0</v>
      </c>
      <c r="AP26" s="12">
        <v>4.2709999999999999</v>
      </c>
      <c r="AQ26" s="13">
        <v>10.202</v>
      </c>
      <c r="AR26" s="12">
        <v>5.0629999999999997</v>
      </c>
      <c r="AS26" s="13">
        <v>4.2709999999999999</v>
      </c>
      <c r="AT26" s="12">
        <v>4.6539999999999999</v>
      </c>
      <c r="AU26" s="13">
        <v>5.0629999999999997</v>
      </c>
      <c r="AV26" s="12">
        <f>IFERROR(VLOOKUP(E26,[1]Sheet4!$A:$D,4,0),0)</f>
        <v>4.3810000000000002</v>
      </c>
      <c r="AW26" s="13">
        <v>4.6539999999999999</v>
      </c>
      <c r="AX26" s="12">
        <v>5.8120000000000003</v>
      </c>
      <c r="AY26" s="39">
        <v>4.3810000000000002</v>
      </c>
      <c r="AZ26" s="12">
        <v>6.069</v>
      </c>
      <c r="BA26" s="39">
        <v>5.8120000000000003</v>
      </c>
      <c r="BB26" s="12">
        <v>5.8120000000000003</v>
      </c>
      <c r="BC26" s="39">
        <v>6.069</v>
      </c>
      <c r="BD26" s="12">
        <f t="shared" si="3"/>
        <v>47.931999999999995</v>
      </c>
      <c r="BE26" s="14">
        <f t="shared" si="4"/>
        <v>42.12</v>
      </c>
      <c r="BF26" s="24">
        <f t="shared" si="0"/>
        <v>0.87874488859217226</v>
      </c>
      <c r="BG26" s="23">
        <f>BE26/J26</f>
        <v>0.16573150866037631</v>
      </c>
    </row>
    <row r="27" spans="1:59" ht="18" customHeight="1" x14ac:dyDescent="0.2">
      <c r="A27" s="27" t="str">
        <f t="shared" si="2"/>
        <v>법인</v>
      </c>
      <c r="B27" s="27" t="s">
        <v>1581</v>
      </c>
      <c r="C27" s="27" t="s">
        <v>1496</v>
      </c>
      <c r="D27" s="26">
        <v>5148204710</v>
      </c>
      <c r="E27" s="26">
        <v>10039905</v>
      </c>
      <c r="F27" s="25" t="s">
        <v>347</v>
      </c>
      <c r="G27" s="48" t="s">
        <v>320</v>
      </c>
      <c r="H27" s="53">
        <v>45926</v>
      </c>
      <c r="I27" s="50">
        <v>45999</v>
      </c>
      <c r="J27" s="14">
        <v>137</v>
      </c>
      <c r="K27" s="49" t="s">
        <v>346</v>
      </c>
      <c r="L27" s="12">
        <v>0</v>
      </c>
      <c r="M27" s="13">
        <v>0</v>
      </c>
      <c r="N27" s="12">
        <v>0</v>
      </c>
      <c r="O27" s="13">
        <v>0</v>
      </c>
      <c r="P27" s="12">
        <v>0</v>
      </c>
      <c r="Q27" s="13">
        <v>0</v>
      </c>
      <c r="R27" s="12">
        <v>0</v>
      </c>
      <c r="S27" s="13">
        <v>0</v>
      </c>
      <c r="T27" s="12">
        <v>0</v>
      </c>
      <c r="U27" s="13">
        <v>0</v>
      </c>
      <c r="V27" s="12">
        <v>0</v>
      </c>
      <c r="W27" s="13">
        <v>0</v>
      </c>
      <c r="X27" s="12">
        <v>0</v>
      </c>
      <c r="Y27" s="13">
        <v>0</v>
      </c>
      <c r="Z27" s="12">
        <v>0</v>
      </c>
      <c r="AA27" s="13">
        <v>0</v>
      </c>
      <c r="AB27" s="12">
        <v>0</v>
      </c>
      <c r="AC27" s="13">
        <v>0</v>
      </c>
      <c r="AD27" s="12">
        <v>0</v>
      </c>
      <c r="AE27" s="13">
        <v>0</v>
      </c>
      <c r="AF27" s="12">
        <v>0</v>
      </c>
      <c r="AG27" s="13">
        <v>0</v>
      </c>
      <c r="AH27" s="12">
        <v>0</v>
      </c>
      <c r="AI27" s="13">
        <v>0</v>
      </c>
      <c r="AJ27" s="12">
        <v>137</v>
      </c>
      <c r="AK27" s="13">
        <v>0</v>
      </c>
      <c r="AL27" s="12">
        <v>0</v>
      </c>
      <c r="AM27" s="13">
        <v>0</v>
      </c>
      <c r="AN27" s="12">
        <v>0</v>
      </c>
      <c r="AO27" s="13">
        <v>0</v>
      </c>
      <c r="AP27" s="12">
        <v>0</v>
      </c>
      <c r="AQ27" s="13">
        <v>0</v>
      </c>
      <c r="AR27" s="12" t="s">
        <v>1496</v>
      </c>
      <c r="AS27" s="13">
        <v>137</v>
      </c>
      <c r="AT27" s="12">
        <v>0</v>
      </c>
      <c r="AU27" s="13">
        <v>0</v>
      </c>
      <c r="AV27" s="12">
        <f>IFERROR(VLOOKUP(E27,[1]Sheet4!$A:$D,4,0),0)</f>
        <v>0</v>
      </c>
      <c r="AW27" s="13">
        <v>0</v>
      </c>
      <c r="AX27" s="12">
        <v>0</v>
      </c>
      <c r="AY27" s="39">
        <v>0</v>
      </c>
      <c r="AZ27" s="12">
        <v>0</v>
      </c>
      <c r="BA27" s="39">
        <v>0</v>
      </c>
      <c r="BB27" s="12">
        <v>0</v>
      </c>
      <c r="BC27" s="39">
        <v>0</v>
      </c>
      <c r="BD27" s="12">
        <f t="shared" si="3"/>
        <v>137</v>
      </c>
      <c r="BE27" s="14">
        <f t="shared" si="4"/>
        <v>137</v>
      </c>
      <c r="BF27" s="24">
        <f t="shared" si="0"/>
        <v>1</v>
      </c>
      <c r="BG27" s="23">
        <v>0</v>
      </c>
    </row>
    <row r="28" spans="1:59" ht="18" customHeight="1" x14ac:dyDescent="0.2">
      <c r="A28" s="27" t="str">
        <f t="shared" si="2"/>
        <v>법인</v>
      </c>
      <c r="B28" s="27" t="s">
        <v>1557</v>
      </c>
      <c r="C28" s="27" t="s">
        <v>1496</v>
      </c>
      <c r="D28" s="26">
        <v>6058211399</v>
      </c>
      <c r="E28" s="26">
        <v>10003599</v>
      </c>
      <c r="F28" s="25" t="s">
        <v>115</v>
      </c>
      <c r="G28" s="48" t="s">
        <v>322</v>
      </c>
      <c r="H28" s="53">
        <v>45838</v>
      </c>
      <c r="I28" s="53">
        <v>45916</v>
      </c>
      <c r="J28" s="14">
        <v>272.04599999999999</v>
      </c>
      <c r="K28" s="49" t="s">
        <v>311</v>
      </c>
      <c r="L28" s="12">
        <v>0</v>
      </c>
      <c r="M28" s="13">
        <v>0</v>
      </c>
      <c r="N28" s="12">
        <v>0</v>
      </c>
      <c r="O28" s="13">
        <v>0</v>
      </c>
      <c r="P28" s="12">
        <v>0</v>
      </c>
      <c r="Q28" s="13">
        <v>0</v>
      </c>
      <c r="R28" s="12">
        <v>0</v>
      </c>
      <c r="S28" s="13">
        <v>0</v>
      </c>
      <c r="T28" s="12">
        <v>0</v>
      </c>
      <c r="U28" s="13">
        <v>0</v>
      </c>
      <c r="V28" s="12">
        <v>0</v>
      </c>
      <c r="W28" s="13">
        <v>0</v>
      </c>
      <c r="X28" s="12">
        <v>0</v>
      </c>
      <c r="Y28" s="13">
        <v>0</v>
      </c>
      <c r="Z28" s="12">
        <v>0</v>
      </c>
      <c r="AA28" s="13">
        <v>0</v>
      </c>
      <c r="AB28" s="12">
        <v>0</v>
      </c>
      <c r="AC28" s="13">
        <v>0</v>
      </c>
      <c r="AD28" s="12">
        <v>0</v>
      </c>
      <c r="AE28" s="13">
        <v>0</v>
      </c>
      <c r="AF28" s="12">
        <v>0</v>
      </c>
      <c r="AG28" s="13">
        <v>0</v>
      </c>
      <c r="AH28" s="12">
        <v>1.18</v>
      </c>
      <c r="AI28" s="13">
        <v>0</v>
      </c>
      <c r="AJ28" s="12">
        <v>0</v>
      </c>
      <c r="AK28" s="13">
        <v>0</v>
      </c>
      <c r="AL28" s="12">
        <v>9.2620000000000005</v>
      </c>
      <c r="AM28" s="13">
        <v>0</v>
      </c>
      <c r="AN28" s="12">
        <v>13.878</v>
      </c>
      <c r="AO28" s="13">
        <v>0</v>
      </c>
      <c r="AP28" s="12">
        <v>12.686999999999999</v>
      </c>
      <c r="AQ28" s="13">
        <v>0</v>
      </c>
      <c r="AR28" s="196">
        <v>13.422000000000001</v>
      </c>
      <c r="AS28" s="144">
        <v>1.1799997</v>
      </c>
      <c r="AT28" s="12">
        <v>14.279</v>
      </c>
      <c r="AU28" s="13">
        <v>0</v>
      </c>
      <c r="AV28" s="196">
        <f>IFERROR(VLOOKUP(E28,[1]Sheet4!$A:$D,4,0),0)</f>
        <v>2.2000000000000002</v>
      </c>
      <c r="AW28" s="13">
        <v>0</v>
      </c>
      <c r="AX28" s="12">
        <v>-15.558</v>
      </c>
      <c r="AY28" s="39">
        <v>0</v>
      </c>
      <c r="AZ28" s="12">
        <v>14.430999999999999</v>
      </c>
      <c r="BA28" s="39">
        <v>50.17</v>
      </c>
      <c r="BB28" s="12">
        <v>6.915</v>
      </c>
      <c r="BC28" s="39">
        <v>0</v>
      </c>
      <c r="BD28" s="12">
        <f t="shared" si="3"/>
        <v>72.696000000000012</v>
      </c>
      <c r="BE28" s="14">
        <f t="shared" si="4"/>
        <v>51.349999700000005</v>
      </c>
      <c r="BF28" s="24">
        <f t="shared" si="0"/>
        <v>0.70636623335534277</v>
      </c>
      <c r="BG28" s="23">
        <f t="shared" ref="BG28:BG59" si="6">BE28/J28</f>
        <v>0.18875484182822025</v>
      </c>
    </row>
    <row r="29" spans="1:59" ht="17.45" customHeight="1" x14ac:dyDescent="0.2">
      <c r="A29" s="27" t="str">
        <f t="shared" si="2"/>
        <v>법인</v>
      </c>
      <c r="B29" s="27" t="s">
        <v>1566</v>
      </c>
      <c r="C29" s="27" t="s">
        <v>1496</v>
      </c>
      <c r="D29" s="26">
        <v>6168203453</v>
      </c>
      <c r="E29" s="26">
        <v>10041502</v>
      </c>
      <c r="F29" s="25" t="s">
        <v>126</v>
      </c>
      <c r="G29" s="48" t="s">
        <v>322</v>
      </c>
      <c r="H29" s="53">
        <v>45835</v>
      </c>
      <c r="I29" s="53">
        <v>45881</v>
      </c>
      <c r="J29" s="14">
        <v>2922.7309999999998</v>
      </c>
      <c r="K29" s="49" t="s">
        <v>314</v>
      </c>
      <c r="L29" s="12">
        <v>0</v>
      </c>
      <c r="M29" s="13">
        <v>0</v>
      </c>
      <c r="N29" s="12">
        <v>0</v>
      </c>
      <c r="O29" s="13">
        <v>0</v>
      </c>
      <c r="P29" s="12">
        <v>0</v>
      </c>
      <c r="Q29" s="13">
        <v>0</v>
      </c>
      <c r="R29" s="12">
        <v>0</v>
      </c>
      <c r="S29" s="13">
        <v>0</v>
      </c>
      <c r="T29" s="12">
        <v>0</v>
      </c>
      <c r="U29" s="13">
        <v>0</v>
      </c>
      <c r="V29" s="12">
        <v>0</v>
      </c>
      <c r="W29" s="13">
        <v>0</v>
      </c>
      <c r="X29" s="12">
        <v>0</v>
      </c>
      <c r="Y29" s="13">
        <v>0</v>
      </c>
      <c r="Z29" s="12">
        <v>0</v>
      </c>
      <c r="AA29" s="13">
        <v>0</v>
      </c>
      <c r="AB29" s="12">
        <v>0</v>
      </c>
      <c r="AC29" s="13">
        <v>0</v>
      </c>
      <c r="AD29" s="12">
        <v>0</v>
      </c>
      <c r="AE29" s="13">
        <v>0</v>
      </c>
      <c r="AF29" s="12">
        <v>0</v>
      </c>
      <c r="AG29" s="13">
        <v>0</v>
      </c>
      <c r="AH29" s="12">
        <v>0</v>
      </c>
      <c r="AI29" s="13">
        <v>0</v>
      </c>
      <c r="AJ29" s="12">
        <v>26.248999999999999</v>
      </c>
      <c r="AK29" s="13">
        <v>0</v>
      </c>
      <c r="AL29" s="12">
        <v>31.023</v>
      </c>
      <c r="AM29" s="13">
        <v>0</v>
      </c>
      <c r="AN29" s="12">
        <v>32.76</v>
      </c>
      <c r="AO29" s="13">
        <v>26.248999999999999</v>
      </c>
      <c r="AP29" s="12">
        <v>24.085000000000001</v>
      </c>
      <c r="AQ29" s="13">
        <v>0</v>
      </c>
      <c r="AR29" s="12">
        <v>28.277999999999999</v>
      </c>
      <c r="AS29" s="13">
        <v>31.023</v>
      </c>
      <c r="AT29" s="12">
        <v>25</v>
      </c>
      <c r="AU29" s="13">
        <v>32.76</v>
      </c>
      <c r="AV29" s="12">
        <f>IFERROR(VLOOKUP(E29,[1]Sheet4!$A:$D,4,0),0)</f>
        <v>25</v>
      </c>
      <c r="AW29" s="13">
        <v>0</v>
      </c>
      <c r="AX29" s="12">
        <v>28.946000000000002</v>
      </c>
      <c r="AY29" s="39">
        <v>102.363</v>
      </c>
      <c r="AZ29" s="12">
        <v>27.334</v>
      </c>
      <c r="BA29" s="39">
        <v>28.946000000000002</v>
      </c>
      <c r="BB29" s="12">
        <v>27.553999999999998</v>
      </c>
      <c r="BC29" s="39">
        <v>0</v>
      </c>
      <c r="BD29" s="12">
        <f t="shared" si="3"/>
        <v>276.22899999999998</v>
      </c>
      <c r="BE29" s="14">
        <f t="shared" si="4"/>
        <v>221.34099999999998</v>
      </c>
      <c r="BF29" s="24">
        <f t="shared" si="0"/>
        <v>0.80129530208631239</v>
      </c>
      <c r="BG29" s="23">
        <f t="shared" si="6"/>
        <v>7.5730883204783467E-2</v>
      </c>
    </row>
    <row r="30" spans="1:59" ht="18" customHeight="1" x14ac:dyDescent="0.2">
      <c r="A30" s="27" t="str">
        <f t="shared" si="2"/>
        <v>법인</v>
      </c>
      <c r="B30" s="27" t="s">
        <v>1559</v>
      </c>
      <c r="C30" s="27" t="s">
        <v>1496</v>
      </c>
      <c r="D30" s="26">
        <v>6398200177</v>
      </c>
      <c r="E30" s="26">
        <v>10047292</v>
      </c>
      <c r="F30" s="25" t="s">
        <v>128</v>
      </c>
      <c r="G30" s="48" t="s">
        <v>322</v>
      </c>
      <c r="H30" s="53">
        <v>45897</v>
      </c>
      <c r="I30" s="53">
        <v>45950</v>
      </c>
      <c r="J30" s="14">
        <v>1705.3829000000001</v>
      </c>
      <c r="K30" s="49" t="s">
        <v>311</v>
      </c>
      <c r="L30" s="12">
        <v>0</v>
      </c>
      <c r="M30" s="13">
        <v>0</v>
      </c>
      <c r="N30" s="12">
        <v>0</v>
      </c>
      <c r="O30" s="13">
        <v>0</v>
      </c>
      <c r="P30" s="12">
        <v>0</v>
      </c>
      <c r="Q30" s="13">
        <v>0</v>
      </c>
      <c r="R30" s="12">
        <v>0</v>
      </c>
      <c r="S30" s="13">
        <v>0</v>
      </c>
      <c r="T30" s="12">
        <v>0</v>
      </c>
      <c r="U30" s="13">
        <v>0</v>
      </c>
      <c r="V30" s="12">
        <v>0</v>
      </c>
      <c r="W30" s="13">
        <v>0</v>
      </c>
      <c r="X30" s="12">
        <v>0</v>
      </c>
      <c r="Y30" s="13">
        <v>0</v>
      </c>
      <c r="Z30" s="12">
        <v>0</v>
      </c>
      <c r="AA30" s="13">
        <v>0</v>
      </c>
      <c r="AB30" s="12">
        <v>0</v>
      </c>
      <c r="AC30" s="13">
        <v>0</v>
      </c>
      <c r="AD30" s="12">
        <v>0</v>
      </c>
      <c r="AE30" s="13">
        <v>0</v>
      </c>
      <c r="AF30" s="12">
        <v>0</v>
      </c>
      <c r="AG30" s="13">
        <v>0</v>
      </c>
      <c r="AH30" s="12">
        <v>0</v>
      </c>
      <c r="AI30" s="13">
        <v>0</v>
      </c>
      <c r="AJ30" s="12">
        <v>0.76600000000000001</v>
      </c>
      <c r="AK30" s="13">
        <v>0</v>
      </c>
      <c r="AL30" s="12">
        <v>20.672000000000001</v>
      </c>
      <c r="AM30" s="13">
        <v>0</v>
      </c>
      <c r="AN30" s="12">
        <v>26.343</v>
      </c>
      <c r="AO30" s="13">
        <v>0</v>
      </c>
      <c r="AP30" s="12">
        <v>27.209</v>
      </c>
      <c r="AQ30" s="13">
        <v>0</v>
      </c>
      <c r="AR30" s="12">
        <v>34.56</v>
      </c>
      <c r="AS30" s="13">
        <v>0</v>
      </c>
      <c r="AT30" s="12">
        <v>33.868000000000002</v>
      </c>
      <c r="AU30" s="13">
        <v>20.716999999999999</v>
      </c>
      <c r="AV30" s="12">
        <f>IFERROR(VLOOKUP(E30,[1]Sheet4!$A:$D,4,0),0)</f>
        <v>44.222000000000001</v>
      </c>
      <c r="AW30" s="13">
        <v>0</v>
      </c>
      <c r="AX30" s="12">
        <v>47.991</v>
      </c>
      <c r="AY30" s="39">
        <v>0</v>
      </c>
      <c r="AZ30" s="12">
        <v>43.418999999999997</v>
      </c>
      <c r="BA30" s="39">
        <v>53.552</v>
      </c>
      <c r="BB30" s="12">
        <v>41.899000000000001</v>
      </c>
      <c r="BC30" s="39">
        <v>34.56</v>
      </c>
      <c r="BD30" s="12">
        <f t="shared" si="3"/>
        <v>320.94900000000001</v>
      </c>
      <c r="BE30" s="14">
        <f t="shared" si="4"/>
        <v>108.82900000000001</v>
      </c>
      <c r="BF30" s="24">
        <f t="shared" si="0"/>
        <v>0.33908502596985818</v>
      </c>
      <c r="BG30" s="23">
        <f t="shared" si="6"/>
        <v>6.3814994274892761E-2</v>
      </c>
    </row>
    <row r="31" spans="1:59" ht="18" customHeight="1" x14ac:dyDescent="0.2">
      <c r="A31" s="27" t="str">
        <f t="shared" si="2"/>
        <v>개인</v>
      </c>
      <c r="B31" s="27" t="s">
        <v>1567</v>
      </c>
      <c r="C31" s="27" t="s">
        <v>1554</v>
      </c>
      <c r="D31" s="26">
        <v>6877100016</v>
      </c>
      <c r="E31" s="26">
        <v>10022281</v>
      </c>
      <c r="F31" s="25" t="s">
        <v>86</v>
      </c>
      <c r="G31" s="48" t="s">
        <v>322</v>
      </c>
      <c r="H31" s="53">
        <v>45827</v>
      </c>
      <c r="I31" s="53">
        <v>45902</v>
      </c>
      <c r="J31" s="14">
        <v>206.75200000000001</v>
      </c>
      <c r="K31" s="49" t="s">
        <v>311</v>
      </c>
      <c r="L31" s="12">
        <v>0</v>
      </c>
      <c r="M31" s="13">
        <v>0</v>
      </c>
      <c r="N31" s="12">
        <v>0</v>
      </c>
      <c r="O31" s="13">
        <v>0</v>
      </c>
      <c r="P31" s="12">
        <v>0</v>
      </c>
      <c r="Q31" s="13">
        <v>0</v>
      </c>
      <c r="R31" s="12">
        <v>0</v>
      </c>
      <c r="S31" s="13">
        <v>0</v>
      </c>
      <c r="T31" s="12">
        <v>0</v>
      </c>
      <c r="U31" s="13">
        <v>0</v>
      </c>
      <c r="V31" s="12">
        <v>0</v>
      </c>
      <c r="W31" s="13">
        <v>0</v>
      </c>
      <c r="X31" s="12">
        <v>0</v>
      </c>
      <c r="Y31" s="13">
        <v>0</v>
      </c>
      <c r="Z31" s="12">
        <v>0</v>
      </c>
      <c r="AA31" s="13">
        <v>0</v>
      </c>
      <c r="AB31" s="12">
        <v>0</v>
      </c>
      <c r="AC31" s="13">
        <v>0</v>
      </c>
      <c r="AD31" s="12">
        <v>0</v>
      </c>
      <c r="AE31" s="13">
        <v>0</v>
      </c>
      <c r="AF31" s="12">
        <v>1.155</v>
      </c>
      <c r="AG31" s="13">
        <v>0</v>
      </c>
      <c r="AH31" s="12">
        <v>1.45</v>
      </c>
      <c r="AI31" s="13">
        <v>0</v>
      </c>
      <c r="AJ31" s="12">
        <v>1.45</v>
      </c>
      <c r="AK31" s="13">
        <v>0</v>
      </c>
      <c r="AL31" s="12">
        <v>2.1760000000000002</v>
      </c>
      <c r="AM31" s="13">
        <v>1</v>
      </c>
      <c r="AN31" s="12">
        <v>1.45</v>
      </c>
      <c r="AO31" s="13">
        <v>2</v>
      </c>
      <c r="AP31" s="12">
        <v>2.016</v>
      </c>
      <c r="AQ31" s="13">
        <v>1</v>
      </c>
      <c r="AR31" s="12">
        <v>1.6479999999999999</v>
      </c>
      <c r="AS31" s="13">
        <v>0</v>
      </c>
      <c r="AT31" s="12">
        <v>1.9359999999999999</v>
      </c>
      <c r="AU31" s="144">
        <v>5.5000000000000007E-2</v>
      </c>
      <c r="AV31" s="12">
        <f>IFERROR(VLOOKUP(E31,[1]Sheet4!$A:$D,4,0),0)</f>
        <v>1.8720000000000001</v>
      </c>
      <c r="AW31" s="13">
        <v>3</v>
      </c>
      <c r="AX31" s="12">
        <v>1.712</v>
      </c>
      <c r="AY31" s="39">
        <v>0</v>
      </c>
      <c r="AZ31" s="12">
        <v>1.6479999999999999</v>
      </c>
      <c r="BA31" s="39">
        <v>1</v>
      </c>
      <c r="BB31" s="12">
        <v>1.6160000000000001</v>
      </c>
      <c r="BC31" s="39">
        <v>0.5</v>
      </c>
      <c r="BD31" s="12">
        <f t="shared" si="3"/>
        <v>20.129000000000001</v>
      </c>
      <c r="BE31" s="14">
        <f t="shared" si="4"/>
        <v>8.5549999999999997</v>
      </c>
      <c r="BF31" s="24">
        <f t="shared" si="0"/>
        <v>0.42500869392418894</v>
      </c>
      <c r="BG31" s="23">
        <f t="shared" si="6"/>
        <v>4.1378076149202907E-2</v>
      </c>
    </row>
    <row r="32" spans="1:59" ht="18" customHeight="1" x14ac:dyDescent="0.2">
      <c r="A32" s="27" t="str">
        <f t="shared" si="2"/>
        <v>개인</v>
      </c>
      <c r="B32" s="27" t="s">
        <v>1564</v>
      </c>
      <c r="C32" s="27" t="s">
        <v>1554</v>
      </c>
      <c r="D32" s="26">
        <v>8039501646</v>
      </c>
      <c r="E32" s="26">
        <v>10086279</v>
      </c>
      <c r="F32" s="25" t="s">
        <v>138</v>
      </c>
      <c r="G32" s="48" t="s">
        <v>443</v>
      </c>
      <c r="H32" s="53">
        <v>45987</v>
      </c>
      <c r="I32" s="50">
        <v>46000</v>
      </c>
      <c r="J32" s="14">
        <v>276.46046999999999</v>
      </c>
      <c r="K32" s="49" t="s">
        <v>311</v>
      </c>
      <c r="L32" s="12">
        <v>0</v>
      </c>
      <c r="M32" s="13">
        <v>0</v>
      </c>
      <c r="N32" s="12">
        <v>0</v>
      </c>
      <c r="O32" s="13">
        <v>0</v>
      </c>
      <c r="P32" s="12">
        <v>0</v>
      </c>
      <c r="Q32" s="13">
        <v>0</v>
      </c>
      <c r="R32" s="12">
        <v>0</v>
      </c>
      <c r="S32" s="13">
        <v>0</v>
      </c>
      <c r="T32" s="12">
        <v>0</v>
      </c>
      <c r="U32" s="13">
        <v>0</v>
      </c>
      <c r="V32" s="12">
        <v>0</v>
      </c>
      <c r="W32" s="13">
        <v>0</v>
      </c>
      <c r="X32" s="12">
        <v>0</v>
      </c>
      <c r="Y32" s="13">
        <v>0</v>
      </c>
      <c r="Z32" s="12">
        <v>0</v>
      </c>
      <c r="AA32" s="13">
        <v>0</v>
      </c>
      <c r="AB32" s="12">
        <v>0</v>
      </c>
      <c r="AC32" s="13">
        <v>0</v>
      </c>
      <c r="AD32" s="12">
        <v>0</v>
      </c>
      <c r="AE32" s="13">
        <v>0</v>
      </c>
      <c r="AF32" s="12">
        <v>0</v>
      </c>
      <c r="AG32" s="13">
        <v>0</v>
      </c>
      <c r="AH32" s="12">
        <v>0</v>
      </c>
      <c r="AI32" s="13">
        <v>0</v>
      </c>
      <c r="AJ32" s="12">
        <v>276.46046999999999</v>
      </c>
      <c r="AK32" s="13">
        <v>0</v>
      </c>
      <c r="AL32" s="12">
        <v>0</v>
      </c>
      <c r="AM32" s="13">
        <v>100</v>
      </c>
      <c r="AN32" s="12">
        <v>0</v>
      </c>
      <c r="AO32" s="13">
        <v>100</v>
      </c>
      <c r="AP32" s="12">
        <v>0</v>
      </c>
      <c r="AQ32" s="13">
        <v>76.460470000000001</v>
      </c>
      <c r="AR32" s="12" t="s">
        <v>1496</v>
      </c>
      <c r="AS32" s="13">
        <v>0</v>
      </c>
      <c r="AT32" s="12">
        <v>0</v>
      </c>
      <c r="AU32" s="13">
        <v>0</v>
      </c>
      <c r="AV32" s="12">
        <f>IFERROR(VLOOKUP(E32,[1]Sheet4!$A:$D,4,0),0)</f>
        <v>0</v>
      </c>
      <c r="AW32" s="13">
        <v>0</v>
      </c>
      <c r="AX32" s="12">
        <v>0</v>
      </c>
      <c r="AY32" s="39">
        <v>0</v>
      </c>
      <c r="AZ32" s="12">
        <v>0</v>
      </c>
      <c r="BA32" s="39">
        <v>0</v>
      </c>
      <c r="BB32" s="12">
        <v>0</v>
      </c>
      <c r="BC32" s="39">
        <v>0</v>
      </c>
      <c r="BD32" s="12">
        <f t="shared" si="3"/>
        <v>276.46046999999999</v>
      </c>
      <c r="BE32" s="14">
        <f t="shared" si="4"/>
        <v>276.46046999999999</v>
      </c>
      <c r="BF32" s="24">
        <f t="shared" si="0"/>
        <v>1</v>
      </c>
      <c r="BG32" s="23">
        <f t="shared" si="6"/>
        <v>1</v>
      </c>
    </row>
    <row r="33" spans="1:59" ht="18" customHeight="1" x14ac:dyDescent="0.2">
      <c r="A33" s="27" t="str">
        <f t="shared" si="2"/>
        <v>법인</v>
      </c>
      <c r="B33" s="27" t="s">
        <v>1568</v>
      </c>
      <c r="C33" s="27" t="s">
        <v>1496</v>
      </c>
      <c r="D33" s="26">
        <v>6208200931</v>
      </c>
      <c r="E33" s="26">
        <v>10041740</v>
      </c>
      <c r="F33" s="25" t="s">
        <v>113</v>
      </c>
      <c r="G33" s="48" t="s">
        <v>322</v>
      </c>
      <c r="H33" s="53">
        <v>45838</v>
      </c>
      <c r="I33" s="53">
        <v>45916</v>
      </c>
      <c r="J33" s="14">
        <v>290.88499999999999</v>
      </c>
      <c r="K33" s="49" t="s">
        <v>311</v>
      </c>
      <c r="L33" s="12">
        <v>0</v>
      </c>
      <c r="M33" s="13">
        <v>0</v>
      </c>
      <c r="N33" s="12">
        <v>0</v>
      </c>
      <c r="O33" s="13">
        <v>0</v>
      </c>
      <c r="P33" s="12">
        <v>0</v>
      </c>
      <c r="Q33" s="13">
        <v>0</v>
      </c>
      <c r="R33" s="12">
        <v>0</v>
      </c>
      <c r="S33" s="13">
        <v>0</v>
      </c>
      <c r="T33" s="12">
        <v>0</v>
      </c>
      <c r="U33" s="13">
        <v>0</v>
      </c>
      <c r="V33" s="12">
        <v>0</v>
      </c>
      <c r="W33" s="13">
        <v>0</v>
      </c>
      <c r="X33" s="12">
        <v>0</v>
      </c>
      <c r="Y33" s="13">
        <v>0</v>
      </c>
      <c r="Z33" s="12">
        <v>0</v>
      </c>
      <c r="AA33" s="13">
        <v>0</v>
      </c>
      <c r="AB33" s="12">
        <v>0</v>
      </c>
      <c r="AC33" s="13">
        <v>0</v>
      </c>
      <c r="AD33" s="12">
        <v>0</v>
      </c>
      <c r="AE33" s="13">
        <v>0</v>
      </c>
      <c r="AF33" s="12">
        <v>0</v>
      </c>
      <c r="AG33" s="13">
        <v>0</v>
      </c>
      <c r="AH33" s="12">
        <v>0.79500000000000004</v>
      </c>
      <c r="AI33" s="13">
        <v>0</v>
      </c>
      <c r="AJ33" s="12">
        <v>6.1970000000000001</v>
      </c>
      <c r="AK33" s="13">
        <v>0.79500000000000004</v>
      </c>
      <c r="AL33" s="12">
        <v>5.3369999999999997</v>
      </c>
      <c r="AM33" s="13">
        <v>6.1970000000000001</v>
      </c>
      <c r="AN33" s="12">
        <v>5.5739999999999998</v>
      </c>
      <c r="AO33" s="13">
        <v>5.3369999999999997</v>
      </c>
      <c r="AP33" s="12">
        <v>5.3570000000000002</v>
      </c>
      <c r="AQ33" s="13">
        <v>5.5739999999999998</v>
      </c>
      <c r="AR33" s="12">
        <v>4.5960000000000001</v>
      </c>
      <c r="AS33" s="13">
        <v>5.3570000000000002</v>
      </c>
      <c r="AT33" s="12">
        <v>6.0339999999999998</v>
      </c>
      <c r="AU33" s="13">
        <v>4.5960000000000001</v>
      </c>
      <c r="AV33" s="12">
        <f>IFERROR(VLOOKUP(E33,[1]Sheet4!$A:$D,4,0),0)</f>
        <v>4.5369999999999999</v>
      </c>
      <c r="AW33" s="13">
        <v>6.0339999999999998</v>
      </c>
      <c r="AX33" s="12">
        <v>5.4729999999999999</v>
      </c>
      <c r="AY33" s="39">
        <v>4.5369999999999999</v>
      </c>
      <c r="AZ33" s="12">
        <v>5.4160000000000004</v>
      </c>
      <c r="BA33" s="39">
        <v>5.4729999999999999</v>
      </c>
      <c r="BB33" s="12">
        <v>4.9279999999999999</v>
      </c>
      <c r="BC33" s="39">
        <v>5.4160000000000004</v>
      </c>
      <c r="BD33" s="12">
        <f t="shared" si="3"/>
        <v>54.244</v>
      </c>
      <c r="BE33" s="14">
        <f t="shared" si="4"/>
        <v>49.316000000000003</v>
      </c>
      <c r="BF33" s="24">
        <f t="shared" si="0"/>
        <v>0.90915124253373647</v>
      </c>
      <c r="BG33" s="23">
        <f t="shared" si="6"/>
        <v>0.16953778984822182</v>
      </c>
    </row>
    <row r="34" spans="1:59" ht="18" customHeight="1" x14ac:dyDescent="0.2">
      <c r="A34" s="27" t="str">
        <f t="shared" si="2"/>
        <v>법인</v>
      </c>
      <c r="B34" s="27" t="s">
        <v>1555</v>
      </c>
      <c r="C34" s="27" t="s">
        <v>1496</v>
      </c>
      <c r="D34" s="26">
        <v>1538200538</v>
      </c>
      <c r="E34" s="26">
        <v>10074449</v>
      </c>
      <c r="F34" s="25" t="s">
        <v>69</v>
      </c>
      <c r="G34" s="48" t="s">
        <v>322</v>
      </c>
      <c r="H34" s="53">
        <v>45859</v>
      </c>
      <c r="I34" s="53">
        <v>45859</v>
      </c>
      <c r="J34" s="14">
        <v>117.27416699999999</v>
      </c>
      <c r="K34" s="49" t="s">
        <v>315</v>
      </c>
      <c r="L34" s="12">
        <v>0</v>
      </c>
      <c r="M34" s="13">
        <v>0</v>
      </c>
      <c r="N34" s="12">
        <v>0</v>
      </c>
      <c r="O34" s="13">
        <v>0</v>
      </c>
      <c r="P34" s="12">
        <v>0</v>
      </c>
      <c r="Q34" s="13">
        <v>0</v>
      </c>
      <c r="R34" s="12">
        <v>0</v>
      </c>
      <c r="S34" s="13">
        <v>0</v>
      </c>
      <c r="T34" s="12">
        <v>0</v>
      </c>
      <c r="U34" s="13">
        <v>0</v>
      </c>
      <c r="V34" s="12">
        <v>0</v>
      </c>
      <c r="W34" s="13">
        <v>0</v>
      </c>
      <c r="X34" s="12">
        <v>0</v>
      </c>
      <c r="Y34" s="13">
        <v>0</v>
      </c>
      <c r="Z34" s="12">
        <v>0</v>
      </c>
      <c r="AA34" s="13">
        <v>0</v>
      </c>
      <c r="AB34" s="12">
        <v>0</v>
      </c>
      <c r="AC34" s="13">
        <v>0</v>
      </c>
      <c r="AD34" s="12">
        <v>1.8460000000000001</v>
      </c>
      <c r="AE34" s="13">
        <v>0</v>
      </c>
      <c r="AF34" s="12">
        <v>2.9129999999999998</v>
      </c>
      <c r="AG34" s="13">
        <v>0</v>
      </c>
      <c r="AH34" s="12">
        <v>1.9179999999999999</v>
      </c>
      <c r="AI34" s="13">
        <v>0</v>
      </c>
      <c r="AJ34" s="12">
        <v>2.68</v>
      </c>
      <c r="AK34" s="13">
        <v>1.8460000000000001</v>
      </c>
      <c r="AL34" s="12">
        <v>2.7269999999999999</v>
      </c>
      <c r="AM34" s="13">
        <v>2.9129999999999998</v>
      </c>
      <c r="AN34" s="12">
        <v>2.77</v>
      </c>
      <c r="AO34" s="13">
        <v>1.9179999999999999</v>
      </c>
      <c r="AP34" s="12">
        <v>3.15</v>
      </c>
      <c r="AQ34" s="13">
        <v>2.68</v>
      </c>
      <c r="AR34" s="12">
        <v>2.4780000000000002</v>
      </c>
      <c r="AS34" s="15">
        <v>2.7269999999999999</v>
      </c>
      <c r="AT34" s="12">
        <v>5.2320000000000002</v>
      </c>
      <c r="AU34" s="13">
        <v>2.77</v>
      </c>
      <c r="AV34" s="12">
        <f>IFERROR(VLOOKUP(E34,[1]Sheet4!$A:$D,4,0),0)</f>
        <v>2.8029999999999999</v>
      </c>
      <c r="AW34" s="13">
        <v>3.15</v>
      </c>
      <c r="AX34" s="12">
        <v>3.9750000000000001</v>
      </c>
      <c r="AY34" s="39">
        <v>2.4780000000000002</v>
      </c>
      <c r="AZ34" s="12">
        <v>2.5950000000000002</v>
      </c>
      <c r="BA34" s="39">
        <v>5.2320000000000002</v>
      </c>
      <c r="BB34" s="12">
        <v>2.149</v>
      </c>
      <c r="BC34" s="39">
        <v>2.8029999999999999</v>
      </c>
      <c r="BD34" s="12">
        <f t="shared" si="3"/>
        <v>37.235999999999997</v>
      </c>
      <c r="BE34" s="14">
        <f t="shared" si="4"/>
        <v>28.517000000000003</v>
      </c>
      <c r="BF34" s="24">
        <f t="shared" si="0"/>
        <v>0.76584488129766903</v>
      </c>
      <c r="BG34" s="23">
        <f t="shared" si="6"/>
        <v>0.24316523177691815</v>
      </c>
    </row>
    <row r="35" spans="1:59" ht="18" customHeight="1" x14ac:dyDescent="0.2">
      <c r="A35" s="27" t="str">
        <f t="shared" si="2"/>
        <v>개인</v>
      </c>
      <c r="B35" s="27" t="s">
        <v>1556</v>
      </c>
      <c r="C35" s="27" t="s">
        <v>1554</v>
      </c>
      <c r="D35" s="26">
        <v>4186500404</v>
      </c>
      <c r="E35" s="26">
        <v>10067520</v>
      </c>
      <c r="F35" s="25" t="s">
        <v>56</v>
      </c>
      <c r="G35" s="48" t="s">
        <v>321</v>
      </c>
      <c r="H35" s="53">
        <v>45821</v>
      </c>
      <c r="I35" s="53">
        <v>45895</v>
      </c>
      <c r="J35" s="14">
        <v>145.15100000000001</v>
      </c>
      <c r="K35" s="49" t="s">
        <v>311</v>
      </c>
      <c r="L35" s="12">
        <v>0</v>
      </c>
      <c r="M35" s="13">
        <v>0</v>
      </c>
      <c r="N35" s="12">
        <v>0</v>
      </c>
      <c r="O35" s="13">
        <v>0</v>
      </c>
      <c r="P35" s="12">
        <v>0</v>
      </c>
      <c r="Q35" s="13">
        <v>0</v>
      </c>
      <c r="R35" s="12">
        <v>0</v>
      </c>
      <c r="S35" s="13">
        <v>0</v>
      </c>
      <c r="T35" s="12">
        <v>0</v>
      </c>
      <c r="U35" s="13">
        <v>0</v>
      </c>
      <c r="V35" s="12">
        <v>0</v>
      </c>
      <c r="W35" s="13">
        <v>0</v>
      </c>
      <c r="X35" s="12">
        <v>0</v>
      </c>
      <c r="Y35" s="13">
        <v>0</v>
      </c>
      <c r="Z35" s="12">
        <v>0</v>
      </c>
      <c r="AA35" s="13">
        <v>0</v>
      </c>
      <c r="AB35" s="12">
        <v>145.15100000000001</v>
      </c>
      <c r="AC35" s="13">
        <v>0</v>
      </c>
      <c r="AD35" s="12">
        <v>0</v>
      </c>
      <c r="AE35" s="13">
        <v>0</v>
      </c>
      <c r="AF35" s="12">
        <v>0</v>
      </c>
      <c r="AG35" s="13">
        <v>0</v>
      </c>
      <c r="AH35" s="12">
        <v>0</v>
      </c>
      <c r="AI35" s="13">
        <v>0</v>
      </c>
      <c r="AJ35" s="12">
        <v>0</v>
      </c>
      <c r="AK35" s="13">
        <v>40</v>
      </c>
      <c r="AL35" s="12">
        <v>0</v>
      </c>
      <c r="AM35" s="13">
        <v>40</v>
      </c>
      <c r="AN35" s="12">
        <v>0</v>
      </c>
      <c r="AO35" s="13">
        <v>40.140999999999998</v>
      </c>
      <c r="AP35" s="12">
        <v>0</v>
      </c>
      <c r="AQ35" s="13">
        <v>0</v>
      </c>
      <c r="AR35" s="12">
        <v>-25.01</v>
      </c>
      <c r="AS35" s="13">
        <v>0</v>
      </c>
      <c r="AT35" s="12">
        <v>0</v>
      </c>
      <c r="AU35" s="13">
        <v>0</v>
      </c>
      <c r="AV35" s="12">
        <f>IFERROR(VLOOKUP(E35,[1]Sheet4!$A:$D,4,0),0)</f>
        <v>0</v>
      </c>
      <c r="AW35" s="13">
        <v>0</v>
      </c>
      <c r="AX35" s="12">
        <v>0</v>
      </c>
      <c r="AY35" s="39">
        <v>0</v>
      </c>
      <c r="AZ35" s="12">
        <v>0</v>
      </c>
      <c r="BA35" s="39">
        <v>0</v>
      </c>
      <c r="BB35" s="12">
        <v>0</v>
      </c>
      <c r="BC35" s="39">
        <v>0</v>
      </c>
      <c r="BD35" s="12">
        <f t="shared" si="3"/>
        <v>120.14100000000001</v>
      </c>
      <c r="BE35" s="14">
        <f t="shared" si="4"/>
        <v>120.14099999999999</v>
      </c>
      <c r="BF35" s="24">
        <f t="shared" si="0"/>
        <v>0.99999999999999989</v>
      </c>
      <c r="BG35" s="23">
        <f t="shared" si="6"/>
        <v>0.82769667449759199</v>
      </c>
    </row>
    <row r="36" spans="1:59" ht="18" customHeight="1" x14ac:dyDescent="0.2">
      <c r="A36" s="27" t="str">
        <f t="shared" si="2"/>
        <v>개인</v>
      </c>
      <c r="B36" s="27" t="s">
        <v>1555</v>
      </c>
      <c r="C36" s="27" t="s">
        <v>1554</v>
      </c>
      <c r="D36" s="26">
        <v>1269036645</v>
      </c>
      <c r="E36" s="26">
        <v>10032805</v>
      </c>
      <c r="F36" s="25" t="s">
        <v>103</v>
      </c>
      <c r="G36" s="48" t="s">
        <v>322</v>
      </c>
      <c r="H36" s="53">
        <v>45831</v>
      </c>
      <c r="I36" s="53">
        <v>45930</v>
      </c>
      <c r="J36" s="14">
        <v>234.51399999999998</v>
      </c>
      <c r="K36" s="49" t="s">
        <v>311</v>
      </c>
      <c r="L36" s="12">
        <v>0</v>
      </c>
      <c r="M36" s="13">
        <v>0</v>
      </c>
      <c r="N36" s="12">
        <v>0</v>
      </c>
      <c r="O36" s="13">
        <v>0</v>
      </c>
      <c r="P36" s="12">
        <v>0</v>
      </c>
      <c r="Q36" s="13">
        <v>0</v>
      </c>
      <c r="R36" s="12">
        <v>0</v>
      </c>
      <c r="S36" s="13">
        <v>0</v>
      </c>
      <c r="T36" s="12">
        <v>0</v>
      </c>
      <c r="U36" s="13">
        <v>0</v>
      </c>
      <c r="V36" s="12">
        <v>0</v>
      </c>
      <c r="W36" s="13">
        <v>0</v>
      </c>
      <c r="X36" s="12">
        <v>0</v>
      </c>
      <c r="Y36" s="13">
        <v>0</v>
      </c>
      <c r="Z36" s="12">
        <v>0</v>
      </c>
      <c r="AA36" s="13">
        <v>0</v>
      </c>
      <c r="AB36" s="12">
        <v>0</v>
      </c>
      <c r="AC36" s="13">
        <v>0</v>
      </c>
      <c r="AD36" s="12">
        <v>0</v>
      </c>
      <c r="AE36" s="13">
        <v>0</v>
      </c>
      <c r="AF36" s="12">
        <v>0</v>
      </c>
      <c r="AG36" s="13">
        <v>0</v>
      </c>
      <c r="AH36" s="12">
        <v>2.6869999999999998</v>
      </c>
      <c r="AI36" s="13">
        <v>0</v>
      </c>
      <c r="AJ36" s="12">
        <v>6.5759999999999996</v>
      </c>
      <c r="AK36" s="13">
        <v>2.6869999999999998</v>
      </c>
      <c r="AL36" s="12">
        <v>5.4169999999999998</v>
      </c>
      <c r="AM36" s="13">
        <v>6.5759999999999996</v>
      </c>
      <c r="AN36" s="12">
        <v>5.9210000000000003</v>
      </c>
      <c r="AO36" s="13">
        <v>5.4169999999999998</v>
      </c>
      <c r="AP36" s="12">
        <v>4.1219999999999999</v>
      </c>
      <c r="AQ36" s="13">
        <v>5.9210000000000003</v>
      </c>
      <c r="AR36" s="12">
        <v>5.1580000000000004</v>
      </c>
      <c r="AS36" s="13">
        <v>4.1219999999999999</v>
      </c>
      <c r="AT36" s="12">
        <v>3.34</v>
      </c>
      <c r="AU36" s="13">
        <v>5.1580000000000004</v>
      </c>
      <c r="AV36" s="12">
        <f>IFERROR(VLOOKUP(E36,[1]Sheet4!$A:$D,4,0),0)</f>
        <v>4.2519999999999998</v>
      </c>
      <c r="AW36" s="13">
        <v>3.34</v>
      </c>
      <c r="AX36" s="12">
        <v>2.6150000000000002</v>
      </c>
      <c r="AY36" s="39">
        <v>4.2519999999999998</v>
      </c>
      <c r="AZ36" s="12">
        <v>3.1309999999999998</v>
      </c>
      <c r="BA36" s="39">
        <v>2.6150000000000002</v>
      </c>
      <c r="BB36" s="12">
        <v>3.468</v>
      </c>
      <c r="BC36" s="39">
        <v>3.1309999999999998</v>
      </c>
      <c r="BD36" s="12">
        <f t="shared" si="3"/>
        <v>46.687000000000012</v>
      </c>
      <c r="BE36" s="14">
        <f t="shared" si="4"/>
        <v>43.219000000000008</v>
      </c>
      <c r="BF36" s="24">
        <f t="shared" si="0"/>
        <v>0.92571807997943745</v>
      </c>
      <c r="BG36" s="23">
        <f t="shared" si="6"/>
        <v>0.1842917693613175</v>
      </c>
    </row>
    <row r="37" spans="1:59" ht="18" customHeight="1" x14ac:dyDescent="0.2">
      <c r="A37" s="27" t="str">
        <f t="shared" si="2"/>
        <v>법인</v>
      </c>
      <c r="B37" s="27" t="s">
        <v>1555</v>
      </c>
      <c r="C37" s="27" t="s">
        <v>1496</v>
      </c>
      <c r="D37" s="26">
        <v>5028213744</v>
      </c>
      <c r="E37" s="26">
        <v>10039210</v>
      </c>
      <c r="F37" s="25" t="s">
        <v>111</v>
      </c>
      <c r="G37" s="48" t="s">
        <v>322</v>
      </c>
      <c r="H37" s="53">
        <v>45852</v>
      </c>
      <c r="I37" s="53">
        <v>45909</v>
      </c>
      <c r="J37" s="14">
        <v>380.61600000000004</v>
      </c>
      <c r="K37" s="49" t="s">
        <v>311</v>
      </c>
      <c r="L37" s="12">
        <v>0</v>
      </c>
      <c r="M37" s="13">
        <v>0</v>
      </c>
      <c r="N37" s="12">
        <v>0</v>
      </c>
      <c r="O37" s="13">
        <v>0</v>
      </c>
      <c r="P37" s="12">
        <v>0</v>
      </c>
      <c r="Q37" s="13">
        <v>0</v>
      </c>
      <c r="R37" s="12">
        <v>0</v>
      </c>
      <c r="S37" s="13">
        <v>0</v>
      </c>
      <c r="T37" s="12">
        <v>0</v>
      </c>
      <c r="U37" s="13">
        <v>0</v>
      </c>
      <c r="V37" s="12">
        <v>0</v>
      </c>
      <c r="W37" s="13">
        <v>0</v>
      </c>
      <c r="X37" s="12">
        <v>0</v>
      </c>
      <c r="Y37" s="13">
        <v>0</v>
      </c>
      <c r="Z37" s="12">
        <v>0</v>
      </c>
      <c r="AA37" s="13">
        <v>0</v>
      </c>
      <c r="AB37" s="12">
        <v>0</v>
      </c>
      <c r="AC37" s="13">
        <v>0</v>
      </c>
      <c r="AD37" s="12">
        <v>0</v>
      </c>
      <c r="AE37" s="13">
        <v>0</v>
      </c>
      <c r="AF37" s="12">
        <v>0</v>
      </c>
      <c r="AG37" s="13">
        <v>0</v>
      </c>
      <c r="AH37" s="12">
        <v>17.824000000000002</v>
      </c>
      <c r="AI37" s="13">
        <v>0</v>
      </c>
      <c r="AJ37" s="12">
        <v>19.605</v>
      </c>
      <c r="AK37" s="13">
        <v>17.824000000000002</v>
      </c>
      <c r="AL37" s="12">
        <v>22.393999999999998</v>
      </c>
      <c r="AM37" s="13">
        <v>19.605</v>
      </c>
      <c r="AN37" s="12">
        <v>21.068999999999999</v>
      </c>
      <c r="AO37" s="13">
        <v>22.393999999999998</v>
      </c>
      <c r="AP37" s="12">
        <v>19.463000000000001</v>
      </c>
      <c r="AQ37" s="13">
        <v>21.068999999999999</v>
      </c>
      <c r="AR37" s="12">
        <v>23.059000000000001</v>
      </c>
      <c r="AS37" s="13">
        <v>19.463000000000001</v>
      </c>
      <c r="AT37" s="12">
        <v>24.18</v>
      </c>
      <c r="AU37" s="13">
        <v>23.059000000000001</v>
      </c>
      <c r="AV37" s="12">
        <f>IFERROR(VLOOKUP(E37,[1]Sheet4!$A:$D,4,0),0)</f>
        <v>22.01</v>
      </c>
      <c r="AW37" s="13">
        <v>24.18</v>
      </c>
      <c r="AX37" s="12">
        <v>22.696000000000002</v>
      </c>
      <c r="AY37" s="39">
        <v>22.01</v>
      </c>
      <c r="AZ37" s="12">
        <v>24.686</v>
      </c>
      <c r="BA37" s="39">
        <v>22.696000000000002</v>
      </c>
      <c r="BB37" s="12">
        <v>23.78</v>
      </c>
      <c r="BC37" s="39">
        <v>24.686</v>
      </c>
      <c r="BD37" s="12">
        <f t="shared" si="3"/>
        <v>240.76599999999999</v>
      </c>
      <c r="BE37" s="14">
        <f t="shared" si="4"/>
        <v>216.98599999999999</v>
      </c>
      <c r="BF37" s="24">
        <f t="shared" si="0"/>
        <v>0.90123190151433341</v>
      </c>
      <c r="BG37" s="23">
        <f t="shared" si="6"/>
        <v>0.57009164091893128</v>
      </c>
    </row>
    <row r="38" spans="1:59" ht="18" customHeight="1" x14ac:dyDescent="0.2">
      <c r="A38" s="27" t="str">
        <f t="shared" si="2"/>
        <v>법인</v>
      </c>
      <c r="B38" s="27" t="s">
        <v>1559</v>
      </c>
      <c r="C38" s="27" t="s">
        <v>1496</v>
      </c>
      <c r="D38" s="26">
        <v>6018206614</v>
      </c>
      <c r="E38" s="26">
        <v>10069147</v>
      </c>
      <c r="F38" s="25" t="s">
        <v>92</v>
      </c>
      <c r="G38" s="48" t="s">
        <v>322</v>
      </c>
      <c r="H38" s="53">
        <v>45831</v>
      </c>
      <c r="I38" s="53">
        <v>45882</v>
      </c>
      <c r="J38" s="14">
        <v>721.09800000000007</v>
      </c>
      <c r="K38" s="49" t="s">
        <v>314</v>
      </c>
      <c r="L38" s="12">
        <v>0</v>
      </c>
      <c r="M38" s="13">
        <v>0</v>
      </c>
      <c r="N38" s="12">
        <v>0</v>
      </c>
      <c r="O38" s="13">
        <v>0</v>
      </c>
      <c r="P38" s="12">
        <v>0</v>
      </c>
      <c r="Q38" s="13">
        <v>0</v>
      </c>
      <c r="R38" s="12">
        <v>0</v>
      </c>
      <c r="S38" s="13">
        <v>0</v>
      </c>
      <c r="T38" s="12">
        <v>0</v>
      </c>
      <c r="U38" s="13">
        <v>0</v>
      </c>
      <c r="V38" s="12">
        <v>0</v>
      </c>
      <c r="W38" s="13">
        <v>0</v>
      </c>
      <c r="X38" s="12">
        <v>0</v>
      </c>
      <c r="Y38" s="13">
        <v>0</v>
      </c>
      <c r="Z38" s="12">
        <v>0</v>
      </c>
      <c r="AA38" s="13">
        <v>0</v>
      </c>
      <c r="AB38" s="12">
        <v>0</v>
      </c>
      <c r="AC38" s="13">
        <v>0</v>
      </c>
      <c r="AD38" s="12">
        <v>0</v>
      </c>
      <c r="AE38" s="13">
        <v>0</v>
      </c>
      <c r="AF38" s="12">
        <v>1.613</v>
      </c>
      <c r="AG38" s="13">
        <v>0</v>
      </c>
      <c r="AH38" s="12">
        <v>27.262</v>
      </c>
      <c r="AI38" s="13">
        <v>1.613</v>
      </c>
      <c r="AJ38" s="12">
        <v>29.242999999999999</v>
      </c>
      <c r="AK38" s="13">
        <v>27.262</v>
      </c>
      <c r="AL38" s="12">
        <v>34.911999999999999</v>
      </c>
      <c r="AM38" s="145">
        <v>29.242999999999999</v>
      </c>
      <c r="AN38" s="12">
        <v>32.067</v>
      </c>
      <c r="AO38" s="13">
        <v>34.911999999999999</v>
      </c>
      <c r="AP38" s="12">
        <v>30.785</v>
      </c>
      <c r="AQ38" s="13">
        <v>32.067</v>
      </c>
      <c r="AR38" s="12">
        <v>29.227</v>
      </c>
      <c r="AS38" s="13">
        <v>30.785</v>
      </c>
      <c r="AT38" s="12">
        <v>34.512</v>
      </c>
      <c r="AU38" s="13">
        <v>29.227</v>
      </c>
      <c r="AV38" s="12">
        <f>IFERROR(VLOOKUP(E38,[1]Sheet4!$A:$D,4,0),0)</f>
        <v>35.423999999999999</v>
      </c>
      <c r="AW38" s="13">
        <v>34.512</v>
      </c>
      <c r="AX38" s="12">
        <v>30.652999999999999</v>
      </c>
      <c r="AY38" s="39">
        <v>35.423999999999999</v>
      </c>
      <c r="AZ38" s="12">
        <v>33.396000000000001</v>
      </c>
      <c r="BA38" s="39">
        <v>30.652999999999999</v>
      </c>
      <c r="BB38" s="12">
        <v>33.665999999999997</v>
      </c>
      <c r="BC38" s="39">
        <v>33.396000000000001</v>
      </c>
      <c r="BD38" s="12">
        <f t="shared" si="3"/>
        <v>352.76000000000005</v>
      </c>
      <c r="BE38" s="14">
        <f t="shared" si="4"/>
        <v>319.09400000000005</v>
      </c>
      <c r="BF38" s="24">
        <f t="shared" si="0"/>
        <v>0.90456400952488947</v>
      </c>
      <c r="BG38" s="23">
        <f t="shared" si="6"/>
        <v>0.4425112814069655</v>
      </c>
    </row>
    <row r="39" spans="1:59" ht="18" customHeight="1" x14ac:dyDescent="0.2">
      <c r="A39" s="27" t="str">
        <f t="shared" si="2"/>
        <v>개인</v>
      </c>
      <c r="B39" s="27" t="s">
        <v>1556</v>
      </c>
      <c r="C39" s="27" t="s">
        <v>1554</v>
      </c>
      <c r="D39" s="26">
        <v>6969000063</v>
      </c>
      <c r="E39" s="26">
        <v>10047520</v>
      </c>
      <c r="F39" s="25" t="s">
        <v>23</v>
      </c>
      <c r="G39" s="48" t="s">
        <v>321</v>
      </c>
      <c r="H39" s="53">
        <v>45722</v>
      </c>
      <c r="I39" s="52">
        <v>45722</v>
      </c>
      <c r="J39" s="14">
        <f>159.521458+282.03</f>
        <v>441.55145799999997</v>
      </c>
      <c r="K39" s="49" t="s">
        <v>311</v>
      </c>
      <c r="L39" s="12">
        <v>0</v>
      </c>
      <c r="M39" s="13">
        <v>0</v>
      </c>
      <c r="N39" s="12">
        <v>0</v>
      </c>
      <c r="O39" s="13">
        <v>0</v>
      </c>
      <c r="P39" s="12">
        <v>0</v>
      </c>
      <c r="Q39" s="13">
        <v>0</v>
      </c>
      <c r="R39" s="12">
        <v>159.521458</v>
      </c>
      <c r="S39" s="13">
        <v>0</v>
      </c>
      <c r="T39" s="12">
        <v>0</v>
      </c>
      <c r="U39" s="13">
        <v>53.2</v>
      </c>
      <c r="V39" s="12">
        <v>0</v>
      </c>
      <c r="W39" s="13">
        <v>53.2</v>
      </c>
      <c r="X39" s="12">
        <v>0</v>
      </c>
      <c r="Y39" s="13">
        <v>53.121457999999997</v>
      </c>
      <c r="Z39" s="12">
        <v>0</v>
      </c>
      <c r="AA39" s="13">
        <v>0</v>
      </c>
      <c r="AB39" s="12">
        <v>0</v>
      </c>
      <c r="AC39" s="13">
        <v>0</v>
      </c>
      <c r="AD39" s="12">
        <v>0</v>
      </c>
      <c r="AE39" s="13">
        <v>0</v>
      </c>
      <c r="AF39" s="12">
        <v>0</v>
      </c>
      <c r="AG39" s="13">
        <v>0</v>
      </c>
      <c r="AH39" s="12">
        <v>0</v>
      </c>
      <c r="AI39" s="13">
        <v>0</v>
      </c>
      <c r="AJ39" s="12">
        <v>282.02999999999997</v>
      </c>
      <c r="AK39" s="13">
        <v>70.507499999999993</v>
      </c>
      <c r="AL39" s="12">
        <v>0</v>
      </c>
      <c r="AM39" s="13">
        <v>70.507499999999993</v>
      </c>
      <c r="AN39" s="12">
        <v>0</v>
      </c>
      <c r="AO39" s="13">
        <v>0</v>
      </c>
      <c r="AP39" s="12">
        <v>0</v>
      </c>
      <c r="AQ39" s="13">
        <v>141.01499999999999</v>
      </c>
      <c r="AR39" s="12" t="s">
        <v>1496</v>
      </c>
      <c r="AS39" s="13">
        <v>0</v>
      </c>
      <c r="AT39" s="12">
        <v>0</v>
      </c>
      <c r="AU39" s="13">
        <v>0</v>
      </c>
      <c r="AV39" s="12">
        <f>IFERROR(VLOOKUP(E39,[1]Sheet4!$A:$D,4,0),0)</f>
        <v>0</v>
      </c>
      <c r="AW39" s="13">
        <v>0</v>
      </c>
      <c r="AX39" s="12">
        <v>0</v>
      </c>
      <c r="AY39" s="39">
        <v>0</v>
      </c>
      <c r="AZ39" s="12">
        <v>0</v>
      </c>
      <c r="BA39" s="39">
        <v>0</v>
      </c>
      <c r="BB39" s="12">
        <v>0</v>
      </c>
      <c r="BC39" s="39">
        <v>0</v>
      </c>
      <c r="BD39" s="12">
        <f t="shared" si="3"/>
        <v>441.55145799999997</v>
      </c>
      <c r="BE39" s="14">
        <f t="shared" si="4"/>
        <v>441.55145799999997</v>
      </c>
      <c r="BF39" s="24">
        <f t="shared" si="0"/>
        <v>1</v>
      </c>
      <c r="BG39" s="23">
        <f t="shared" si="6"/>
        <v>1</v>
      </c>
    </row>
    <row r="40" spans="1:59" ht="18" customHeight="1" x14ac:dyDescent="0.2">
      <c r="A40" s="27" t="str">
        <f t="shared" si="2"/>
        <v>개인</v>
      </c>
      <c r="B40" s="27" t="s">
        <v>1556</v>
      </c>
      <c r="C40" s="27" t="s">
        <v>1554</v>
      </c>
      <c r="D40" s="26">
        <v>3052075442</v>
      </c>
      <c r="E40" s="26">
        <v>10036320</v>
      </c>
      <c r="F40" s="25" t="s">
        <v>75</v>
      </c>
      <c r="G40" s="48" t="s">
        <v>322</v>
      </c>
      <c r="H40" s="53">
        <v>45803</v>
      </c>
      <c r="I40" s="53">
        <v>45872</v>
      </c>
      <c r="J40" s="14">
        <v>1479.0650000000001</v>
      </c>
      <c r="K40" s="49" t="s">
        <v>311</v>
      </c>
      <c r="L40" s="12">
        <v>0</v>
      </c>
      <c r="M40" s="13">
        <v>0</v>
      </c>
      <c r="N40" s="12">
        <v>0</v>
      </c>
      <c r="O40" s="13">
        <v>0</v>
      </c>
      <c r="P40" s="12">
        <v>0</v>
      </c>
      <c r="Q40" s="13">
        <v>0</v>
      </c>
      <c r="R40" s="12">
        <v>0</v>
      </c>
      <c r="S40" s="13">
        <v>0</v>
      </c>
      <c r="T40" s="12">
        <v>0</v>
      </c>
      <c r="U40" s="13">
        <v>0</v>
      </c>
      <c r="V40" s="12">
        <v>0</v>
      </c>
      <c r="W40" s="13">
        <v>0</v>
      </c>
      <c r="X40" s="12">
        <v>0</v>
      </c>
      <c r="Y40" s="13">
        <v>0</v>
      </c>
      <c r="Z40" s="12">
        <v>0</v>
      </c>
      <c r="AA40" s="13">
        <v>0</v>
      </c>
      <c r="AB40" s="12">
        <v>0</v>
      </c>
      <c r="AC40" s="13">
        <v>0</v>
      </c>
      <c r="AD40" s="12">
        <v>2.5760000000000001</v>
      </c>
      <c r="AE40" s="13">
        <v>0</v>
      </c>
      <c r="AF40" s="12">
        <v>12.65</v>
      </c>
      <c r="AG40" s="13">
        <v>2.5760000000000001</v>
      </c>
      <c r="AH40" s="12">
        <v>15.715999999999999</v>
      </c>
      <c r="AI40" s="13">
        <v>12.65</v>
      </c>
      <c r="AJ40" s="12">
        <v>24.241</v>
      </c>
      <c r="AK40" s="13">
        <v>15.715999999999999</v>
      </c>
      <c r="AL40" s="12">
        <v>27.388999999999999</v>
      </c>
      <c r="AM40" s="13">
        <v>0</v>
      </c>
      <c r="AN40" s="12">
        <v>26.635999999999999</v>
      </c>
      <c r="AO40" s="13">
        <v>51.63</v>
      </c>
      <c r="AP40" s="12">
        <v>18.876000000000001</v>
      </c>
      <c r="AQ40" s="13">
        <v>0</v>
      </c>
      <c r="AR40" s="12">
        <v>17.07</v>
      </c>
      <c r="AS40" s="13">
        <v>45.512</v>
      </c>
      <c r="AT40" s="12">
        <v>26.408000000000001</v>
      </c>
      <c r="AU40" s="13">
        <v>17.07</v>
      </c>
      <c r="AV40" s="12">
        <f>IFERROR(VLOOKUP(E40,[1]Sheet4!$A:$D,4,0),0)</f>
        <v>22.501000000000001</v>
      </c>
      <c r="AW40" s="13">
        <v>26.408000000000001</v>
      </c>
      <c r="AX40" s="12">
        <v>18.37</v>
      </c>
      <c r="AY40" s="39">
        <v>22.501000000000001</v>
      </c>
      <c r="AZ40" s="12">
        <v>24.045000000000002</v>
      </c>
      <c r="BA40" s="39">
        <v>18.37</v>
      </c>
      <c r="BB40" s="12">
        <v>38.29</v>
      </c>
      <c r="BC40" s="39">
        <v>24.045000000000002</v>
      </c>
      <c r="BD40" s="12">
        <f t="shared" si="3"/>
        <v>274.76799999999997</v>
      </c>
      <c r="BE40" s="14">
        <f t="shared" si="4"/>
        <v>236.47800000000001</v>
      </c>
      <c r="BF40" s="24">
        <f t="shared" si="0"/>
        <v>0.86064607232283252</v>
      </c>
      <c r="BG40" s="23">
        <f t="shared" si="6"/>
        <v>0.15988343987586753</v>
      </c>
    </row>
    <row r="41" spans="1:59" ht="18" customHeight="1" x14ac:dyDescent="0.2">
      <c r="A41" s="27" t="str">
        <f t="shared" si="2"/>
        <v>법인</v>
      </c>
      <c r="B41" s="27" t="s">
        <v>1555</v>
      </c>
      <c r="C41" s="27" t="s">
        <v>1496</v>
      </c>
      <c r="D41" s="26">
        <v>6178205191</v>
      </c>
      <c r="E41" s="26">
        <v>10041592</v>
      </c>
      <c r="F41" s="25" t="s">
        <v>73</v>
      </c>
      <c r="G41" s="48" t="s">
        <v>322</v>
      </c>
      <c r="H41" s="53">
        <v>45805</v>
      </c>
      <c r="I41" s="53">
        <v>45881</v>
      </c>
      <c r="J41" s="14">
        <v>1474</v>
      </c>
      <c r="K41" s="49" t="s">
        <v>311</v>
      </c>
      <c r="L41" s="12">
        <v>0</v>
      </c>
      <c r="M41" s="13">
        <v>0</v>
      </c>
      <c r="N41" s="12">
        <v>0</v>
      </c>
      <c r="O41" s="13">
        <v>0</v>
      </c>
      <c r="P41" s="12">
        <v>0</v>
      </c>
      <c r="Q41" s="13">
        <v>0</v>
      </c>
      <c r="R41" s="12">
        <v>0</v>
      </c>
      <c r="S41" s="13">
        <v>0</v>
      </c>
      <c r="T41" s="12">
        <v>0</v>
      </c>
      <c r="U41" s="13">
        <v>0</v>
      </c>
      <c r="V41" s="12">
        <v>0</v>
      </c>
      <c r="W41" s="13">
        <v>0</v>
      </c>
      <c r="X41" s="12">
        <v>0</v>
      </c>
      <c r="Y41" s="13">
        <v>0</v>
      </c>
      <c r="Z41" s="12">
        <v>0</v>
      </c>
      <c r="AA41" s="13">
        <v>0</v>
      </c>
      <c r="AB41" s="12">
        <v>0</v>
      </c>
      <c r="AC41" s="13">
        <v>0</v>
      </c>
      <c r="AD41" s="12">
        <v>2.2509999999999999</v>
      </c>
      <c r="AE41" s="13">
        <v>0</v>
      </c>
      <c r="AF41" s="12">
        <v>12.5</v>
      </c>
      <c r="AG41" s="13">
        <v>2.2509999999999999</v>
      </c>
      <c r="AH41" s="12">
        <v>12.5</v>
      </c>
      <c r="AI41" s="13">
        <v>12.5</v>
      </c>
      <c r="AJ41" s="12">
        <v>18.530999999999999</v>
      </c>
      <c r="AK41" s="13">
        <v>12.5</v>
      </c>
      <c r="AL41" s="12">
        <v>33.979999999999997</v>
      </c>
      <c r="AM41" s="13">
        <v>18.530999999999999</v>
      </c>
      <c r="AN41" s="12">
        <v>41.768000000000001</v>
      </c>
      <c r="AO41" s="13">
        <v>33.979999999999997</v>
      </c>
      <c r="AP41" s="12">
        <v>46.084000000000003</v>
      </c>
      <c r="AQ41" s="13">
        <v>41.768000000000001</v>
      </c>
      <c r="AR41" s="12">
        <v>49.624000000000002</v>
      </c>
      <c r="AS41" s="13">
        <v>46.084000000000003</v>
      </c>
      <c r="AT41" s="12">
        <v>49.378999999999998</v>
      </c>
      <c r="AU41" s="13">
        <v>49.624000000000002</v>
      </c>
      <c r="AV41" s="12">
        <f>IFERROR(VLOOKUP(E41,[1]Sheet4!$A:$D,4,0),0)</f>
        <v>52.024000000000001</v>
      </c>
      <c r="AW41" s="13">
        <v>49.378999999999998</v>
      </c>
      <c r="AX41" s="12">
        <v>48.231000000000002</v>
      </c>
      <c r="AY41" s="39">
        <v>52.024000000000001</v>
      </c>
      <c r="AZ41" s="12">
        <v>49.28</v>
      </c>
      <c r="BA41" s="39">
        <v>48.231000000000002</v>
      </c>
      <c r="BB41" s="12">
        <v>0.40799999999999997</v>
      </c>
      <c r="BC41" s="39">
        <v>49.28</v>
      </c>
      <c r="BD41" s="12">
        <f t="shared" si="3"/>
        <v>416.56000000000006</v>
      </c>
      <c r="BE41" s="14">
        <f t="shared" si="4"/>
        <v>416.15200000000004</v>
      </c>
      <c r="BF41" s="24">
        <f t="shared" si="0"/>
        <v>0.99902054926061068</v>
      </c>
      <c r="BG41" s="23">
        <f t="shared" si="6"/>
        <v>0.28232835820895524</v>
      </c>
    </row>
    <row r="42" spans="1:59" ht="18" customHeight="1" x14ac:dyDescent="0.2">
      <c r="A42" s="27" t="str">
        <f t="shared" si="2"/>
        <v>개인</v>
      </c>
      <c r="B42" s="27" t="s">
        <v>1555</v>
      </c>
      <c r="C42" s="27" t="s">
        <v>1554</v>
      </c>
      <c r="D42" s="26">
        <v>6219601338</v>
      </c>
      <c r="E42" s="26">
        <v>10041888</v>
      </c>
      <c r="F42" s="25" t="s">
        <v>83</v>
      </c>
      <c r="G42" s="48" t="s">
        <v>322</v>
      </c>
      <c r="H42" s="53">
        <v>45810</v>
      </c>
      <c r="I42" s="53">
        <v>45881</v>
      </c>
      <c r="J42" s="14">
        <v>497.40000000000003</v>
      </c>
      <c r="K42" s="49" t="s">
        <v>311</v>
      </c>
      <c r="L42" s="12">
        <v>0</v>
      </c>
      <c r="M42" s="13">
        <v>0</v>
      </c>
      <c r="N42" s="12">
        <v>0</v>
      </c>
      <c r="O42" s="13">
        <v>0</v>
      </c>
      <c r="P42" s="12">
        <v>0</v>
      </c>
      <c r="Q42" s="13">
        <v>0</v>
      </c>
      <c r="R42" s="12">
        <v>0</v>
      </c>
      <c r="S42" s="13">
        <v>0</v>
      </c>
      <c r="T42" s="12">
        <v>0</v>
      </c>
      <c r="U42" s="13">
        <v>0</v>
      </c>
      <c r="V42" s="12">
        <v>0</v>
      </c>
      <c r="W42" s="13">
        <v>0</v>
      </c>
      <c r="X42" s="12">
        <v>0</v>
      </c>
      <c r="Y42" s="13">
        <v>0</v>
      </c>
      <c r="Z42" s="12">
        <v>0</v>
      </c>
      <c r="AA42" s="13">
        <v>0</v>
      </c>
      <c r="AB42" s="12">
        <v>0</v>
      </c>
      <c r="AC42" s="13">
        <v>0</v>
      </c>
      <c r="AD42" s="12">
        <v>9.3320000000000007</v>
      </c>
      <c r="AE42" s="13">
        <v>0</v>
      </c>
      <c r="AF42" s="12">
        <v>0</v>
      </c>
      <c r="AG42" s="13">
        <v>0</v>
      </c>
      <c r="AH42" s="12">
        <v>36.520000000000003</v>
      </c>
      <c r="AI42" s="13">
        <v>9.3320000000000007</v>
      </c>
      <c r="AJ42" s="12">
        <v>22.88</v>
      </c>
      <c r="AK42" s="13">
        <v>18.684999999999999</v>
      </c>
      <c r="AL42" s="12">
        <v>31.55</v>
      </c>
      <c r="AM42" s="13">
        <v>17.835000000000001</v>
      </c>
      <c r="AN42" s="12">
        <v>31.562000000000001</v>
      </c>
      <c r="AO42" s="13">
        <v>22.88</v>
      </c>
      <c r="AP42" s="12">
        <v>28.579000000000001</v>
      </c>
      <c r="AQ42" s="13">
        <v>31.55</v>
      </c>
      <c r="AR42" s="12">
        <v>32.896000000000001</v>
      </c>
      <c r="AS42" s="13">
        <v>31.562000000000001</v>
      </c>
      <c r="AT42" s="12">
        <v>0</v>
      </c>
      <c r="AU42" s="13">
        <v>61.475000000000001</v>
      </c>
      <c r="AV42" s="12">
        <f>IFERROR(VLOOKUP(E42,[1]Sheet4!$A:$D,4,0),0)</f>
        <v>0</v>
      </c>
      <c r="AW42" s="13">
        <v>0</v>
      </c>
      <c r="AX42" s="12">
        <v>0</v>
      </c>
      <c r="AY42" s="39">
        <v>0</v>
      </c>
      <c r="AZ42" s="12">
        <v>0</v>
      </c>
      <c r="BA42" s="39">
        <v>0</v>
      </c>
      <c r="BB42" s="12">
        <v>0</v>
      </c>
      <c r="BC42" s="39">
        <v>0</v>
      </c>
      <c r="BD42" s="12">
        <f t="shared" si="3"/>
        <v>193.31900000000002</v>
      </c>
      <c r="BE42" s="14">
        <f t="shared" si="4"/>
        <v>193.31899999999999</v>
      </c>
      <c r="BF42" s="24">
        <f t="shared" si="0"/>
        <v>0.99999999999999989</v>
      </c>
      <c r="BG42" s="23">
        <f t="shared" si="6"/>
        <v>0.38865902694008841</v>
      </c>
    </row>
    <row r="43" spans="1:59" ht="18" customHeight="1" x14ac:dyDescent="0.2">
      <c r="A43" s="27" t="str">
        <f t="shared" si="2"/>
        <v>법인</v>
      </c>
      <c r="B43" s="27" t="s">
        <v>1559</v>
      </c>
      <c r="C43" s="27" t="s">
        <v>1496</v>
      </c>
      <c r="D43" s="26">
        <v>6088216068</v>
      </c>
      <c r="E43" s="26">
        <v>10047340</v>
      </c>
      <c r="F43" s="78" t="s">
        <v>98</v>
      </c>
      <c r="G43" s="48" t="s">
        <v>320</v>
      </c>
      <c r="H43" s="53">
        <v>45903</v>
      </c>
      <c r="I43" s="50">
        <v>45950</v>
      </c>
      <c r="J43" s="14">
        <v>259.53100000000001</v>
      </c>
      <c r="K43" s="49" t="s">
        <v>311</v>
      </c>
      <c r="L43" s="12">
        <v>0</v>
      </c>
      <c r="M43" s="13">
        <v>0</v>
      </c>
      <c r="N43" s="12">
        <v>0</v>
      </c>
      <c r="O43" s="13">
        <v>0</v>
      </c>
      <c r="P43" s="12">
        <v>0</v>
      </c>
      <c r="Q43" s="13">
        <v>0</v>
      </c>
      <c r="R43" s="12">
        <v>0</v>
      </c>
      <c r="S43" s="13">
        <v>0</v>
      </c>
      <c r="T43" s="12">
        <v>0</v>
      </c>
      <c r="U43" s="13">
        <v>0</v>
      </c>
      <c r="V43" s="12">
        <v>0</v>
      </c>
      <c r="W43" s="13">
        <v>0</v>
      </c>
      <c r="X43" s="12">
        <v>0</v>
      </c>
      <c r="Y43" s="13">
        <v>0</v>
      </c>
      <c r="Z43" s="12">
        <v>0</v>
      </c>
      <c r="AA43" s="13">
        <v>0</v>
      </c>
      <c r="AB43" s="12">
        <v>0</v>
      </c>
      <c r="AC43" s="13">
        <v>0</v>
      </c>
      <c r="AD43" s="12">
        <v>0</v>
      </c>
      <c r="AE43" s="13">
        <v>0</v>
      </c>
      <c r="AF43" s="12">
        <v>259.53100000000001</v>
      </c>
      <c r="AG43" s="13">
        <v>0</v>
      </c>
      <c r="AH43" s="12">
        <v>0</v>
      </c>
      <c r="AI43" s="13">
        <v>0</v>
      </c>
      <c r="AJ43" s="12">
        <v>0</v>
      </c>
      <c r="AK43" s="13">
        <v>159.53100000000001</v>
      </c>
      <c r="AL43" s="12">
        <v>0</v>
      </c>
      <c r="AM43" s="13">
        <v>100</v>
      </c>
      <c r="AN43" s="12">
        <v>0</v>
      </c>
      <c r="AO43" s="13">
        <v>0</v>
      </c>
      <c r="AP43" s="12">
        <v>0</v>
      </c>
      <c r="AQ43" s="13">
        <v>0</v>
      </c>
      <c r="AR43" s="12" t="s">
        <v>1496</v>
      </c>
      <c r="AS43" s="13">
        <v>0</v>
      </c>
      <c r="AT43" s="12">
        <v>0</v>
      </c>
      <c r="AU43" s="13">
        <v>0</v>
      </c>
      <c r="AV43" s="12">
        <f>IFERROR(VLOOKUP(E43,[1]Sheet4!$A:$D,4,0),0)</f>
        <v>0</v>
      </c>
      <c r="AW43" s="13">
        <v>0</v>
      </c>
      <c r="AX43" s="12">
        <v>0</v>
      </c>
      <c r="AY43" s="39">
        <v>0</v>
      </c>
      <c r="AZ43" s="12">
        <v>0</v>
      </c>
      <c r="BA43" s="39">
        <v>0</v>
      </c>
      <c r="BB43" s="12">
        <v>0</v>
      </c>
      <c r="BC43" s="39">
        <v>0</v>
      </c>
      <c r="BD43" s="12">
        <f t="shared" si="3"/>
        <v>259.53100000000001</v>
      </c>
      <c r="BE43" s="14">
        <f t="shared" si="4"/>
        <v>259.53100000000001</v>
      </c>
      <c r="BF43" s="24">
        <f t="shared" si="0"/>
        <v>1</v>
      </c>
      <c r="BG43" s="23">
        <f t="shared" si="6"/>
        <v>1</v>
      </c>
    </row>
    <row r="44" spans="1:59" ht="18" customHeight="1" x14ac:dyDescent="0.2">
      <c r="A44" s="27" t="str">
        <f t="shared" si="2"/>
        <v>개인</v>
      </c>
      <c r="B44" s="27" t="s">
        <v>1569</v>
      </c>
      <c r="C44" s="27" t="s">
        <v>1554</v>
      </c>
      <c r="D44" s="26">
        <v>6039134608</v>
      </c>
      <c r="E44" s="26">
        <v>10040545</v>
      </c>
      <c r="F44" s="25" t="s">
        <v>88</v>
      </c>
      <c r="G44" s="48" t="s">
        <v>322</v>
      </c>
      <c r="H44" s="53">
        <v>45853</v>
      </c>
      <c r="I44" s="53">
        <v>45909</v>
      </c>
      <c r="J44" s="14">
        <v>251.82300000000001</v>
      </c>
      <c r="K44" s="49" t="s">
        <v>311</v>
      </c>
      <c r="L44" s="12">
        <v>0</v>
      </c>
      <c r="M44" s="13">
        <v>0</v>
      </c>
      <c r="N44" s="12">
        <v>0</v>
      </c>
      <c r="O44" s="13">
        <v>0</v>
      </c>
      <c r="P44" s="12">
        <v>0</v>
      </c>
      <c r="Q44" s="13">
        <v>0</v>
      </c>
      <c r="R44" s="12">
        <v>0</v>
      </c>
      <c r="S44" s="13">
        <v>0</v>
      </c>
      <c r="T44" s="12">
        <v>0</v>
      </c>
      <c r="U44" s="13">
        <v>0</v>
      </c>
      <c r="V44" s="12">
        <v>0</v>
      </c>
      <c r="W44" s="13">
        <v>0</v>
      </c>
      <c r="X44" s="12">
        <v>0</v>
      </c>
      <c r="Y44" s="13">
        <v>0</v>
      </c>
      <c r="Z44" s="12">
        <v>0</v>
      </c>
      <c r="AA44" s="13">
        <v>0</v>
      </c>
      <c r="AB44" s="12">
        <v>0</v>
      </c>
      <c r="AC44" s="13">
        <v>0</v>
      </c>
      <c r="AD44" s="12">
        <v>0</v>
      </c>
      <c r="AE44" s="13">
        <v>0</v>
      </c>
      <c r="AF44" s="12">
        <v>6.5670000000000002</v>
      </c>
      <c r="AG44" s="13">
        <v>0</v>
      </c>
      <c r="AH44" s="12">
        <v>11.122999999999999</v>
      </c>
      <c r="AI44" s="13">
        <v>6.5670000000000002</v>
      </c>
      <c r="AJ44" s="12">
        <v>10.49</v>
      </c>
      <c r="AK44" s="13">
        <v>11.122999999999999</v>
      </c>
      <c r="AL44" s="12">
        <v>9.6159999999999997</v>
      </c>
      <c r="AM44" s="13">
        <v>10.49</v>
      </c>
      <c r="AN44" s="12">
        <v>8.7710000000000008</v>
      </c>
      <c r="AO44" s="13">
        <v>9.6159999999999997</v>
      </c>
      <c r="AP44" s="12">
        <v>8.02</v>
      </c>
      <c r="AQ44" s="13">
        <v>8.7710000000000008</v>
      </c>
      <c r="AR44" s="12">
        <v>10.885</v>
      </c>
      <c r="AS44" s="13">
        <v>8.02</v>
      </c>
      <c r="AT44" s="12">
        <v>10.085000000000001</v>
      </c>
      <c r="AU44" s="156">
        <v>11.132464000000001</v>
      </c>
      <c r="AV44" s="12">
        <f>IFERROR(VLOOKUP(E44,[1]Sheet4!$A:$D,4,0),0)</f>
        <v>7.585</v>
      </c>
      <c r="AW44" s="13">
        <v>10.085000000000001</v>
      </c>
      <c r="AX44" s="12">
        <v>8.2590000000000003</v>
      </c>
      <c r="AY44" s="39">
        <v>7.585</v>
      </c>
      <c r="AZ44" s="12">
        <v>8.7899999999999991</v>
      </c>
      <c r="BA44" s="39">
        <v>8.2590000000000003</v>
      </c>
      <c r="BB44" s="12">
        <v>7.4180000000000001</v>
      </c>
      <c r="BC44" s="39">
        <v>8.7899999999999991</v>
      </c>
      <c r="BD44" s="12">
        <f t="shared" si="3"/>
        <v>107.60900000000001</v>
      </c>
      <c r="BE44" s="14">
        <f t="shared" si="4"/>
        <v>100.43846399999998</v>
      </c>
      <c r="BF44" s="24">
        <f t="shared" si="0"/>
        <v>0.93336490442249231</v>
      </c>
      <c r="BG44" s="23">
        <f t="shared" si="6"/>
        <v>0.39884547479777455</v>
      </c>
    </row>
    <row r="45" spans="1:59" ht="18" customHeight="1" x14ac:dyDescent="0.2">
      <c r="A45" s="27" t="str">
        <f t="shared" si="2"/>
        <v>법인</v>
      </c>
      <c r="B45" s="27" t="s">
        <v>1558</v>
      </c>
      <c r="C45" s="27" t="s">
        <v>1496</v>
      </c>
      <c r="D45" s="26">
        <v>1358210284</v>
      </c>
      <c r="E45" s="26">
        <v>10033733</v>
      </c>
      <c r="F45" s="25" t="s">
        <v>39</v>
      </c>
      <c r="G45" s="48" t="s">
        <v>319</v>
      </c>
      <c r="H45" s="53">
        <v>45777</v>
      </c>
      <c r="I45" s="53">
        <v>45777</v>
      </c>
      <c r="J45" s="14">
        <v>190</v>
      </c>
      <c r="K45" s="51">
        <v>0</v>
      </c>
      <c r="L45" s="12">
        <v>0</v>
      </c>
      <c r="M45" s="13">
        <v>0</v>
      </c>
      <c r="N45" s="12">
        <v>0</v>
      </c>
      <c r="O45" s="13">
        <v>0</v>
      </c>
      <c r="P45" s="12">
        <v>0</v>
      </c>
      <c r="Q45" s="13">
        <v>0</v>
      </c>
      <c r="R45" s="12">
        <v>0</v>
      </c>
      <c r="S45" s="13">
        <v>0</v>
      </c>
      <c r="T45" s="12">
        <v>0</v>
      </c>
      <c r="U45" s="13">
        <v>0</v>
      </c>
      <c r="V45" s="12">
        <v>190</v>
      </c>
      <c r="W45" s="13">
        <v>0</v>
      </c>
      <c r="X45" s="12">
        <v>0</v>
      </c>
      <c r="Y45" s="13">
        <v>0</v>
      </c>
      <c r="Z45" s="12">
        <v>0</v>
      </c>
      <c r="AA45" s="13">
        <v>0</v>
      </c>
      <c r="AB45" s="12">
        <v>0</v>
      </c>
      <c r="AC45" s="13">
        <v>0</v>
      </c>
      <c r="AD45" s="12">
        <v>0</v>
      </c>
      <c r="AE45" s="13">
        <v>0</v>
      </c>
      <c r="AF45" s="12">
        <v>0</v>
      </c>
      <c r="AG45" s="13">
        <v>20</v>
      </c>
      <c r="AH45" s="12">
        <v>0</v>
      </c>
      <c r="AI45" s="13">
        <v>50</v>
      </c>
      <c r="AJ45" s="12">
        <v>0</v>
      </c>
      <c r="AK45" s="13">
        <v>50</v>
      </c>
      <c r="AL45" s="12">
        <v>0</v>
      </c>
      <c r="AM45" s="13">
        <v>50</v>
      </c>
      <c r="AN45" s="12">
        <v>0</v>
      </c>
      <c r="AO45" s="13">
        <v>20</v>
      </c>
      <c r="AP45" s="12">
        <v>0</v>
      </c>
      <c r="AQ45" s="13">
        <v>0</v>
      </c>
      <c r="AR45" s="12" t="s">
        <v>1496</v>
      </c>
      <c r="AS45" s="13">
        <v>0</v>
      </c>
      <c r="AT45" s="12">
        <v>0</v>
      </c>
      <c r="AU45" s="13">
        <v>0</v>
      </c>
      <c r="AV45" s="12">
        <f>IFERROR(VLOOKUP(E45,[1]Sheet4!$A:$D,4,0),0)</f>
        <v>0</v>
      </c>
      <c r="AW45" s="13">
        <v>0</v>
      </c>
      <c r="AX45" s="12">
        <v>0</v>
      </c>
      <c r="AY45" s="39">
        <v>0</v>
      </c>
      <c r="AZ45" s="12">
        <v>0</v>
      </c>
      <c r="BA45" s="39">
        <v>0</v>
      </c>
      <c r="BB45" s="12">
        <v>0</v>
      </c>
      <c r="BC45" s="39">
        <v>0</v>
      </c>
      <c r="BD45" s="12">
        <f t="shared" si="3"/>
        <v>190</v>
      </c>
      <c r="BE45" s="14">
        <f t="shared" si="4"/>
        <v>190</v>
      </c>
      <c r="BF45" s="24">
        <f t="shared" si="0"/>
        <v>1</v>
      </c>
      <c r="BG45" s="23">
        <f t="shared" si="6"/>
        <v>1</v>
      </c>
    </row>
    <row r="46" spans="1:59" ht="18" customHeight="1" x14ac:dyDescent="0.2">
      <c r="A46" s="27" t="str">
        <f t="shared" si="2"/>
        <v>법인</v>
      </c>
      <c r="B46" s="27" t="s">
        <v>1556</v>
      </c>
      <c r="C46" s="27" t="s">
        <v>1496</v>
      </c>
      <c r="D46" s="26">
        <v>5028215984</v>
      </c>
      <c r="E46" s="26">
        <v>10039216</v>
      </c>
      <c r="F46" s="78" t="s">
        <v>345</v>
      </c>
      <c r="G46" s="48" t="s">
        <v>321</v>
      </c>
      <c r="H46" s="53">
        <v>45817</v>
      </c>
      <c r="I46" s="50">
        <v>45831</v>
      </c>
      <c r="J46" s="14">
        <v>164.16299999999998</v>
      </c>
      <c r="K46" s="49" t="s">
        <v>316</v>
      </c>
      <c r="L46" s="12">
        <v>0</v>
      </c>
      <c r="M46" s="13">
        <v>0</v>
      </c>
      <c r="N46" s="12">
        <v>0</v>
      </c>
      <c r="O46" s="13">
        <v>0</v>
      </c>
      <c r="P46" s="12">
        <v>0</v>
      </c>
      <c r="Q46" s="13">
        <v>0</v>
      </c>
      <c r="R46" s="12">
        <v>0</v>
      </c>
      <c r="S46" s="13">
        <v>0</v>
      </c>
      <c r="T46" s="12">
        <v>0</v>
      </c>
      <c r="U46" s="13">
        <v>0</v>
      </c>
      <c r="V46" s="12">
        <v>0</v>
      </c>
      <c r="W46" s="13">
        <v>0</v>
      </c>
      <c r="X46" s="12">
        <v>164.16300000000001</v>
      </c>
      <c r="Y46" s="13">
        <v>0</v>
      </c>
      <c r="Z46" s="12">
        <v>0</v>
      </c>
      <c r="AA46" s="13">
        <v>0</v>
      </c>
      <c r="AB46" s="12">
        <v>0</v>
      </c>
      <c r="AC46" s="13">
        <v>0</v>
      </c>
      <c r="AD46" s="12">
        <v>0</v>
      </c>
      <c r="AE46" s="13">
        <v>27.360499999999998</v>
      </c>
      <c r="AF46" s="12">
        <v>0</v>
      </c>
      <c r="AG46" s="13">
        <v>27.360499999999998</v>
      </c>
      <c r="AH46" s="12">
        <v>0</v>
      </c>
      <c r="AI46" s="13">
        <v>27.360499999999998</v>
      </c>
      <c r="AJ46" s="12">
        <v>0</v>
      </c>
      <c r="AK46" s="13">
        <v>27.360499999999998</v>
      </c>
      <c r="AL46" s="12">
        <v>0</v>
      </c>
      <c r="AM46" s="13">
        <v>54.720999999999997</v>
      </c>
      <c r="AN46" s="12">
        <v>0</v>
      </c>
      <c r="AO46" s="13">
        <v>0</v>
      </c>
      <c r="AP46" s="12">
        <v>0</v>
      </c>
      <c r="AQ46" s="13">
        <v>0</v>
      </c>
      <c r="AR46" s="12" t="s">
        <v>1496</v>
      </c>
      <c r="AS46" s="13">
        <v>0</v>
      </c>
      <c r="AT46" s="12">
        <v>0</v>
      </c>
      <c r="AU46" s="13">
        <v>0</v>
      </c>
      <c r="AV46" s="12">
        <f>IFERROR(VLOOKUP(E46,[1]Sheet4!$A:$D,4,0),0)</f>
        <v>0</v>
      </c>
      <c r="AW46" s="13">
        <v>0</v>
      </c>
      <c r="AX46" s="12">
        <v>0</v>
      </c>
      <c r="AY46" s="39">
        <v>0</v>
      </c>
      <c r="AZ46" s="12">
        <v>0</v>
      </c>
      <c r="BA46" s="39">
        <v>0</v>
      </c>
      <c r="BB46" s="12">
        <v>0</v>
      </c>
      <c r="BC46" s="39">
        <v>0</v>
      </c>
      <c r="BD46" s="12">
        <f t="shared" si="3"/>
        <v>164.16300000000001</v>
      </c>
      <c r="BE46" s="14">
        <f t="shared" si="4"/>
        <v>164.16299999999998</v>
      </c>
      <c r="BF46" s="24">
        <f t="shared" si="0"/>
        <v>0.99999999999999978</v>
      </c>
      <c r="BG46" s="23">
        <f t="shared" si="6"/>
        <v>1</v>
      </c>
    </row>
    <row r="47" spans="1:59" ht="18" customHeight="1" x14ac:dyDescent="0.2">
      <c r="A47" s="27" t="str">
        <f t="shared" si="2"/>
        <v>개인</v>
      </c>
      <c r="B47" s="27" t="s">
        <v>1559</v>
      </c>
      <c r="C47" s="27" t="s">
        <v>1554</v>
      </c>
      <c r="D47" s="26">
        <v>4081777598</v>
      </c>
      <c r="E47" s="26">
        <v>10037883</v>
      </c>
      <c r="F47" s="25" t="s">
        <v>94</v>
      </c>
      <c r="G47" s="48" t="s">
        <v>322</v>
      </c>
      <c r="H47" s="53">
        <v>45805</v>
      </c>
      <c r="I47" s="53">
        <v>45895</v>
      </c>
      <c r="J47" s="14">
        <v>936.98</v>
      </c>
      <c r="K47" s="49" t="s">
        <v>311</v>
      </c>
      <c r="L47" s="12">
        <v>0</v>
      </c>
      <c r="M47" s="13">
        <v>0</v>
      </c>
      <c r="N47" s="12">
        <v>0</v>
      </c>
      <c r="O47" s="13">
        <v>0</v>
      </c>
      <c r="P47" s="12">
        <v>0</v>
      </c>
      <c r="Q47" s="13">
        <v>0</v>
      </c>
      <c r="R47" s="12">
        <v>0</v>
      </c>
      <c r="S47" s="13">
        <v>0</v>
      </c>
      <c r="T47" s="12">
        <v>0</v>
      </c>
      <c r="U47" s="13">
        <v>0</v>
      </c>
      <c r="V47" s="12">
        <v>0</v>
      </c>
      <c r="W47" s="13">
        <v>0</v>
      </c>
      <c r="X47" s="12">
        <v>0</v>
      </c>
      <c r="Y47" s="13">
        <v>0</v>
      </c>
      <c r="Z47" s="12">
        <v>0</v>
      </c>
      <c r="AA47" s="13">
        <v>0</v>
      </c>
      <c r="AB47" s="12">
        <v>0</v>
      </c>
      <c r="AC47" s="13">
        <v>0</v>
      </c>
      <c r="AD47" s="12">
        <v>0</v>
      </c>
      <c r="AE47" s="13">
        <v>0</v>
      </c>
      <c r="AF47" s="12">
        <v>25.39</v>
      </c>
      <c r="AG47" s="13">
        <v>0</v>
      </c>
      <c r="AH47" s="12">
        <v>32.179000000000002</v>
      </c>
      <c r="AI47" s="13">
        <v>25.39</v>
      </c>
      <c r="AJ47" s="12">
        <v>28.492999999999999</v>
      </c>
      <c r="AK47" s="13">
        <v>32.179000000000002</v>
      </c>
      <c r="AL47" s="12">
        <v>39.225999999999999</v>
      </c>
      <c r="AM47" s="145">
        <v>28.492999999999999</v>
      </c>
      <c r="AN47" s="12">
        <v>36.939</v>
      </c>
      <c r="AO47" s="13">
        <v>39.225999999999999</v>
      </c>
      <c r="AP47" s="12">
        <v>29.843</v>
      </c>
      <c r="AQ47" s="13">
        <v>36.939</v>
      </c>
      <c r="AR47" s="12">
        <v>36.472999999999999</v>
      </c>
      <c r="AS47" s="13">
        <v>29.843</v>
      </c>
      <c r="AT47" s="12">
        <v>24.317</v>
      </c>
      <c r="AU47" s="13">
        <v>36.472999999999999</v>
      </c>
      <c r="AV47" s="12">
        <f>IFERROR(VLOOKUP(E47,[1]Sheet4!$A:$D,4,0),0)</f>
        <v>24.736999999999998</v>
      </c>
      <c r="AW47" s="13">
        <v>24.317</v>
      </c>
      <c r="AX47" s="12">
        <v>20.446999999999999</v>
      </c>
      <c r="AY47" s="39">
        <v>24.736999999999998</v>
      </c>
      <c r="AZ47" s="12">
        <v>20.981999999999999</v>
      </c>
      <c r="BA47" s="39">
        <v>20.981999999999999</v>
      </c>
      <c r="BB47" s="12">
        <v>20.925000000000001</v>
      </c>
      <c r="BC47" s="39">
        <v>20.446999999999999</v>
      </c>
      <c r="BD47" s="12">
        <f t="shared" si="3"/>
        <v>339.95099999999996</v>
      </c>
      <c r="BE47" s="14">
        <f t="shared" si="4"/>
        <v>319.02600000000007</v>
      </c>
      <c r="BF47" s="24">
        <f t="shared" si="0"/>
        <v>0.93844701148106668</v>
      </c>
      <c r="BG47" s="23">
        <f t="shared" si="6"/>
        <v>0.34048325471194696</v>
      </c>
    </row>
    <row r="48" spans="1:59" ht="18" customHeight="1" x14ac:dyDescent="0.2">
      <c r="A48" s="27" t="str">
        <f t="shared" si="2"/>
        <v>개인</v>
      </c>
      <c r="B48" s="27" t="s">
        <v>1565</v>
      </c>
      <c r="C48" s="27" t="s">
        <v>1554</v>
      </c>
      <c r="D48" s="26">
        <v>3119038784</v>
      </c>
      <c r="E48" s="26">
        <v>10036633</v>
      </c>
      <c r="F48" s="25" t="s">
        <v>58</v>
      </c>
      <c r="G48" s="48" t="s">
        <v>322</v>
      </c>
      <c r="H48" s="53">
        <v>45803</v>
      </c>
      <c r="I48" s="53">
        <v>45852</v>
      </c>
      <c r="J48" s="14">
        <v>611.98599999999999</v>
      </c>
      <c r="K48" s="49" t="s">
        <v>311</v>
      </c>
      <c r="L48" s="12">
        <v>0</v>
      </c>
      <c r="M48" s="13">
        <v>0</v>
      </c>
      <c r="N48" s="12">
        <v>0</v>
      </c>
      <c r="O48" s="13">
        <v>0</v>
      </c>
      <c r="P48" s="12">
        <v>0</v>
      </c>
      <c r="Q48" s="13">
        <v>0</v>
      </c>
      <c r="R48" s="12">
        <v>0</v>
      </c>
      <c r="S48" s="13">
        <v>0</v>
      </c>
      <c r="T48" s="12">
        <v>0</v>
      </c>
      <c r="U48" s="13">
        <v>0</v>
      </c>
      <c r="V48" s="12">
        <v>0</v>
      </c>
      <c r="W48" s="13">
        <v>0</v>
      </c>
      <c r="X48" s="12">
        <v>0</v>
      </c>
      <c r="Y48" s="13">
        <v>0</v>
      </c>
      <c r="Z48" s="12">
        <v>0</v>
      </c>
      <c r="AA48" s="13">
        <v>0</v>
      </c>
      <c r="AB48" s="12">
        <v>4.5049999999999999</v>
      </c>
      <c r="AC48" s="13">
        <v>0</v>
      </c>
      <c r="AD48" s="12">
        <v>20.613</v>
      </c>
      <c r="AE48" s="13">
        <v>4.5049999999999999</v>
      </c>
      <c r="AF48" s="12">
        <v>16.273</v>
      </c>
      <c r="AG48" s="13">
        <v>10.613</v>
      </c>
      <c r="AH48" s="12">
        <v>20.004000000000001</v>
      </c>
      <c r="AI48" s="13">
        <v>10</v>
      </c>
      <c r="AJ48" s="12">
        <v>23.364000000000001</v>
      </c>
      <c r="AK48" s="13">
        <v>36.277000000000001</v>
      </c>
      <c r="AL48" s="12">
        <v>21.445</v>
      </c>
      <c r="AM48" s="13">
        <v>10</v>
      </c>
      <c r="AN48" s="12">
        <v>13.561999999999999</v>
      </c>
      <c r="AO48" s="13">
        <v>18.364000000000001</v>
      </c>
      <c r="AP48" s="12">
        <v>12.346</v>
      </c>
      <c r="AQ48" s="13">
        <v>21.896999999999998</v>
      </c>
      <c r="AR48" s="12">
        <v>8.7539999999999996</v>
      </c>
      <c r="AS48" s="13">
        <v>15.276</v>
      </c>
      <c r="AT48" s="12">
        <v>7.6349999999999998</v>
      </c>
      <c r="AU48" s="13">
        <v>9</v>
      </c>
      <c r="AV48" s="12">
        <f>IFERROR(VLOOKUP(E48,[1]Sheet4!$A:$D,4,0),0)</f>
        <v>9.5739999999999998</v>
      </c>
      <c r="AW48" s="13">
        <v>8.9339999999999993</v>
      </c>
      <c r="AX48" s="12">
        <v>8.5719999999999992</v>
      </c>
      <c r="AY48" s="39">
        <v>8.2089999999999996</v>
      </c>
      <c r="AZ48" s="12">
        <v>11.705</v>
      </c>
      <c r="BA48" s="39">
        <v>13.571999999999999</v>
      </c>
      <c r="BB48" s="12">
        <v>11.271000000000001</v>
      </c>
      <c r="BC48" s="39">
        <v>3</v>
      </c>
      <c r="BD48" s="12">
        <f t="shared" si="3"/>
        <v>189.62299999999999</v>
      </c>
      <c r="BE48" s="14">
        <f t="shared" si="4"/>
        <v>169.64700000000002</v>
      </c>
      <c r="BF48" s="24">
        <f t="shared" si="0"/>
        <v>0.8946541295096061</v>
      </c>
      <c r="BG48" s="23">
        <f t="shared" si="6"/>
        <v>0.27720732173611817</v>
      </c>
    </row>
    <row r="49" spans="1:59" ht="18" customHeight="1" x14ac:dyDescent="0.2">
      <c r="A49" s="27" t="str">
        <f t="shared" si="2"/>
        <v>개인</v>
      </c>
      <c r="B49" s="27" t="s">
        <v>1566</v>
      </c>
      <c r="C49" s="27" t="s">
        <v>1554</v>
      </c>
      <c r="D49" s="26">
        <v>6719701418</v>
      </c>
      <c r="E49" s="26">
        <v>10070268</v>
      </c>
      <c r="F49" s="25" t="s">
        <v>81</v>
      </c>
      <c r="G49" s="48" t="s">
        <v>322</v>
      </c>
      <c r="H49" s="53">
        <v>45853</v>
      </c>
      <c r="I49" s="53">
        <v>45867</v>
      </c>
      <c r="J49" s="14">
        <v>632.32600000000002</v>
      </c>
      <c r="K49" s="49" t="s">
        <v>311</v>
      </c>
      <c r="L49" s="12">
        <v>0</v>
      </c>
      <c r="M49" s="13">
        <v>0</v>
      </c>
      <c r="N49" s="12">
        <v>0</v>
      </c>
      <c r="O49" s="13">
        <v>0</v>
      </c>
      <c r="P49" s="12">
        <v>0</v>
      </c>
      <c r="Q49" s="13">
        <v>0</v>
      </c>
      <c r="R49" s="12">
        <v>0</v>
      </c>
      <c r="S49" s="13">
        <v>0</v>
      </c>
      <c r="T49" s="12">
        <v>0</v>
      </c>
      <c r="U49" s="13">
        <v>0</v>
      </c>
      <c r="V49" s="12">
        <v>0</v>
      </c>
      <c r="W49" s="13">
        <v>0</v>
      </c>
      <c r="X49" s="12">
        <v>0</v>
      </c>
      <c r="Y49" s="13">
        <v>0</v>
      </c>
      <c r="Z49" s="12">
        <v>0</v>
      </c>
      <c r="AA49" s="13">
        <v>0</v>
      </c>
      <c r="AB49" s="12">
        <v>0</v>
      </c>
      <c r="AC49" s="13">
        <v>0</v>
      </c>
      <c r="AD49" s="12">
        <v>8.8930000000000007</v>
      </c>
      <c r="AE49" s="13">
        <v>0</v>
      </c>
      <c r="AF49" s="12">
        <v>10.776</v>
      </c>
      <c r="AG49" s="13">
        <v>8.8930000000000007</v>
      </c>
      <c r="AH49" s="12">
        <v>12.637</v>
      </c>
      <c r="AI49" s="13">
        <v>10.776</v>
      </c>
      <c r="AJ49" s="12">
        <v>11.348000000000001</v>
      </c>
      <c r="AK49" s="13">
        <v>12.637</v>
      </c>
      <c r="AL49" s="12">
        <v>12.92</v>
      </c>
      <c r="AM49" s="13">
        <v>11.348000000000001</v>
      </c>
      <c r="AN49" s="12">
        <v>11.738</v>
      </c>
      <c r="AO49" s="144">
        <v>12.92</v>
      </c>
      <c r="AP49" s="12">
        <v>11.268000000000001</v>
      </c>
      <c r="AQ49" s="13">
        <v>11.738</v>
      </c>
      <c r="AR49" s="12">
        <v>12.484</v>
      </c>
      <c r="AS49" s="144">
        <v>11.268000000000001</v>
      </c>
      <c r="AT49" s="12">
        <v>12.318</v>
      </c>
      <c r="AU49" s="13">
        <v>12.484</v>
      </c>
      <c r="AV49" s="12">
        <f>IFERROR(VLOOKUP(E49,[1]Sheet4!$A:$D,4,0),0)</f>
        <v>13.782999999999999</v>
      </c>
      <c r="AW49" s="13">
        <v>12.318</v>
      </c>
      <c r="AX49" s="12">
        <v>16.248000000000001</v>
      </c>
      <c r="AY49" s="39">
        <v>13.782999999999999</v>
      </c>
      <c r="AZ49" s="12">
        <v>19.059000000000001</v>
      </c>
      <c r="BA49" s="39">
        <v>16.248000000000001</v>
      </c>
      <c r="BB49" s="12">
        <v>15.423999999999999</v>
      </c>
      <c r="BC49" s="39">
        <v>19.059000000000001</v>
      </c>
      <c r="BD49" s="12">
        <f t="shared" si="3"/>
        <v>168.89599999999999</v>
      </c>
      <c r="BE49" s="14">
        <f t="shared" si="4"/>
        <v>153.47199999999998</v>
      </c>
      <c r="BF49" s="24">
        <f t="shared" si="0"/>
        <v>0.90867752936718449</v>
      </c>
      <c r="BG49" s="23">
        <f t="shared" si="6"/>
        <v>0.24271024756217516</v>
      </c>
    </row>
    <row r="50" spans="1:59" ht="18" customHeight="1" x14ac:dyDescent="0.2">
      <c r="A50" s="27" t="str">
        <f t="shared" si="2"/>
        <v>개인</v>
      </c>
      <c r="B50" s="27" t="s">
        <v>1556</v>
      </c>
      <c r="C50" s="27" t="s">
        <v>1554</v>
      </c>
      <c r="D50" s="26">
        <v>1279607029</v>
      </c>
      <c r="E50" s="26">
        <v>10032935</v>
      </c>
      <c r="F50" s="25" t="s">
        <v>77</v>
      </c>
      <c r="G50" s="48" t="s">
        <v>322</v>
      </c>
      <c r="H50" s="53">
        <v>45824</v>
      </c>
      <c r="I50" s="53">
        <v>45852</v>
      </c>
      <c r="J50" s="14">
        <v>1141.1510000000001</v>
      </c>
      <c r="K50" s="49" t="s">
        <v>311</v>
      </c>
      <c r="L50" s="12">
        <v>0</v>
      </c>
      <c r="M50" s="13">
        <v>0</v>
      </c>
      <c r="N50" s="12">
        <v>0</v>
      </c>
      <c r="O50" s="13">
        <v>0</v>
      </c>
      <c r="P50" s="12">
        <v>0</v>
      </c>
      <c r="Q50" s="13">
        <v>0</v>
      </c>
      <c r="R50" s="12">
        <v>0</v>
      </c>
      <c r="S50" s="13">
        <v>0</v>
      </c>
      <c r="T50" s="12">
        <v>0</v>
      </c>
      <c r="U50" s="13">
        <v>0</v>
      </c>
      <c r="V50" s="12">
        <v>0</v>
      </c>
      <c r="W50" s="13">
        <v>0</v>
      </c>
      <c r="X50" s="12">
        <v>0</v>
      </c>
      <c r="Y50" s="13">
        <v>0</v>
      </c>
      <c r="Z50" s="12">
        <v>0</v>
      </c>
      <c r="AA50" s="13">
        <v>0</v>
      </c>
      <c r="AB50" s="12">
        <v>0</v>
      </c>
      <c r="AC50" s="13">
        <v>0</v>
      </c>
      <c r="AD50" s="12">
        <v>52.158000000000001</v>
      </c>
      <c r="AE50" s="13">
        <v>0</v>
      </c>
      <c r="AF50" s="12">
        <v>45.991</v>
      </c>
      <c r="AG50" s="13">
        <v>52.158000000000001</v>
      </c>
      <c r="AH50" s="12">
        <v>39.868000000000002</v>
      </c>
      <c r="AI50" s="13">
        <v>52.158000000000001</v>
      </c>
      <c r="AJ50" s="12">
        <v>40.103999999999999</v>
      </c>
      <c r="AK50" s="13">
        <v>0</v>
      </c>
      <c r="AL50" s="12">
        <v>47.039000000000001</v>
      </c>
      <c r="AM50" s="13">
        <v>33.701000000000001</v>
      </c>
      <c r="AN50" s="12">
        <v>38.783999999999999</v>
      </c>
      <c r="AO50" s="13">
        <v>40.103999999999999</v>
      </c>
      <c r="AP50" s="12">
        <v>37.246000000000002</v>
      </c>
      <c r="AQ50" s="13">
        <v>47.039000000000001</v>
      </c>
      <c r="AR50" s="12">
        <v>38.305</v>
      </c>
      <c r="AS50" s="13">
        <v>38.783999999999999</v>
      </c>
      <c r="AT50" s="12">
        <v>23.68</v>
      </c>
      <c r="AU50" s="13">
        <v>37.246000000000002</v>
      </c>
      <c r="AV50" s="12">
        <f>IFERROR(VLOOKUP(E50,[1]Sheet4!$A:$D,4,0),0)</f>
        <v>21.712</v>
      </c>
      <c r="AW50" s="13">
        <v>38.305</v>
      </c>
      <c r="AX50" s="12">
        <v>19.968</v>
      </c>
      <c r="AY50" s="39">
        <v>23.68</v>
      </c>
      <c r="AZ50" s="12">
        <v>34.368000000000002</v>
      </c>
      <c r="BA50" s="39">
        <v>21.712</v>
      </c>
      <c r="BB50" s="12">
        <v>34.08</v>
      </c>
      <c r="BC50" s="39">
        <v>19.968</v>
      </c>
      <c r="BD50" s="12">
        <f t="shared" si="3"/>
        <v>473.303</v>
      </c>
      <c r="BE50" s="14">
        <f t="shared" si="4"/>
        <v>404.85499999999996</v>
      </c>
      <c r="BF50" s="24">
        <f t="shared" si="0"/>
        <v>0.85538228154057749</v>
      </c>
      <c r="BG50" s="23">
        <f t="shared" si="6"/>
        <v>0.35477776385421378</v>
      </c>
    </row>
    <row r="51" spans="1:59" ht="18" customHeight="1" x14ac:dyDescent="0.2">
      <c r="A51" s="27" t="str">
        <f t="shared" si="2"/>
        <v>개인</v>
      </c>
      <c r="B51" s="27" t="s">
        <v>1570</v>
      </c>
      <c r="C51" s="27" t="s">
        <v>1554</v>
      </c>
      <c r="D51" s="26">
        <v>6173188429</v>
      </c>
      <c r="E51" s="26">
        <v>10003837</v>
      </c>
      <c r="F51" s="25" t="s">
        <v>30</v>
      </c>
      <c r="G51" s="48" t="s">
        <v>319</v>
      </c>
      <c r="H51" s="53">
        <v>45777</v>
      </c>
      <c r="I51" s="53">
        <v>45777</v>
      </c>
      <c r="J51" s="14">
        <v>125</v>
      </c>
      <c r="K51" s="49" t="s">
        <v>311</v>
      </c>
      <c r="L51" s="12">
        <v>0</v>
      </c>
      <c r="M51" s="13">
        <v>0</v>
      </c>
      <c r="N51" s="12">
        <v>0</v>
      </c>
      <c r="O51" s="13">
        <v>0</v>
      </c>
      <c r="P51" s="12">
        <v>0</v>
      </c>
      <c r="Q51" s="13">
        <v>0</v>
      </c>
      <c r="R51" s="12">
        <v>0</v>
      </c>
      <c r="S51" s="13">
        <v>0</v>
      </c>
      <c r="T51" s="12">
        <v>125</v>
      </c>
      <c r="U51" s="13">
        <v>0</v>
      </c>
      <c r="V51" s="12">
        <v>0</v>
      </c>
      <c r="W51" s="13">
        <v>0</v>
      </c>
      <c r="X51" s="12">
        <v>0</v>
      </c>
      <c r="Y51" s="13">
        <v>0</v>
      </c>
      <c r="Z51" s="12">
        <v>0</v>
      </c>
      <c r="AA51" s="13">
        <v>0</v>
      </c>
      <c r="AB51" s="12">
        <v>0</v>
      </c>
      <c r="AC51" s="13">
        <v>0</v>
      </c>
      <c r="AD51" s="12">
        <v>0</v>
      </c>
      <c r="AE51" s="13">
        <v>125</v>
      </c>
      <c r="AF51" s="12">
        <v>0</v>
      </c>
      <c r="AG51" s="13">
        <v>0</v>
      </c>
      <c r="AH51" s="12">
        <v>0</v>
      </c>
      <c r="AI51" s="13">
        <v>0</v>
      </c>
      <c r="AJ51" s="12">
        <v>0</v>
      </c>
      <c r="AK51" s="13">
        <v>0</v>
      </c>
      <c r="AL51" s="12">
        <v>0</v>
      </c>
      <c r="AM51" s="13">
        <v>0</v>
      </c>
      <c r="AN51" s="12">
        <v>0</v>
      </c>
      <c r="AO51" s="13">
        <v>0</v>
      </c>
      <c r="AP51" s="12">
        <v>0</v>
      </c>
      <c r="AQ51" s="13">
        <v>0</v>
      </c>
      <c r="AR51" s="12">
        <v>0</v>
      </c>
      <c r="AS51" s="13">
        <v>0</v>
      </c>
      <c r="AT51" s="12">
        <v>0</v>
      </c>
      <c r="AU51" s="13">
        <v>0</v>
      </c>
      <c r="AV51" s="12">
        <f>IFERROR(VLOOKUP(E51,[1]Sheet4!$A:$D,4,0),0)</f>
        <v>0</v>
      </c>
      <c r="AW51" s="13">
        <v>0</v>
      </c>
      <c r="AX51" s="12">
        <v>0</v>
      </c>
      <c r="AY51" s="39">
        <v>0</v>
      </c>
      <c r="AZ51" s="12">
        <v>0</v>
      </c>
      <c r="BA51" s="39">
        <v>0</v>
      </c>
      <c r="BB51" s="12">
        <v>0</v>
      </c>
      <c r="BC51" s="39">
        <v>0</v>
      </c>
      <c r="BD51" s="12">
        <f t="shared" si="3"/>
        <v>125</v>
      </c>
      <c r="BE51" s="14">
        <f t="shared" si="4"/>
        <v>125</v>
      </c>
      <c r="BF51" s="24">
        <f t="shared" si="0"/>
        <v>1</v>
      </c>
      <c r="BG51" s="23">
        <f t="shared" si="6"/>
        <v>1</v>
      </c>
    </row>
    <row r="52" spans="1:59" ht="18" customHeight="1" x14ac:dyDescent="0.2">
      <c r="A52" s="27" t="str">
        <f t="shared" si="2"/>
        <v>개인</v>
      </c>
      <c r="B52" s="27" t="s">
        <v>1570</v>
      </c>
      <c r="C52" s="27" t="s">
        <v>1554</v>
      </c>
      <c r="D52" s="26">
        <v>6173188429</v>
      </c>
      <c r="E52" s="26">
        <v>10003837</v>
      </c>
      <c r="F52" s="25" t="s">
        <v>30</v>
      </c>
      <c r="G52" s="48" t="s">
        <v>446</v>
      </c>
      <c r="H52" s="53">
        <v>45943</v>
      </c>
      <c r="I52" s="53">
        <v>45777</v>
      </c>
      <c r="J52" s="14">
        <v>505.20400000000001</v>
      </c>
      <c r="K52" s="49" t="s">
        <v>311</v>
      </c>
      <c r="L52" s="12">
        <v>0</v>
      </c>
      <c r="M52" s="13">
        <v>0</v>
      </c>
      <c r="N52" s="12">
        <v>0</v>
      </c>
      <c r="O52" s="13">
        <v>0</v>
      </c>
      <c r="P52" s="12">
        <v>0</v>
      </c>
      <c r="Q52" s="13">
        <v>0</v>
      </c>
      <c r="R52" s="12">
        <v>0</v>
      </c>
      <c r="S52" s="13">
        <v>0</v>
      </c>
      <c r="T52" s="12">
        <v>0</v>
      </c>
      <c r="U52" s="13">
        <v>0</v>
      </c>
      <c r="V52" s="12">
        <v>0</v>
      </c>
      <c r="W52" s="13">
        <v>0</v>
      </c>
      <c r="X52" s="12">
        <v>0</v>
      </c>
      <c r="Y52" s="13">
        <v>0</v>
      </c>
      <c r="Z52" s="12">
        <v>1.204</v>
      </c>
      <c r="AA52" s="13">
        <v>0</v>
      </c>
      <c r="AB52" s="12">
        <v>12.747999999999999</v>
      </c>
      <c r="AC52" s="13">
        <v>1.204</v>
      </c>
      <c r="AD52" s="12">
        <v>15.113</v>
      </c>
      <c r="AE52" s="13">
        <v>12.747999999999999</v>
      </c>
      <c r="AF52" s="12">
        <v>14.691000000000001</v>
      </c>
      <c r="AG52" s="13">
        <v>15.113</v>
      </c>
      <c r="AH52" s="12">
        <v>16.286999999999999</v>
      </c>
      <c r="AI52" s="13">
        <v>14.691000000000001</v>
      </c>
      <c r="AJ52" s="12">
        <v>22.155000000000001</v>
      </c>
      <c r="AK52" s="13">
        <v>0</v>
      </c>
      <c r="AL52" s="12">
        <v>23.404</v>
      </c>
      <c r="AM52" s="13">
        <v>38.442</v>
      </c>
      <c r="AN52" s="12">
        <v>33.198</v>
      </c>
      <c r="AO52" s="13">
        <v>23.404</v>
      </c>
      <c r="AP52" s="12">
        <v>24.206</v>
      </c>
      <c r="AQ52" s="13">
        <v>33.198</v>
      </c>
      <c r="AR52" s="12">
        <v>2.9249999999999998</v>
      </c>
      <c r="AS52" s="13">
        <v>0</v>
      </c>
      <c r="AT52" s="12">
        <v>0</v>
      </c>
      <c r="AU52" s="13">
        <v>0</v>
      </c>
      <c r="AV52" s="12">
        <f>IFERROR(VLOOKUP(E52,[1]Sheet4!$A:$D,4,0),0)</f>
        <v>0</v>
      </c>
      <c r="AW52" s="13">
        <v>0</v>
      </c>
      <c r="AX52" s="12">
        <v>7</v>
      </c>
      <c r="AY52" s="39">
        <v>0</v>
      </c>
      <c r="AZ52" s="12">
        <v>7</v>
      </c>
      <c r="BA52" s="39">
        <v>0</v>
      </c>
      <c r="BB52" s="12">
        <v>1.236</v>
      </c>
      <c r="BC52" s="39">
        <v>0</v>
      </c>
      <c r="BD52" s="12">
        <f t="shared" si="3"/>
        <v>181.167</v>
      </c>
      <c r="BE52" s="14">
        <f t="shared" si="4"/>
        <v>138.80000000000001</v>
      </c>
      <c r="BF52" s="24">
        <f t="shared" ref="BF52" si="7">BE52/BD52</f>
        <v>0.76614394453736057</v>
      </c>
      <c r="BG52" s="23">
        <f t="shared" si="6"/>
        <v>0.27474050086697654</v>
      </c>
    </row>
    <row r="53" spans="1:59" ht="18" customHeight="1" x14ac:dyDescent="0.2">
      <c r="A53" s="27" t="str">
        <f t="shared" si="2"/>
        <v>법인</v>
      </c>
      <c r="B53" s="27" t="s">
        <v>1559</v>
      </c>
      <c r="C53" s="27" t="s">
        <v>1496</v>
      </c>
      <c r="D53" s="26">
        <v>1418202789</v>
      </c>
      <c r="E53" s="26">
        <v>10021890</v>
      </c>
      <c r="F53" s="25" t="s">
        <v>6</v>
      </c>
      <c r="G53" s="48" t="s">
        <v>319</v>
      </c>
      <c r="H53" s="53">
        <v>45636</v>
      </c>
      <c r="I53" s="50">
        <v>45688</v>
      </c>
      <c r="J53" s="14">
        <v>112.4361</v>
      </c>
      <c r="K53" s="49" t="s">
        <v>311</v>
      </c>
      <c r="L53" s="12">
        <v>112.4361</v>
      </c>
      <c r="M53" s="13">
        <v>0</v>
      </c>
      <c r="N53" s="12">
        <v>0</v>
      </c>
      <c r="O53" s="13">
        <v>0</v>
      </c>
      <c r="P53" s="12">
        <v>0</v>
      </c>
      <c r="Q53" s="13">
        <v>0</v>
      </c>
      <c r="R53" s="12">
        <v>0</v>
      </c>
      <c r="S53" s="13">
        <v>0</v>
      </c>
      <c r="T53" s="12">
        <v>0</v>
      </c>
      <c r="U53" s="13">
        <v>112.4361</v>
      </c>
      <c r="V53" s="12">
        <v>0</v>
      </c>
      <c r="W53" s="13">
        <v>0</v>
      </c>
      <c r="X53" s="12">
        <v>0</v>
      </c>
      <c r="Y53" s="13">
        <v>0</v>
      </c>
      <c r="Z53" s="12">
        <v>0</v>
      </c>
      <c r="AA53" s="13">
        <v>0</v>
      </c>
      <c r="AB53" s="12">
        <v>0</v>
      </c>
      <c r="AC53" s="13">
        <v>0</v>
      </c>
      <c r="AD53" s="12">
        <v>0</v>
      </c>
      <c r="AE53" s="13">
        <v>0</v>
      </c>
      <c r="AF53" s="12">
        <v>0</v>
      </c>
      <c r="AG53" s="13">
        <v>0</v>
      </c>
      <c r="AH53" s="12">
        <v>0</v>
      </c>
      <c r="AI53" s="13">
        <v>0</v>
      </c>
      <c r="AJ53" s="12">
        <v>0</v>
      </c>
      <c r="AK53" s="13">
        <v>0</v>
      </c>
      <c r="AL53" s="12">
        <v>0</v>
      </c>
      <c r="AM53" s="13">
        <v>0</v>
      </c>
      <c r="AN53" s="12">
        <v>0</v>
      </c>
      <c r="AO53" s="13">
        <v>0</v>
      </c>
      <c r="AP53" s="12">
        <v>0</v>
      </c>
      <c r="AQ53" s="13">
        <v>0</v>
      </c>
      <c r="AR53" s="12">
        <v>0</v>
      </c>
      <c r="AS53" s="13">
        <v>0</v>
      </c>
      <c r="AT53" s="12">
        <v>0</v>
      </c>
      <c r="AU53" s="13">
        <v>0</v>
      </c>
      <c r="AV53" s="12">
        <v>0</v>
      </c>
      <c r="AW53" s="13">
        <v>0</v>
      </c>
      <c r="AX53" s="12">
        <v>0</v>
      </c>
      <c r="AY53" s="39">
        <v>0</v>
      </c>
      <c r="AZ53" s="12">
        <v>0</v>
      </c>
      <c r="BA53" s="39">
        <v>0</v>
      </c>
      <c r="BB53" s="12">
        <v>0</v>
      </c>
      <c r="BC53" s="39">
        <v>0</v>
      </c>
      <c r="BD53" s="12">
        <f t="shared" si="3"/>
        <v>112.4361</v>
      </c>
      <c r="BE53" s="14">
        <f t="shared" si="4"/>
        <v>112.4361</v>
      </c>
      <c r="BF53" s="24">
        <f t="shared" si="0"/>
        <v>1</v>
      </c>
      <c r="BG53" s="23">
        <f t="shared" si="6"/>
        <v>1</v>
      </c>
    </row>
    <row r="54" spans="1:59" ht="18" customHeight="1" x14ac:dyDescent="0.2">
      <c r="A54" s="27" t="str">
        <f t="shared" si="2"/>
        <v>법인</v>
      </c>
      <c r="B54" s="27" t="s">
        <v>1559</v>
      </c>
      <c r="C54" s="27" t="s">
        <v>1496</v>
      </c>
      <c r="D54" s="26">
        <v>1418202789</v>
      </c>
      <c r="E54" s="26">
        <v>10021890</v>
      </c>
      <c r="F54" s="25" t="s">
        <v>6</v>
      </c>
      <c r="G54" s="48" t="s">
        <v>446</v>
      </c>
      <c r="H54" s="53">
        <v>45929</v>
      </c>
      <c r="I54" s="50">
        <v>45688</v>
      </c>
      <c r="J54" s="14">
        <v>489.46949999999998</v>
      </c>
      <c r="K54" s="49" t="s">
        <v>311</v>
      </c>
      <c r="L54" s="12">
        <v>0</v>
      </c>
      <c r="M54" s="13">
        <v>0</v>
      </c>
      <c r="N54" s="12">
        <v>0</v>
      </c>
      <c r="O54" s="13">
        <v>0</v>
      </c>
      <c r="P54" s="12">
        <v>0</v>
      </c>
      <c r="Q54" s="13">
        <v>0</v>
      </c>
      <c r="R54" s="12">
        <v>0</v>
      </c>
      <c r="S54" s="13">
        <v>0</v>
      </c>
      <c r="T54" s="12">
        <v>0</v>
      </c>
      <c r="U54" s="13">
        <v>0</v>
      </c>
      <c r="V54" s="12">
        <v>0</v>
      </c>
      <c r="W54" s="13">
        <v>0</v>
      </c>
      <c r="X54" s="12">
        <v>0</v>
      </c>
      <c r="Y54" s="13">
        <v>0</v>
      </c>
      <c r="Z54" s="12">
        <v>1.2789999999999999</v>
      </c>
      <c r="AA54" s="13">
        <v>0</v>
      </c>
      <c r="AB54" s="12">
        <v>4.617</v>
      </c>
      <c r="AC54" s="13">
        <v>0</v>
      </c>
      <c r="AD54" s="12">
        <v>5.008</v>
      </c>
      <c r="AE54" s="13">
        <v>0</v>
      </c>
      <c r="AF54" s="12">
        <v>5.7089999999999996</v>
      </c>
      <c r="AG54" s="13">
        <v>1.2789999999999999</v>
      </c>
      <c r="AH54" s="12">
        <v>5.0979999999999999</v>
      </c>
      <c r="AI54" s="13">
        <v>15.334</v>
      </c>
      <c r="AJ54" s="12">
        <v>4.8040000000000003</v>
      </c>
      <c r="AK54" s="13">
        <v>5.0979999999999999</v>
      </c>
      <c r="AL54" s="12">
        <v>4.9829999999999997</v>
      </c>
      <c r="AM54" s="13">
        <v>4.8040000000000003</v>
      </c>
      <c r="AN54" s="12">
        <v>8.2070000000000007</v>
      </c>
      <c r="AO54" s="13">
        <v>4.9829999999999997</v>
      </c>
      <c r="AP54" s="12">
        <v>13.978</v>
      </c>
      <c r="AQ54" s="13">
        <v>8.2070000000000007</v>
      </c>
      <c r="AR54" s="12">
        <v>17.981000000000002</v>
      </c>
      <c r="AS54" s="13">
        <v>13.978</v>
      </c>
      <c r="AT54" s="12">
        <v>16.338999999999999</v>
      </c>
      <c r="AU54" s="13">
        <v>17.981000000000002</v>
      </c>
      <c r="AV54" s="12">
        <f>IFERROR(VLOOKUP(E54,[1]Sheet4!$A:$D,4,0),0)</f>
        <v>14.847</v>
      </c>
      <c r="AW54" s="13">
        <v>16.338999999999999</v>
      </c>
      <c r="AX54" s="12">
        <v>14.872</v>
      </c>
      <c r="AY54" s="39">
        <v>14.847</v>
      </c>
      <c r="AZ54" s="12">
        <v>15.782</v>
      </c>
      <c r="BA54" s="39">
        <v>14.872</v>
      </c>
      <c r="BB54" s="12">
        <v>16.887</v>
      </c>
      <c r="BC54" s="39">
        <v>15.782</v>
      </c>
      <c r="BD54" s="12">
        <f t="shared" si="3"/>
        <v>150.39099999999999</v>
      </c>
      <c r="BE54" s="14">
        <f t="shared" si="4"/>
        <v>133.50399999999999</v>
      </c>
      <c r="BF54" s="24">
        <f t="shared" ref="BF54" si="8">BE54/BD54</f>
        <v>0.88771269557353827</v>
      </c>
      <c r="BG54" s="23">
        <f t="shared" si="6"/>
        <v>0.27275243912031288</v>
      </c>
    </row>
    <row r="55" spans="1:59" ht="18" customHeight="1" x14ac:dyDescent="0.2">
      <c r="A55" s="27" t="str">
        <f t="shared" si="2"/>
        <v>법인</v>
      </c>
      <c r="B55" s="27" t="s">
        <v>1568</v>
      </c>
      <c r="C55" s="27" t="s">
        <v>1496</v>
      </c>
      <c r="D55" s="26">
        <v>1108202349</v>
      </c>
      <c r="E55" s="26">
        <v>10031781</v>
      </c>
      <c r="F55" s="78" t="s">
        <v>62</v>
      </c>
      <c r="G55" s="48" t="s">
        <v>320</v>
      </c>
      <c r="H55" s="53">
        <v>45863</v>
      </c>
      <c r="I55" s="50">
        <v>45880</v>
      </c>
      <c r="J55" s="14">
        <v>145</v>
      </c>
      <c r="K55" s="51" t="s">
        <v>343</v>
      </c>
      <c r="L55" s="12">
        <v>0</v>
      </c>
      <c r="M55" s="13">
        <v>0</v>
      </c>
      <c r="N55" s="12">
        <v>0</v>
      </c>
      <c r="O55" s="13">
        <v>0</v>
      </c>
      <c r="P55" s="12">
        <v>0</v>
      </c>
      <c r="Q55" s="13">
        <v>0</v>
      </c>
      <c r="R55" s="12">
        <v>0</v>
      </c>
      <c r="S55" s="13">
        <v>0</v>
      </c>
      <c r="T55" s="12">
        <v>0</v>
      </c>
      <c r="U55" s="13">
        <v>0</v>
      </c>
      <c r="V55" s="12">
        <v>0</v>
      </c>
      <c r="W55" s="13">
        <v>0</v>
      </c>
      <c r="X55" s="12">
        <v>0</v>
      </c>
      <c r="Y55" s="13">
        <v>0</v>
      </c>
      <c r="Z55" s="12">
        <v>0</v>
      </c>
      <c r="AA55" s="13">
        <v>0</v>
      </c>
      <c r="AB55" s="12">
        <v>145</v>
      </c>
      <c r="AC55" s="13">
        <v>0</v>
      </c>
      <c r="AD55" s="12">
        <v>0</v>
      </c>
      <c r="AE55" s="13">
        <v>0</v>
      </c>
      <c r="AF55" s="12">
        <v>0</v>
      </c>
      <c r="AG55" s="13">
        <v>0</v>
      </c>
      <c r="AH55" s="12">
        <v>0</v>
      </c>
      <c r="AI55" s="13">
        <v>0</v>
      </c>
      <c r="AJ55" s="12">
        <v>0</v>
      </c>
      <c r="AK55" s="13">
        <v>145</v>
      </c>
      <c r="AL55" s="12">
        <v>0</v>
      </c>
      <c r="AM55" s="13">
        <v>0</v>
      </c>
      <c r="AN55" s="12">
        <v>0</v>
      </c>
      <c r="AO55" s="13">
        <v>0</v>
      </c>
      <c r="AP55" s="12">
        <v>0</v>
      </c>
      <c r="AQ55" s="13">
        <v>0</v>
      </c>
      <c r="AR55" s="12" t="s">
        <v>1496</v>
      </c>
      <c r="AS55" s="13">
        <v>0</v>
      </c>
      <c r="AT55" s="12">
        <v>0</v>
      </c>
      <c r="AU55" s="13">
        <v>0</v>
      </c>
      <c r="AV55" s="12">
        <f>IFERROR(VLOOKUP(E55,[1]Sheet4!$A:$D,4,0),0)</f>
        <v>0</v>
      </c>
      <c r="AW55" s="13">
        <v>0</v>
      </c>
      <c r="AX55" s="12">
        <v>0</v>
      </c>
      <c r="AY55" s="39">
        <v>0</v>
      </c>
      <c r="AZ55" s="12">
        <v>0</v>
      </c>
      <c r="BA55" s="39">
        <v>0</v>
      </c>
      <c r="BB55" s="12">
        <v>0</v>
      </c>
      <c r="BC55" s="39">
        <v>0</v>
      </c>
      <c r="BD55" s="12">
        <f t="shared" si="3"/>
        <v>145</v>
      </c>
      <c r="BE55" s="14">
        <f t="shared" si="4"/>
        <v>145</v>
      </c>
      <c r="BF55" s="24">
        <v>1</v>
      </c>
      <c r="BG55" s="23">
        <f t="shared" si="6"/>
        <v>1</v>
      </c>
    </row>
    <row r="56" spans="1:59" ht="18" customHeight="1" x14ac:dyDescent="0.2">
      <c r="A56" s="27" t="str">
        <f t="shared" si="2"/>
        <v>법인</v>
      </c>
      <c r="B56" s="27" t="s">
        <v>1556</v>
      </c>
      <c r="C56" s="27" t="s">
        <v>1496</v>
      </c>
      <c r="D56" s="26">
        <v>1218216353</v>
      </c>
      <c r="E56" s="26">
        <v>10032281</v>
      </c>
      <c r="F56" s="78" t="s">
        <v>342</v>
      </c>
      <c r="G56" s="48" t="s">
        <v>319</v>
      </c>
      <c r="H56" s="53">
        <v>45754</v>
      </c>
      <c r="I56" s="54">
        <v>45754</v>
      </c>
      <c r="J56" s="14">
        <v>477.86700000000002</v>
      </c>
      <c r="K56" s="51" t="s">
        <v>339</v>
      </c>
      <c r="L56" s="12">
        <v>0</v>
      </c>
      <c r="M56" s="13">
        <v>0</v>
      </c>
      <c r="N56" s="12">
        <v>0</v>
      </c>
      <c r="O56" s="13">
        <v>0</v>
      </c>
      <c r="P56" s="12">
        <v>0</v>
      </c>
      <c r="Q56" s="13">
        <v>0</v>
      </c>
      <c r="R56" s="12">
        <v>0</v>
      </c>
      <c r="S56" s="13">
        <v>0</v>
      </c>
      <c r="T56" s="12">
        <v>310.93799999999999</v>
      </c>
      <c r="U56" s="13">
        <v>310.93799999999999</v>
      </c>
      <c r="V56" s="12">
        <v>0</v>
      </c>
      <c r="W56" s="13">
        <v>0</v>
      </c>
      <c r="X56" s="12">
        <v>0</v>
      </c>
      <c r="Y56" s="13">
        <v>0</v>
      </c>
      <c r="Z56" s="12">
        <v>149.065</v>
      </c>
      <c r="AA56" s="13">
        <v>0</v>
      </c>
      <c r="AB56" s="12">
        <v>17.864000000000001</v>
      </c>
      <c r="AC56" s="13">
        <v>166.929</v>
      </c>
      <c r="AD56" s="12">
        <v>0</v>
      </c>
      <c r="AE56" s="13">
        <v>0</v>
      </c>
      <c r="AF56" s="12">
        <v>0</v>
      </c>
      <c r="AG56" s="13">
        <v>0</v>
      </c>
      <c r="AH56" s="12">
        <v>0</v>
      </c>
      <c r="AI56" s="13">
        <v>0</v>
      </c>
      <c r="AJ56" s="12">
        <v>0</v>
      </c>
      <c r="AK56" s="13">
        <v>0</v>
      </c>
      <c r="AL56" s="12">
        <v>0</v>
      </c>
      <c r="AM56" s="13">
        <v>0</v>
      </c>
      <c r="AN56" s="12">
        <v>0</v>
      </c>
      <c r="AO56" s="13">
        <v>0</v>
      </c>
      <c r="AP56" s="12">
        <v>0</v>
      </c>
      <c r="AQ56" s="13">
        <v>0</v>
      </c>
      <c r="AR56" s="12" t="s">
        <v>1496</v>
      </c>
      <c r="AS56" s="13">
        <v>0</v>
      </c>
      <c r="AT56" s="12">
        <v>0</v>
      </c>
      <c r="AU56" s="13">
        <v>0</v>
      </c>
      <c r="AV56" s="12">
        <f>IFERROR(VLOOKUP(E56,[1]Sheet4!$A:$D,4,0),0)</f>
        <v>0</v>
      </c>
      <c r="AW56" s="13">
        <v>0</v>
      </c>
      <c r="AX56" s="12">
        <v>0</v>
      </c>
      <c r="AY56" s="39">
        <v>0</v>
      </c>
      <c r="AZ56" s="12">
        <v>0</v>
      </c>
      <c r="BA56" s="39">
        <v>0</v>
      </c>
      <c r="BB56" s="12">
        <v>0</v>
      </c>
      <c r="BC56" s="39">
        <v>0</v>
      </c>
      <c r="BD56" s="12">
        <f t="shared" si="3"/>
        <v>477.86699999999996</v>
      </c>
      <c r="BE56" s="14">
        <f t="shared" si="4"/>
        <v>477.86699999999996</v>
      </c>
      <c r="BF56" s="24">
        <f t="shared" ref="BF56:BF207" si="9">BE56/BD56</f>
        <v>1</v>
      </c>
      <c r="BG56" s="23">
        <f t="shared" si="6"/>
        <v>0.99999999999999989</v>
      </c>
    </row>
    <row r="57" spans="1:59" ht="18" customHeight="1" x14ac:dyDescent="0.2">
      <c r="A57" s="27" t="str">
        <f t="shared" si="2"/>
        <v>법인</v>
      </c>
      <c r="B57" s="27" t="s">
        <v>1568</v>
      </c>
      <c r="C57" s="27" t="s">
        <v>1496</v>
      </c>
      <c r="D57" s="26">
        <v>1358200113</v>
      </c>
      <c r="E57" s="26">
        <v>10033726</v>
      </c>
      <c r="F57" s="78" t="s">
        <v>45</v>
      </c>
      <c r="G57" s="48" t="s">
        <v>320</v>
      </c>
      <c r="H57" s="53">
        <v>45798</v>
      </c>
      <c r="I57" s="50">
        <v>45798</v>
      </c>
      <c r="J57" s="14">
        <v>133.10299999999998</v>
      </c>
      <c r="K57" s="49" t="s">
        <v>311</v>
      </c>
      <c r="L57" s="12">
        <v>0</v>
      </c>
      <c r="M57" s="13">
        <v>0</v>
      </c>
      <c r="N57" s="12">
        <v>0</v>
      </c>
      <c r="O57" s="13">
        <v>0</v>
      </c>
      <c r="P57" s="12">
        <v>0</v>
      </c>
      <c r="Q57" s="13">
        <v>0</v>
      </c>
      <c r="R57" s="12">
        <v>0</v>
      </c>
      <c r="S57" s="13">
        <v>0</v>
      </c>
      <c r="T57" s="12">
        <v>0</v>
      </c>
      <c r="U57" s="13">
        <v>0</v>
      </c>
      <c r="V57" s="12">
        <v>133.10300000000001</v>
      </c>
      <c r="W57" s="13">
        <v>0</v>
      </c>
      <c r="X57" s="12">
        <v>0</v>
      </c>
      <c r="Y57" s="13">
        <v>0</v>
      </c>
      <c r="Z57" s="12">
        <v>0</v>
      </c>
      <c r="AA57" s="13">
        <v>0</v>
      </c>
      <c r="AB57" s="12">
        <v>0</v>
      </c>
      <c r="AC57" s="13">
        <v>133.10300000000001</v>
      </c>
      <c r="AD57" s="12">
        <v>0</v>
      </c>
      <c r="AE57" s="13">
        <v>0</v>
      </c>
      <c r="AF57" s="12">
        <v>0</v>
      </c>
      <c r="AG57" s="13">
        <v>0</v>
      </c>
      <c r="AH57" s="12">
        <v>0</v>
      </c>
      <c r="AI57" s="13">
        <v>0</v>
      </c>
      <c r="AJ57" s="12">
        <v>0</v>
      </c>
      <c r="AK57" s="13">
        <v>0</v>
      </c>
      <c r="AL57" s="12">
        <v>0</v>
      </c>
      <c r="AM57" s="13">
        <v>0</v>
      </c>
      <c r="AN57" s="12">
        <v>0</v>
      </c>
      <c r="AO57" s="13">
        <v>0</v>
      </c>
      <c r="AP57" s="12">
        <v>0</v>
      </c>
      <c r="AQ57" s="13">
        <v>0</v>
      </c>
      <c r="AR57" s="12" t="s">
        <v>1496</v>
      </c>
      <c r="AS57" s="13">
        <v>0</v>
      </c>
      <c r="AT57" s="12">
        <v>0</v>
      </c>
      <c r="AU57" s="13">
        <v>0</v>
      </c>
      <c r="AV57" s="12">
        <f>IFERROR(VLOOKUP(E57,[1]Sheet4!$A:$D,4,0),0)</f>
        <v>0</v>
      </c>
      <c r="AW57" s="13">
        <v>0</v>
      </c>
      <c r="AX57" s="12">
        <v>0</v>
      </c>
      <c r="AY57" s="39">
        <v>0</v>
      </c>
      <c r="AZ57" s="12">
        <v>0</v>
      </c>
      <c r="BA57" s="39">
        <v>0</v>
      </c>
      <c r="BB57" s="12">
        <v>0</v>
      </c>
      <c r="BC57" s="39">
        <v>0</v>
      </c>
      <c r="BD57" s="12">
        <f t="shared" si="3"/>
        <v>133.10300000000001</v>
      </c>
      <c r="BE57" s="14">
        <f t="shared" si="4"/>
        <v>133.10300000000001</v>
      </c>
      <c r="BF57" s="24">
        <f t="shared" si="9"/>
        <v>1</v>
      </c>
      <c r="BG57" s="23">
        <f t="shared" si="6"/>
        <v>1.0000000000000002</v>
      </c>
    </row>
    <row r="58" spans="1:59" ht="18" customHeight="1" x14ac:dyDescent="0.2">
      <c r="A58" s="27" t="str">
        <f t="shared" si="2"/>
        <v>법인</v>
      </c>
      <c r="B58" s="27" t="s">
        <v>1558</v>
      </c>
      <c r="C58" s="27" t="s">
        <v>1496</v>
      </c>
      <c r="D58" s="26">
        <v>1378200666</v>
      </c>
      <c r="E58" s="26">
        <v>10033875</v>
      </c>
      <c r="F58" s="78" t="s">
        <v>25</v>
      </c>
      <c r="G58" s="48" t="s">
        <v>319</v>
      </c>
      <c r="H58" s="53">
        <v>45740</v>
      </c>
      <c r="I58" s="50">
        <v>45740</v>
      </c>
      <c r="J58" s="14">
        <v>965.49800000000005</v>
      </c>
      <c r="K58" s="51" t="s">
        <v>336</v>
      </c>
      <c r="L58" s="12">
        <v>0</v>
      </c>
      <c r="M58" s="13">
        <v>0</v>
      </c>
      <c r="N58" s="12">
        <v>0</v>
      </c>
      <c r="O58" s="13">
        <v>0</v>
      </c>
      <c r="P58" s="12">
        <v>0</v>
      </c>
      <c r="Q58" s="13">
        <v>0</v>
      </c>
      <c r="R58" s="12">
        <v>965.49800000000005</v>
      </c>
      <c r="S58" s="13">
        <v>0</v>
      </c>
      <c r="T58" s="12">
        <v>0</v>
      </c>
      <c r="U58" s="13">
        <v>0</v>
      </c>
      <c r="V58" s="12">
        <v>0</v>
      </c>
      <c r="W58" s="13">
        <v>0</v>
      </c>
      <c r="X58" s="12">
        <v>0</v>
      </c>
      <c r="Y58" s="13">
        <v>0</v>
      </c>
      <c r="Z58" s="12">
        <v>0</v>
      </c>
      <c r="AA58" s="13">
        <v>0</v>
      </c>
      <c r="AB58" s="12">
        <v>0</v>
      </c>
      <c r="AC58" s="13">
        <v>965.49800000000005</v>
      </c>
      <c r="AD58" s="12">
        <v>0</v>
      </c>
      <c r="AE58" s="13">
        <v>0</v>
      </c>
      <c r="AF58" s="12">
        <v>0</v>
      </c>
      <c r="AG58" s="13">
        <v>0</v>
      </c>
      <c r="AH58" s="12">
        <v>0</v>
      </c>
      <c r="AI58" s="13">
        <v>0</v>
      </c>
      <c r="AJ58" s="12">
        <v>0</v>
      </c>
      <c r="AK58" s="13">
        <v>0</v>
      </c>
      <c r="AL58" s="12">
        <v>0</v>
      </c>
      <c r="AM58" s="13">
        <v>0</v>
      </c>
      <c r="AN58" s="12">
        <v>0</v>
      </c>
      <c r="AO58" s="13">
        <v>0</v>
      </c>
      <c r="AP58" s="12">
        <v>0</v>
      </c>
      <c r="AQ58" s="13">
        <v>0</v>
      </c>
      <c r="AR58" s="12" t="s">
        <v>1496</v>
      </c>
      <c r="AS58" s="13">
        <v>0</v>
      </c>
      <c r="AT58" s="12">
        <v>0</v>
      </c>
      <c r="AU58" s="13">
        <v>0</v>
      </c>
      <c r="AV58" s="12">
        <f>IFERROR(VLOOKUP(E58,[1]Sheet4!$A:$D,4,0),0)</f>
        <v>0</v>
      </c>
      <c r="AW58" s="13">
        <v>0</v>
      </c>
      <c r="AX58" s="12">
        <v>0</v>
      </c>
      <c r="AY58" s="39">
        <v>0</v>
      </c>
      <c r="AZ58" s="12">
        <v>0</v>
      </c>
      <c r="BA58" s="39">
        <v>0</v>
      </c>
      <c r="BB58" s="12">
        <v>0</v>
      </c>
      <c r="BC58" s="39">
        <v>0</v>
      </c>
      <c r="BD58" s="12">
        <f t="shared" si="3"/>
        <v>965.49800000000005</v>
      </c>
      <c r="BE58" s="14">
        <f t="shared" si="4"/>
        <v>965.49800000000005</v>
      </c>
      <c r="BF58" s="24">
        <f t="shared" si="9"/>
        <v>1</v>
      </c>
      <c r="BG58" s="23">
        <f t="shared" si="6"/>
        <v>1</v>
      </c>
    </row>
    <row r="59" spans="1:59" ht="18" customHeight="1" x14ac:dyDescent="0.2">
      <c r="A59" s="27" t="str">
        <f t="shared" si="2"/>
        <v>법인</v>
      </c>
      <c r="B59" s="27" t="s">
        <v>1568</v>
      </c>
      <c r="C59" s="27" t="s">
        <v>1496</v>
      </c>
      <c r="D59" s="26">
        <v>2218203051</v>
      </c>
      <c r="E59" s="26">
        <v>10035467</v>
      </c>
      <c r="F59" s="78" t="s">
        <v>8</v>
      </c>
      <c r="G59" s="48" t="s">
        <v>320</v>
      </c>
      <c r="H59" s="53"/>
      <c r="I59" s="50">
        <v>45626</v>
      </c>
      <c r="J59" s="14">
        <v>240</v>
      </c>
      <c r="K59" s="49" t="s">
        <v>317</v>
      </c>
      <c r="L59" s="12">
        <v>240</v>
      </c>
      <c r="M59" s="13">
        <v>0</v>
      </c>
      <c r="N59" s="12">
        <v>0</v>
      </c>
      <c r="O59" s="13">
        <v>0</v>
      </c>
      <c r="P59" s="12">
        <v>0</v>
      </c>
      <c r="Q59" s="13">
        <v>0</v>
      </c>
      <c r="R59" s="12">
        <v>0</v>
      </c>
      <c r="S59" s="13">
        <v>240</v>
      </c>
      <c r="T59" s="12">
        <v>0</v>
      </c>
      <c r="U59" s="13">
        <v>0</v>
      </c>
      <c r="V59" s="12">
        <v>0</v>
      </c>
      <c r="W59" s="13">
        <v>0</v>
      </c>
      <c r="X59" s="12">
        <v>0</v>
      </c>
      <c r="Y59" s="13">
        <v>0</v>
      </c>
      <c r="Z59" s="12">
        <v>0</v>
      </c>
      <c r="AA59" s="13">
        <v>0</v>
      </c>
      <c r="AB59" s="12">
        <v>0</v>
      </c>
      <c r="AC59" s="13">
        <v>0</v>
      </c>
      <c r="AD59" s="12">
        <v>0</v>
      </c>
      <c r="AE59" s="13">
        <v>0</v>
      </c>
      <c r="AF59" s="12">
        <v>0</v>
      </c>
      <c r="AG59" s="13">
        <v>0</v>
      </c>
      <c r="AH59" s="12">
        <v>0</v>
      </c>
      <c r="AI59" s="13">
        <v>0</v>
      </c>
      <c r="AJ59" s="12">
        <v>0</v>
      </c>
      <c r="AK59" s="13">
        <v>0</v>
      </c>
      <c r="AL59" s="12">
        <v>0</v>
      </c>
      <c r="AM59" s="13">
        <v>0</v>
      </c>
      <c r="AN59" s="12">
        <v>0</v>
      </c>
      <c r="AO59" s="13">
        <v>0</v>
      </c>
      <c r="AP59" s="12">
        <v>0</v>
      </c>
      <c r="AQ59" s="13">
        <v>0</v>
      </c>
      <c r="AR59" s="12" t="s">
        <v>1496</v>
      </c>
      <c r="AS59" s="13">
        <v>0</v>
      </c>
      <c r="AT59" s="12">
        <v>0</v>
      </c>
      <c r="AU59" s="13">
        <v>0</v>
      </c>
      <c r="AV59" s="12">
        <f>IFERROR(VLOOKUP(E59,[1]Sheet4!$A:$D,4,0),0)</f>
        <v>0</v>
      </c>
      <c r="AW59" s="13">
        <v>0</v>
      </c>
      <c r="AX59" s="12">
        <v>0</v>
      </c>
      <c r="AY59" s="39">
        <v>0</v>
      </c>
      <c r="AZ59" s="12">
        <v>0</v>
      </c>
      <c r="BA59" s="39">
        <v>0</v>
      </c>
      <c r="BB59" s="12">
        <v>0</v>
      </c>
      <c r="BC59" s="39">
        <v>0</v>
      </c>
      <c r="BD59" s="12">
        <f t="shared" si="3"/>
        <v>240</v>
      </c>
      <c r="BE59" s="14">
        <f t="shared" si="4"/>
        <v>240</v>
      </c>
      <c r="BF59" s="24">
        <f t="shared" si="9"/>
        <v>1</v>
      </c>
      <c r="BG59" s="23">
        <f t="shared" si="6"/>
        <v>1</v>
      </c>
    </row>
    <row r="60" spans="1:59" ht="18" customHeight="1" x14ac:dyDescent="0.2">
      <c r="A60" s="27" t="str">
        <f t="shared" si="2"/>
        <v>개인</v>
      </c>
      <c r="B60" s="27" t="s">
        <v>1555</v>
      </c>
      <c r="C60" s="27" t="s">
        <v>1554</v>
      </c>
      <c r="D60" s="26">
        <v>2249099037</v>
      </c>
      <c r="E60" s="26">
        <v>10019136</v>
      </c>
      <c r="F60" s="78" t="s">
        <v>341</v>
      </c>
      <c r="G60" s="48" t="s">
        <v>340</v>
      </c>
      <c r="H60" s="53">
        <v>45777</v>
      </c>
      <c r="I60" s="53">
        <v>45777</v>
      </c>
      <c r="J60" s="14">
        <v>98.144999999999996</v>
      </c>
      <c r="K60" s="49" t="s">
        <v>311</v>
      </c>
      <c r="L60" s="12">
        <v>0</v>
      </c>
      <c r="M60" s="13">
        <v>0</v>
      </c>
      <c r="N60" s="12">
        <v>0</v>
      </c>
      <c r="O60" s="13">
        <v>0</v>
      </c>
      <c r="P60" s="12">
        <v>0</v>
      </c>
      <c r="Q60" s="13">
        <v>0</v>
      </c>
      <c r="R60" s="12">
        <v>0</v>
      </c>
      <c r="S60" s="13">
        <v>0</v>
      </c>
      <c r="T60" s="12">
        <v>0</v>
      </c>
      <c r="U60" s="13">
        <v>0</v>
      </c>
      <c r="V60" s="12">
        <v>98.144999999999996</v>
      </c>
      <c r="W60" s="13">
        <v>0</v>
      </c>
      <c r="X60" s="12">
        <v>0</v>
      </c>
      <c r="Y60" s="13">
        <v>0</v>
      </c>
      <c r="Z60" s="12">
        <v>0</v>
      </c>
      <c r="AA60" s="13">
        <v>0</v>
      </c>
      <c r="AB60" s="12">
        <v>0</v>
      </c>
      <c r="AC60" s="13">
        <v>98.144999999999996</v>
      </c>
      <c r="AD60" s="12">
        <v>0</v>
      </c>
      <c r="AE60" s="13">
        <v>0</v>
      </c>
      <c r="AF60" s="12">
        <v>0</v>
      </c>
      <c r="AG60" s="13">
        <v>0</v>
      </c>
      <c r="AH60" s="12">
        <v>0</v>
      </c>
      <c r="AI60" s="13">
        <v>0</v>
      </c>
      <c r="AJ60" s="12">
        <v>0</v>
      </c>
      <c r="AK60" s="13">
        <v>0</v>
      </c>
      <c r="AL60" s="12">
        <v>0</v>
      </c>
      <c r="AM60" s="13">
        <v>0</v>
      </c>
      <c r="AN60" s="12">
        <v>0</v>
      </c>
      <c r="AO60" s="13">
        <v>0</v>
      </c>
      <c r="AP60" s="12">
        <v>0</v>
      </c>
      <c r="AQ60" s="13">
        <v>0</v>
      </c>
      <c r="AR60" s="12" t="s">
        <v>1496</v>
      </c>
      <c r="AS60" s="13">
        <v>0</v>
      </c>
      <c r="AT60" s="12">
        <v>0</v>
      </c>
      <c r="AU60" s="13">
        <v>0</v>
      </c>
      <c r="AV60" s="12">
        <f>IFERROR(VLOOKUP(E60,[1]Sheet4!$A:$D,4,0),0)</f>
        <v>0</v>
      </c>
      <c r="AW60" s="13">
        <v>0</v>
      </c>
      <c r="AX60" s="12">
        <v>0</v>
      </c>
      <c r="AY60" s="39">
        <v>0</v>
      </c>
      <c r="AZ60" s="12">
        <v>0</v>
      </c>
      <c r="BA60" s="39">
        <v>0</v>
      </c>
      <c r="BB60" s="12">
        <v>0</v>
      </c>
      <c r="BC60" s="39">
        <v>0</v>
      </c>
      <c r="BD60" s="12">
        <f t="shared" si="3"/>
        <v>98.144999999999996</v>
      </c>
      <c r="BE60" s="14">
        <f t="shared" si="4"/>
        <v>98.144999999999996</v>
      </c>
      <c r="BF60" s="24">
        <f t="shared" si="9"/>
        <v>1</v>
      </c>
      <c r="BG60" s="23">
        <f t="shared" ref="BG60:BG91" si="10">BE60/J60</f>
        <v>1</v>
      </c>
    </row>
    <row r="61" spans="1:59" ht="18" customHeight="1" x14ac:dyDescent="0.2">
      <c r="A61" s="27" t="s">
        <v>1598</v>
      </c>
      <c r="B61" s="27" t="s">
        <v>1562</v>
      </c>
      <c r="C61" s="27" t="s">
        <v>1496</v>
      </c>
      <c r="D61" s="26">
        <v>2268204297</v>
      </c>
      <c r="E61" s="26">
        <v>10035639</v>
      </c>
      <c r="F61" s="25" t="s">
        <v>13</v>
      </c>
      <c r="G61" s="153" t="s">
        <v>1599</v>
      </c>
      <c r="H61" s="53" t="s">
        <v>1600</v>
      </c>
      <c r="I61" s="53"/>
      <c r="J61" s="14">
        <v>654.32100000000003</v>
      </c>
      <c r="K61" s="49" t="s">
        <v>311</v>
      </c>
      <c r="L61" s="12"/>
      <c r="M61" s="13"/>
      <c r="N61" s="12"/>
      <c r="O61" s="13"/>
      <c r="P61" s="12"/>
      <c r="Q61" s="13"/>
      <c r="R61" s="12"/>
      <c r="S61" s="13"/>
      <c r="T61" s="12"/>
      <c r="U61" s="13"/>
      <c r="V61" s="12"/>
      <c r="W61" s="13"/>
      <c r="X61" s="12"/>
      <c r="Y61" s="13"/>
      <c r="Z61" s="12"/>
      <c r="AA61" s="13"/>
      <c r="AB61" s="12"/>
      <c r="AC61" s="13"/>
      <c r="AD61" s="12"/>
      <c r="AE61" s="13"/>
      <c r="AF61" s="12"/>
      <c r="AG61" s="13"/>
      <c r="AH61" s="12"/>
      <c r="AI61" s="13"/>
      <c r="AJ61" s="12"/>
      <c r="AK61" s="13"/>
      <c r="AL61" s="12"/>
      <c r="AM61" s="13"/>
      <c r="AN61" s="12"/>
      <c r="AO61" s="13"/>
      <c r="AP61" s="12"/>
      <c r="AQ61" s="13"/>
      <c r="AR61" s="12"/>
      <c r="AS61" s="13"/>
      <c r="AT61" s="12"/>
      <c r="AU61" s="13"/>
      <c r="AV61" s="12"/>
      <c r="AW61" s="13">
        <v>0</v>
      </c>
      <c r="AX61" s="12">
        <v>4.0309999999999997</v>
      </c>
      <c r="AY61" s="39">
        <v>0</v>
      </c>
      <c r="AZ61" s="12">
        <v>6.9470000000000001</v>
      </c>
      <c r="BA61" s="39">
        <v>4.0309999999999997</v>
      </c>
      <c r="BB61" s="12">
        <v>5.0529999999999999</v>
      </c>
      <c r="BC61" s="39">
        <v>6.9470000000000001</v>
      </c>
      <c r="BD61" s="12">
        <f t="shared" si="3"/>
        <v>16.030999999999999</v>
      </c>
      <c r="BE61" s="14">
        <f t="shared" si="4"/>
        <v>10.978</v>
      </c>
      <c r="BF61" s="24">
        <f t="shared" ref="BF61" si="11">BE61/BD61</f>
        <v>0.68479820348075604</v>
      </c>
      <c r="BG61" s="23">
        <f t="shared" si="10"/>
        <v>1.6777697796647211E-2</v>
      </c>
    </row>
    <row r="62" spans="1:59" ht="18" customHeight="1" x14ac:dyDescent="0.2">
      <c r="A62" s="27" t="str">
        <f t="shared" si="2"/>
        <v>법인</v>
      </c>
      <c r="B62" s="27" t="s">
        <v>1562</v>
      </c>
      <c r="C62" s="27" t="s">
        <v>1496</v>
      </c>
      <c r="D62" s="26">
        <v>2268204297</v>
      </c>
      <c r="E62" s="26">
        <v>10035639</v>
      </c>
      <c r="F62" s="78" t="s">
        <v>13</v>
      </c>
      <c r="G62" s="48" t="s">
        <v>320</v>
      </c>
      <c r="H62" s="53">
        <v>45677</v>
      </c>
      <c r="I62" s="50">
        <v>45657</v>
      </c>
      <c r="J62" s="14">
        <v>198</v>
      </c>
      <c r="K62" s="51">
        <v>0</v>
      </c>
      <c r="L62" s="12">
        <v>0</v>
      </c>
      <c r="M62" s="13">
        <v>0</v>
      </c>
      <c r="N62" s="12">
        <v>198</v>
      </c>
      <c r="O62" s="13">
        <v>0</v>
      </c>
      <c r="P62" s="12">
        <v>0</v>
      </c>
      <c r="Q62" s="13">
        <v>0</v>
      </c>
      <c r="R62" s="12">
        <v>0</v>
      </c>
      <c r="S62" s="13">
        <v>198</v>
      </c>
      <c r="T62" s="12">
        <v>0</v>
      </c>
      <c r="U62" s="13">
        <v>0</v>
      </c>
      <c r="V62" s="12">
        <v>0</v>
      </c>
      <c r="W62" s="13">
        <v>0</v>
      </c>
      <c r="X62" s="12">
        <v>0</v>
      </c>
      <c r="Y62" s="13">
        <v>0</v>
      </c>
      <c r="Z62" s="12">
        <v>0</v>
      </c>
      <c r="AA62" s="13">
        <v>0</v>
      </c>
      <c r="AB62" s="12">
        <v>0</v>
      </c>
      <c r="AC62" s="13">
        <v>0</v>
      </c>
      <c r="AD62" s="12">
        <v>0</v>
      </c>
      <c r="AE62" s="13">
        <v>0</v>
      </c>
      <c r="AF62" s="12">
        <v>0</v>
      </c>
      <c r="AG62" s="13">
        <v>0</v>
      </c>
      <c r="AH62" s="12">
        <v>0</v>
      </c>
      <c r="AI62" s="13">
        <v>0</v>
      </c>
      <c r="AJ62" s="12">
        <v>0</v>
      </c>
      <c r="AK62" s="13">
        <v>0</v>
      </c>
      <c r="AL62" s="12">
        <v>0</v>
      </c>
      <c r="AM62" s="13">
        <v>0</v>
      </c>
      <c r="AN62" s="12">
        <v>0</v>
      </c>
      <c r="AO62" s="13">
        <v>0</v>
      </c>
      <c r="AP62" s="12">
        <v>0</v>
      </c>
      <c r="AQ62" s="13">
        <v>0</v>
      </c>
      <c r="AR62" s="12" t="s">
        <v>1496</v>
      </c>
      <c r="AS62" s="13">
        <v>0</v>
      </c>
      <c r="AT62" s="12">
        <v>0</v>
      </c>
      <c r="AU62" s="13">
        <v>0</v>
      </c>
      <c r="AV62" s="12">
        <f>IFERROR(VLOOKUP(E62,[1]Sheet4!$A:$D,4,0),0)</f>
        <v>0</v>
      </c>
      <c r="AW62" s="13">
        <v>0</v>
      </c>
      <c r="AX62" s="121">
        <v>0</v>
      </c>
      <c r="AY62" s="39">
        <v>0</v>
      </c>
      <c r="AZ62" s="121">
        <v>0</v>
      </c>
      <c r="BA62" s="39">
        <v>0</v>
      </c>
      <c r="BB62" s="12">
        <v>0</v>
      </c>
      <c r="BC62" s="39">
        <v>0</v>
      </c>
      <c r="BD62" s="12">
        <f t="shared" si="3"/>
        <v>198</v>
      </c>
      <c r="BE62" s="14">
        <f t="shared" si="4"/>
        <v>198</v>
      </c>
      <c r="BF62" s="24">
        <f t="shared" si="9"/>
        <v>1</v>
      </c>
      <c r="BG62" s="23">
        <f t="shared" si="10"/>
        <v>1</v>
      </c>
    </row>
    <row r="63" spans="1:59" ht="18" customHeight="1" x14ac:dyDescent="0.2">
      <c r="A63" s="27" t="str">
        <f t="shared" si="2"/>
        <v>법인</v>
      </c>
      <c r="B63" s="27" t="s">
        <v>1556</v>
      </c>
      <c r="C63" s="27" t="s">
        <v>1496</v>
      </c>
      <c r="D63" s="26">
        <v>2818200245</v>
      </c>
      <c r="E63" s="26">
        <v>10046527</v>
      </c>
      <c r="F63" s="25" t="s">
        <v>53</v>
      </c>
      <c r="G63" s="48" t="s">
        <v>319</v>
      </c>
      <c r="H63" s="53">
        <v>45803</v>
      </c>
      <c r="I63" s="52">
        <v>45845</v>
      </c>
      <c r="J63" s="14">
        <v>531.95799999999997</v>
      </c>
      <c r="K63" s="51" t="s">
        <v>336</v>
      </c>
      <c r="L63" s="12">
        <v>0</v>
      </c>
      <c r="M63" s="13">
        <v>0</v>
      </c>
      <c r="N63" s="12">
        <v>0</v>
      </c>
      <c r="O63" s="13">
        <v>0</v>
      </c>
      <c r="P63" s="12">
        <v>0</v>
      </c>
      <c r="Q63" s="13">
        <v>0</v>
      </c>
      <c r="R63" s="12">
        <v>0</v>
      </c>
      <c r="S63" s="13">
        <v>0</v>
      </c>
      <c r="T63" s="12">
        <v>0</v>
      </c>
      <c r="U63" s="13">
        <v>0</v>
      </c>
      <c r="V63" s="12">
        <v>0</v>
      </c>
      <c r="W63" s="13">
        <v>0</v>
      </c>
      <c r="X63" s="12">
        <v>0</v>
      </c>
      <c r="Y63" s="13">
        <v>0</v>
      </c>
      <c r="Z63" s="12">
        <v>312.12599999999998</v>
      </c>
      <c r="AA63" s="13">
        <v>0</v>
      </c>
      <c r="AB63" s="12">
        <v>0</v>
      </c>
      <c r="AC63" s="13">
        <v>0</v>
      </c>
      <c r="AD63" s="12">
        <v>0</v>
      </c>
      <c r="AE63" s="13">
        <v>312.12599999999998</v>
      </c>
      <c r="AF63" s="12">
        <v>0</v>
      </c>
      <c r="AG63" s="13">
        <v>0</v>
      </c>
      <c r="AH63" s="12">
        <v>0</v>
      </c>
      <c r="AI63" s="13">
        <v>0</v>
      </c>
      <c r="AJ63" s="12">
        <v>0</v>
      </c>
      <c r="AK63" s="13">
        <v>0</v>
      </c>
      <c r="AL63" s="12">
        <v>0</v>
      </c>
      <c r="AM63" s="13">
        <v>0</v>
      </c>
      <c r="AN63" s="12">
        <v>0</v>
      </c>
      <c r="AO63" s="13">
        <v>0</v>
      </c>
      <c r="AP63" s="12">
        <v>0</v>
      </c>
      <c r="AQ63" s="13">
        <v>0</v>
      </c>
      <c r="AR63" s="12" t="s">
        <v>1496</v>
      </c>
      <c r="AS63" s="13">
        <v>0</v>
      </c>
      <c r="AT63" s="12">
        <v>0</v>
      </c>
      <c r="AU63" s="13">
        <v>0</v>
      </c>
      <c r="AV63" s="12">
        <f>IFERROR(VLOOKUP(E63,[1]Sheet4!$A:$D,4,0),0)</f>
        <v>0</v>
      </c>
      <c r="AW63" s="13">
        <v>0</v>
      </c>
      <c r="AX63" s="12">
        <v>0</v>
      </c>
      <c r="AY63" s="39">
        <v>0</v>
      </c>
      <c r="AZ63" s="12">
        <v>0</v>
      </c>
      <c r="BA63" s="39">
        <v>0</v>
      </c>
      <c r="BB63" s="12">
        <v>0</v>
      </c>
      <c r="BC63" s="39">
        <v>0</v>
      </c>
      <c r="BD63" s="12">
        <f t="shared" si="3"/>
        <v>312.12599999999998</v>
      </c>
      <c r="BE63" s="14">
        <f t="shared" si="4"/>
        <v>312.12599999999998</v>
      </c>
      <c r="BF63" s="24">
        <f t="shared" si="9"/>
        <v>1</v>
      </c>
      <c r="BG63" s="23">
        <f t="shared" si="10"/>
        <v>0.58674932983431016</v>
      </c>
    </row>
    <row r="64" spans="1:59" ht="18" customHeight="1" x14ac:dyDescent="0.2">
      <c r="A64" s="27" t="str">
        <f t="shared" si="2"/>
        <v>개인</v>
      </c>
      <c r="B64" s="27" t="s">
        <v>1571</v>
      </c>
      <c r="C64" s="27" t="s">
        <v>1554</v>
      </c>
      <c r="D64" s="26">
        <v>3129153766</v>
      </c>
      <c r="E64" s="26">
        <v>10036735</v>
      </c>
      <c r="F64" s="78" t="s">
        <v>15</v>
      </c>
      <c r="G64" s="48" t="s">
        <v>319</v>
      </c>
      <c r="H64" s="53">
        <v>45681</v>
      </c>
      <c r="I64" s="50">
        <v>45681</v>
      </c>
      <c r="J64" s="14">
        <v>194.90299999999999</v>
      </c>
      <c r="K64" s="49" t="s">
        <v>318</v>
      </c>
      <c r="L64" s="12">
        <v>0</v>
      </c>
      <c r="M64" s="13">
        <v>0</v>
      </c>
      <c r="N64" s="12">
        <v>194.90299999999999</v>
      </c>
      <c r="O64" s="13">
        <v>0</v>
      </c>
      <c r="P64" s="12">
        <v>0</v>
      </c>
      <c r="Q64" s="13">
        <v>0</v>
      </c>
      <c r="R64" s="12">
        <v>0</v>
      </c>
      <c r="S64" s="13">
        <v>194.90299999999999</v>
      </c>
      <c r="T64" s="12">
        <v>0</v>
      </c>
      <c r="U64" s="13">
        <v>0</v>
      </c>
      <c r="V64" s="12">
        <v>0</v>
      </c>
      <c r="W64" s="13">
        <v>0</v>
      </c>
      <c r="X64" s="12">
        <v>0</v>
      </c>
      <c r="Y64" s="13">
        <v>0</v>
      </c>
      <c r="Z64" s="12">
        <v>0</v>
      </c>
      <c r="AA64" s="13">
        <v>0</v>
      </c>
      <c r="AB64" s="12">
        <v>0</v>
      </c>
      <c r="AC64" s="13">
        <v>0</v>
      </c>
      <c r="AD64" s="12">
        <v>0</v>
      </c>
      <c r="AE64" s="13">
        <v>0</v>
      </c>
      <c r="AF64" s="12">
        <v>0</v>
      </c>
      <c r="AG64" s="13">
        <v>0</v>
      </c>
      <c r="AH64" s="12">
        <v>0</v>
      </c>
      <c r="AI64" s="13">
        <v>0</v>
      </c>
      <c r="AJ64" s="12">
        <v>0</v>
      </c>
      <c r="AK64" s="13">
        <v>0</v>
      </c>
      <c r="AL64" s="12">
        <v>0</v>
      </c>
      <c r="AM64" s="13">
        <v>0</v>
      </c>
      <c r="AN64" s="12">
        <v>0</v>
      </c>
      <c r="AO64" s="13">
        <v>0</v>
      </c>
      <c r="AP64" s="12">
        <v>0</v>
      </c>
      <c r="AQ64" s="13">
        <v>0</v>
      </c>
      <c r="AR64" s="12" t="s">
        <v>1496</v>
      </c>
      <c r="AS64" s="13">
        <v>0</v>
      </c>
      <c r="AT64" s="12">
        <v>0</v>
      </c>
      <c r="AU64" s="13">
        <v>0</v>
      </c>
      <c r="AV64" s="12">
        <f>IFERROR(VLOOKUP(E64,[1]Sheet4!$A:$D,4,0),0)</f>
        <v>0</v>
      </c>
      <c r="AW64" s="13">
        <v>0</v>
      </c>
      <c r="AX64" s="12">
        <v>0</v>
      </c>
      <c r="AY64" s="39">
        <v>0</v>
      </c>
      <c r="AZ64" s="12">
        <v>0</v>
      </c>
      <c r="BA64" s="39">
        <v>0</v>
      </c>
      <c r="BB64" s="12">
        <v>0</v>
      </c>
      <c r="BC64" s="39">
        <v>0</v>
      </c>
      <c r="BD64" s="12">
        <f t="shared" si="3"/>
        <v>194.90299999999999</v>
      </c>
      <c r="BE64" s="14">
        <f t="shared" si="4"/>
        <v>194.90299999999999</v>
      </c>
      <c r="BF64" s="24">
        <f t="shared" si="9"/>
        <v>1</v>
      </c>
      <c r="BG64" s="23">
        <f t="shared" si="10"/>
        <v>1</v>
      </c>
    </row>
    <row r="65" spans="1:59" ht="18" customHeight="1" x14ac:dyDescent="0.2">
      <c r="A65" s="27" t="str">
        <f t="shared" si="2"/>
        <v>개인</v>
      </c>
      <c r="B65" s="27" t="s">
        <v>1567</v>
      </c>
      <c r="C65" s="27" t="s">
        <v>1554</v>
      </c>
      <c r="D65" s="26">
        <v>3449500361</v>
      </c>
      <c r="E65" s="26">
        <v>10070515</v>
      </c>
      <c r="F65" s="78" t="s">
        <v>41</v>
      </c>
      <c r="G65" s="48" t="s">
        <v>319</v>
      </c>
      <c r="H65" s="53">
        <v>45797</v>
      </c>
      <c r="I65" s="50">
        <v>45797</v>
      </c>
      <c r="J65" s="14">
        <v>146.643</v>
      </c>
      <c r="K65" s="51" t="s">
        <v>339</v>
      </c>
      <c r="L65" s="12">
        <v>0</v>
      </c>
      <c r="M65" s="13">
        <v>0</v>
      </c>
      <c r="N65" s="12">
        <v>0</v>
      </c>
      <c r="O65" s="13">
        <v>0</v>
      </c>
      <c r="P65" s="12">
        <v>0</v>
      </c>
      <c r="Q65" s="13">
        <v>0</v>
      </c>
      <c r="R65" s="12">
        <v>0</v>
      </c>
      <c r="S65" s="13">
        <v>0</v>
      </c>
      <c r="T65" s="12">
        <v>0</v>
      </c>
      <c r="U65" s="13">
        <v>0</v>
      </c>
      <c r="V65" s="12">
        <v>146.643</v>
      </c>
      <c r="W65" s="13">
        <v>0</v>
      </c>
      <c r="X65" s="12">
        <v>0</v>
      </c>
      <c r="Y65" s="13">
        <v>0</v>
      </c>
      <c r="Z65" s="12">
        <v>0</v>
      </c>
      <c r="AA65" s="13">
        <v>0</v>
      </c>
      <c r="AB65" s="12">
        <v>0</v>
      </c>
      <c r="AC65" s="13">
        <v>146.643</v>
      </c>
      <c r="AD65" s="12">
        <v>0</v>
      </c>
      <c r="AE65" s="13">
        <v>0</v>
      </c>
      <c r="AF65" s="12">
        <v>0</v>
      </c>
      <c r="AG65" s="13">
        <v>0</v>
      </c>
      <c r="AH65" s="12">
        <v>0</v>
      </c>
      <c r="AI65" s="13">
        <v>0</v>
      </c>
      <c r="AJ65" s="12">
        <v>0</v>
      </c>
      <c r="AK65" s="13">
        <v>0</v>
      </c>
      <c r="AL65" s="12">
        <v>0</v>
      </c>
      <c r="AM65" s="13">
        <v>0</v>
      </c>
      <c r="AN65" s="12">
        <v>0</v>
      </c>
      <c r="AO65" s="13">
        <v>0</v>
      </c>
      <c r="AP65" s="12">
        <v>0</v>
      </c>
      <c r="AQ65" s="13">
        <v>0</v>
      </c>
      <c r="AR65" s="12" t="s">
        <v>1496</v>
      </c>
      <c r="AS65" s="13">
        <v>0</v>
      </c>
      <c r="AT65" s="12">
        <v>0</v>
      </c>
      <c r="AU65" s="13">
        <v>0</v>
      </c>
      <c r="AV65" s="12">
        <f>IFERROR(VLOOKUP(E65,[1]Sheet4!$A:$D,4,0),0)</f>
        <v>0</v>
      </c>
      <c r="AW65" s="13">
        <v>0</v>
      </c>
      <c r="AX65" s="12">
        <v>0</v>
      </c>
      <c r="AY65" s="39">
        <v>0</v>
      </c>
      <c r="AZ65" s="12">
        <v>0</v>
      </c>
      <c r="BA65" s="39">
        <v>0</v>
      </c>
      <c r="BB65" s="12">
        <v>0</v>
      </c>
      <c r="BC65" s="39">
        <v>0</v>
      </c>
      <c r="BD65" s="12">
        <f t="shared" si="3"/>
        <v>146.643</v>
      </c>
      <c r="BE65" s="14">
        <f t="shared" si="4"/>
        <v>146.643</v>
      </c>
      <c r="BF65" s="24">
        <f t="shared" si="9"/>
        <v>1</v>
      </c>
      <c r="BG65" s="23">
        <f t="shared" si="10"/>
        <v>1</v>
      </c>
    </row>
    <row r="66" spans="1:59" ht="18" customHeight="1" x14ac:dyDescent="0.2">
      <c r="A66" s="27" t="str">
        <f t="shared" si="2"/>
        <v>법인</v>
      </c>
      <c r="B66" s="27" t="s">
        <v>1563</v>
      </c>
      <c r="C66" s="27" t="s">
        <v>1496</v>
      </c>
      <c r="D66" s="26">
        <v>4038207697</v>
      </c>
      <c r="E66" s="26">
        <v>10037684</v>
      </c>
      <c r="F66" s="78" t="s">
        <v>338</v>
      </c>
      <c r="G66" s="48" t="s">
        <v>319</v>
      </c>
      <c r="H66" s="53">
        <v>45807</v>
      </c>
      <c r="I66" s="53">
        <v>45888</v>
      </c>
      <c r="J66" s="14">
        <v>233.95299999999997</v>
      </c>
      <c r="K66" s="51" t="s">
        <v>336</v>
      </c>
      <c r="L66" s="12">
        <v>0</v>
      </c>
      <c r="M66" s="13">
        <v>0</v>
      </c>
      <c r="N66" s="12">
        <v>0</v>
      </c>
      <c r="O66" s="13">
        <v>0</v>
      </c>
      <c r="P66" s="12">
        <v>0</v>
      </c>
      <c r="Q66" s="13">
        <v>0</v>
      </c>
      <c r="R66" s="12">
        <v>0</v>
      </c>
      <c r="S66" s="13">
        <v>0</v>
      </c>
      <c r="T66" s="12">
        <v>0</v>
      </c>
      <c r="U66" s="13">
        <v>0</v>
      </c>
      <c r="V66" s="12">
        <v>0</v>
      </c>
      <c r="W66" s="13">
        <v>0</v>
      </c>
      <c r="X66" s="12">
        <v>0</v>
      </c>
      <c r="Y66" s="13">
        <v>0</v>
      </c>
      <c r="Z66" s="12">
        <v>0</v>
      </c>
      <c r="AA66" s="13">
        <v>0</v>
      </c>
      <c r="AB66" s="12">
        <v>233.953</v>
      </c>
      <c r="AC66" s="13">
        <v>0</v>
      </c>
      <c r="AD66" s="12">
        <v>0</v>
      </c>
      <c r="AE66" s="13">
        <v>233.953</v>
      </c>
      <c r="AF66" s="12">
        <v>0</v>
      </c>
      <c r="AG66" s="13">
        <v>0</v>
      </c>
      <c r="AH66" s="12">
        <v>0</v>
      </c>
      <c r="AI66" s="13">
        <v>0</v>
      </c>
      <c r="AJ66" s="12">
        <v>0</v>
      </c>
      <c r="AK66" s="13">
        <v>0</v>
      </c>
      <c r="AL66" s="12">
        <v>0</v>
      </c>
      <c r="AM66" s="13">
        <v>0</v>
      </c>
      <c r="AN66" s="12">
        <v>0</v>
      </c>
      <c r="AO66" s="13">
        <v>0</v>
      </c>
      <c r="AP66" s="12">
        <v>0</v>
      </c>
      <c r="AQ66" s="13">
        <v>0</v>
      </c>
      <c r="AR66" s="12" t="s">
        <v>1496</v>
      </c>
      <c r="AS66" s="13">
        <v>0</v>
      </c>
      <c r="AT66" s="12">
        <v>0</v>
      </c>
      <c r="AU66" s="13">
        <v>0</v>
      </c>
      <c r="AV66" s="12">
        <f>IFERROR(VLOOKUP(E66,[1]Sheet4!$A:$D,4,0),0)</f>
        <v>0</v>
      </c>
      <c r="AW66" s="13">
        <v>0</v>
      </c>
      <c r="AX66" s="12">
        <v>0</v>
      </c>
      <c r="AY66" s="39">
        <v>0</v>
      </c>
      <c r="AZ66" s="12">
        <v>0</v>
      </c>
      <c r="BA66" s="39">
        <v>0</v>
      </c>
      <c r="BB66" s="12">
        <v>0</v>
      </c>
      <c r="BC66" s="39">
        <v>0</v>
      </c>
      <c r="BD66" s="12">
        <f t="shared" si="3"/>
        <v>233.953</v>
      </c>
      <c r="BE66" s="14">
        <f t="shared" si="4"/>
        <v>233.953</v>
      </c>
      <c r="BF66" s="24">
        <f t="shared" si="9"/>
        <v>1</v>
      </c>
      <c r="BG66" s="23">
        <f t="shared" si="10"/>
        <v>1.0000000000000002</v>
      </c>
    </row>
    <row r="67" spans="1:59" ht="18" customHeight="1" x14ac:dyDescent="0.2">
      <c r="A67" s="27" t="str">
        <f t="shared" ref="A67" si="12">IF(MID(D67,4,1)="8","법인","개인")</f>
        <v>개인</v>
      </c>
      <c r="B67" s="27" t="s">
        <v>1559</v>
      </c>
      <c r="C67" s="27" t="s">
        <v>1554</v>
      </c>
      <c r="D67" s="26">
        <v>4080598358</v>
      </c>
      <c r="E67" s="26">
        <v>10037863</v>
      </c>
      <c r="F67" s="25" t="s">
        <v>21</v>
      </c>
      <c r="G67" s="48" t="s">
        <v>1602</v>
      </c>
      <c r="H67" s="53" t="s">
        <v>1601</v>
      </c>
      <c r="I67" s="50"/>
      <c r="J67" s="14">
        <v>299.14582899999999</v>
      </c>
      <c r="K67" s="49" t="s">
        <v>311</v>
      </c>
      <c r="L67" s="12"/>
      <c r="M67" s="13"/>
      <c r="N67" s="12"/>
      <c r="O67" s="13"/>
      <c r="P67" s="12"/>
      <c r="Q67" s="13"/>
      <c r="R67" s="12"/>
      <c r="S67" s="13"/>
      <c r="T67" s="12"/>
      <c r="U67" s="13"/>
      <c r="V67" s="12"/>
      <c r="W67" s="13"/>
      <c r="X67" s="12"/>
      <c r="Y67" s="13"/>
      <c r="Z67" s="12"/>
      <c r="AA67" s="13"/>
      <c r="AB67" s="12"/>
      <c r="AC67" s="13"/>
      <c r="AD67" s="12"/>
      <c r="AE67" s="13"/>
      <c r="AF67" s="12"/>
      <c r="AG67" s="13"/>
      <c r="AH67" s="12"/>
      <c r="AI67" s="13"/>
      <c r="AJ67" s="12"/>
      <c r="AK67" s="13"/>
      <c r="AL67" s="12"/>
      <c r="AM67" s="13"/>
      <c r="AN67" s="12"/>
      <c r="AO67" s="13"/>
      <c r="AP67" s="12"/>
      <c r="AQ67" s="13"/>
      <c r="AR67" s="12"/>
      <c r="AS67" s="13"/>
      <c r="AT67" s="12">
        <v>4.4690000000000003</v>
      </c>
      <c r="AU67" s="13">
        <v>0</v>
      </c>
      <c r="AV67" s="12">
        <v>6.5119999999999996</v>
      </c>
      <c r="AW67" s="13">
        <v>4.4690000000000003</v>
      </c>
      <c r="AX67" s="12">
        <v>7.3339999999999996</v>
      </c>
      <c r="AY67" s="39">
        <v>6.5119999999999996</v>
      </c>
      <c r="AZ67" s="12">
        <v>7.516</v>
      </c>
      <c r="BA67" s="39">
        <v>7.3339999999999996</v>
      </c>
      <c r="BB67" s="12">
        <v>6.61</v>
      </c>
      <c r="BC67" s="39">
        <v>7.516</v>
      </c>
      <c r="BD67" s="12">
        <f t="shared" si="3"/>
        <v>32.440999999999995</v>
      </c>
      <c r="BE67" s="14">
        <f t="shared" si="4"/>
        <v>25.830999999999996</v>
      </c>
      <c r="BF67" s="24">
        <f t="shared" ref="BF67" si="13">BE67/BD67</f>
        <v>0.79624549181591198</v>
      </c>
      <c r="BG67" s="23">
        <f t="shared" si="10"/>
        <v>8.6349189912990551E-2</v>
      </c>
    </row>
    <row r="68" spans="1:59" ht="18" customHeight="1" x14ac:dyDescent="0.2">
      <c r="A68" s="27" t="str">
        <f t="shared" si="2"/>
        <v>개인</v>
      </c>
      <c r="B68" s="27" t="s">
        <v>1559</v>
      </c>
      <c r="C68" s="27" t="s">
        <v>1554</v>
      </c>
      <c r="D68" s="26">
        <v>4080598358</v>
      </c>
      <c r="E68" s="26">
        <v>10037863</v>
      </c>
      <c r="F68" s="78" t="s">
        <v>21</v>
      </c>
      <c r="G68" s="48" t="s">
        <v>321</v>
      </c>
      <c r="H68" s="53">
        <v>45740</v>
      </c>
      <c r="I68" s="50">
        <v>45740</v>
      </c>
      <c r="J68" s="14">
        <v>100.053</v>
      </c>
      <c r="K68" s="49" t="s">
        <v>311</v>
      </c>
      <c r="L68" s="12">
        <v>0</v>
      </c>
      <c r="M68" s="13">
        <v>0</v>
      </c>
      <c r="N68" s="12">
        <v>0</v>
      </c>
      <c r="O68" s="13">
        <v>0</v>
      </c>
      <c r="P68" s="12">
        <v>0</v>
      </c>
      <c r="Q68" s="13">
        <v>0</v>
      </c>
      <c r="R68" s="12">
        <v>100.053</v>
      </c>
      <c r="S68" s="13">
        <v>0</v>
      </c>
      <c r="T68" s="12">
        <v>0</v>
      </c>
      <c r="U68" s="13">
        <v>33.299999999999997</v>
      </c>
      <c r="V68" s="12">
        <v>0</v>
      </c>
      <c r="W68" s="13">
        <v>33.299999999999997</v>
      </c>
      <c r="X68" s="12">
        <v>0</v>
      </c>
      <c r="Y68" s="13">
        <v>33.453000000000003</v>
      </c>
      <c r="Z68" s="12">
        <v>0</v>
      </c>
      <c r="AA68" s="13">
        <v>0</v>
      </c>
      <c r="AB68" s="12">
        <v>0</v>
      </c>
      <c r="AC68" s="13">
        <v>0</v>
      </c>
      <c r="AD68" s="12">
        <v>0</v>
      </c>
      <c r="AE68" s="13">
        <v>0</v>
      </c>
      <c r="AF68" s="12">
        <v>0</v>
      </c>
      <c r="AG68" s="13">
        <v>0</v>
      </c>
      <c r="AH68" s="12">
        <v>0</v>
      </c>
      <c r="AI68" s="13">
        <v>0</v>
      </c>
      <c r="AJ68" s="12">
        <v>0</v>
      </c>
      <c r="AK68" s="13">
        <v>0</v>
      </c>
      <c r="AL68" s="12">
        <v>0</v>
      </c>
      <c r="AM68" s="13">
        <v>0</v>
      </c>
      <c r="AN68" s="12">
        <v>0</v>
      </c>
      <c r="AO68" s="13">
        <v>0</v>
      </c>
      <c r="AP68" s="12">
        <v>0</v>
      </c>
      <c r="AQ68" s="13">
        <v>0</v>
      </c>
      <c r="AR68" s="12" t="s">
        <v>1496</v>
      </c>
      <c r="AS68" s="13">
        <v>0</v>
      </c>
      <c r="AT68" s="12"/>
      <c r="AU68" s="13"/>
      <c r="AV68" s="12"/>
      <c r="AW68" s="13"/>
      <c r="AX68" s="12"/>
      <c r="AY68" s="39"/>
      <c r="AZ68" s="12"/>
      <c r="BA68" s="39"/>
      <c r="BB68" s="12">
        <v>0</v>
      </c>
      <c r="BC68" s="39">
        <v>0</v>
      </c>
      <c r="BD68" s="12">
        <f t="shared" si="3"/>
        <v>100.053</v>
      </c>
      <c r="BE68" s="14">
        <f t="shared" si="4"/>
        <v>100.053</v>
      </c>
      <c r="BF68" s="24">
        <f t="shared" si="9"/>
        <v>1</v>
      </c>
      <c r="BG68" s="23">
        <f t="shared" si="10"/>
        <v>1</v>
      </c>
    </row>
    <row r="69" spans="1:59" ht="18" customHeight="1" x14ac:dyDescent="0.2">
      <c r="A69" s="27" t="str">
        <f t="shared" si="2"/>
        <v>개인</v>
      </c>
      <c r="B69" s="27" t="s">
        <v>1555</v>
      </c>
      <c r="C69" s="27" t="s">
        <v>1554</v>
      </c>
      <c r="D69" s="26">
        <v>4092331145</v>
      </c>
      <c r="E69" s="26">
        <v>10038000</v>
      </c>
      <c r="F69" s="78" t="s">
        <v>105</v>
      </c>
      <c r="G69" s="48" t="s">
        <v>320</v>
      </c>
      <c r="H69" s="53">
        <v>45943</v>
      </c>
      <c r="I69" s="50">
        <v>45972</v>
      </c>
      <c r="J69" s="14">
        <v>378.15</v>
      </c>
      <c r="K69" s="49" t="s">
        <v>311</v>
      </c>
      <c r="L69" s="12">
        <v>0</v>
      </c>
      <c r="M69" s="13">
        <v>0</v>
      </c>
      <c r="N69" s="12">
        <v>0</v>
      </c>
      <c r="O69" s="13">
        <v>0</v>
      </c>
      <c r="P69" s="12">
        <v>0</v>
      </c>
      <c r="Q69" s="13">
        <v>0</v>
      </c>
      <c r="R69" s="12">
        <v>0</v>
      </c>
      <c r="S69" s="13">
        <v>0</v>
      </c>
      <c r="T69" s="12">
        <v>0</v>
      </c>
      <c r="U69" s="13">
        <v>0</v>
      </c>
      <c r="V69" s="12">
        <v>0</v>
      </c>
      <c r="W69" s="13">
        <v>0</v>
      </c>
      <c r="X69" s="12">
        <v>0</v>
      </c>
      <c r="Y69" s="13">
        <v>0</v>
      </c>
      <c r="Z69" s="12">
        <v>0</v>
      </c>
      <c r="AA69" s="13">
        <v>0</v>
      </c>
      <c r="AB69" s="12">
        <v>0</v>
      </c>
      <c r="AC69" s="13">
        <v>0</v>
      </c>
      <c r="AD69" s="12">
        <v>0</v>
      </c>
      <c r="AE69" s="13">
        <v>0</v>
      </c>
      <c r="AF69" s="12">
        <v>0</v>
      </c>
      <c r="AG69" s="13">
        <v>0</v>
      </c>
      <c r="AH69" s="12">
        <v>378.15</v>
      </c>
      <c r="AI69" s="13">
        <v>0</v>
      </c>
      <c r="AJ69" s="12">
        <v>0</v>
      </c>
      <c r="AK69" s="13">
        <v>378.15</v>
      </c>
      <c r="AL69" s="12">
        <v>0</v>
      </c>
      <c r="AM69" s="13">
        <v>0</v>
      </c>
      <c r="AN69" s="12">
        <v>0</v>
      </c>
      <c r="AO69" s="13">
        <v>0</v>
      </c>
      <c r="AP69" s="12">
        <v>0</v>
      </c>
      <c r="AQ69" s="13">
        <v>0</v>
      </c>
      <c r="AR69" s="12" t="s">
        <v>1496</v>
      </c>
      <c r="AS69" s="13">
        <v>0</v>
      </c>
      <c r="AT69" s="12">
        <v>0</v>
      </c>
      <c r="AU69" s="13">
        <v>0</v>
      </c>
      <c r="AV69" s="12">
        <f>IFERROR(VLOOKUP(E69,[1]Sheet4!$A:$D,4,0),0)</f>
        <v>0</v>
      </c>
      <c r="AW69" s="13">
        <v>0</v>
      </c>
      <c r="AX69" s="12">
        <v>0</v>
      </c>
      <c r="AY69" s="39">
        <v>0</v>
      </c>
      <c r="AZ69" s="12">
        <v>0</v>
      </c>
      <c r="BA69" s="39">
        <v>0</v>
      </c>
      <c r="BB69" s="12">
        <v>21.78</v>
      </c>
      <c r="BC69" s="39">
        <v>0</v>
      </c>
      <c r="BD69" s="12">
        <f t="shared" si="3"/>
        <v>399.92999999999995</v>
      </c>
      <c r="BE69" s="14">
        <f t="shared" si="4"/>
        <v>378.15</v>
      </c>
      <c r="BF69" s="24">
        <f t="shared" si="9"/>
        <v>0.94554046958217697</v>
      </c>
      <c r="BG69" s="23">
        <f t="shared" si="10"/>
        <v>1</v>
      </c>
    </row>
    <row r="70" spans="1:59" ht="18" customHeight="1" x14ac:dyDescent="0.2">
      <c r="A70" s="27" t="str">
        <f t="shared" si="2"/>
        <v>개인</v>
      </c>
      <c r="B70" s="27" t="s">
        <v>1569</v>
      </c>
      <c r="C70" s="27" t="s">
        <v>1554</v>
      </c>
      <c r="D70" s="26">
        <v>4099047917</v>
      </c>
      <c r="E70" s="26">
        <v>10038047</v>
      </c>
      <c r="F70" s="78" t="s">
        <v>18</v>
      </c>
      <c r="G70" s="48" t="s">
        <v>321</v>
      </c>
      <c r="H70" s="53">
        <v>45700</v>
      </c>
      <c r="I70" s="50">
        <v>45700</v>
      </c>
      <c r="J70" s="14">
        <v>215.12718999999998</v>
      </c>
      <c r="K70" s="49" t="s">
        <v>311</v>
      </c>
      <c r="L70" s="12">
        <v>0</v>
      </c>
      <c r="M70" s="13">
        <v>0</v>
      </c>
      <c r="N70" s="12">
        <v>0</v>
      </c>
      <c r="O70" s="13">
        <v>0</v>
      </c>
      <c r="P70" s="12">
        <v>215.12719000000001</v>
      </c>
      <c r="Q70" s="13">
        <v>0</v>
      </c>
      <c r="R70" s="12">
        <v>0</v>
      </c>
      <c r="S70" s="13">
        <v>72</v>
      </c>
      <c r="T70" s="12">
        <v>0</v>
      </c>
      <c r="U70" s="13">
        <v>72</v>
      </c>
      <c r="V70" s="12">
        <v>0</v>
      </c>
      <c r="W70" s="13">
        <v>71.127189999999999</v>
      </c>
      <c r="X70" s="12">
        <v>0</v>
      </c>
      <c r="Y70" s="13">
        <v>0</v>
      </c>
      <c r="Z70" s="12">
        <v>0</v>
      </c>
      <c r="AA70" s="13">
        <v>0</v>
      </c>
      <c r="AB70" s="12">
        <v>0</v>
      </c>
      <c r="AC70" s="13">
        <v>0</v>
      </c>
      <c r="AD70" s="12">
        <v>0</v>
      </c>
      <c r="AE70" s="13">
        <v>0</v>
      </c>
      <c r="AF70" s="12">
        <v>0</v>
      </c>
      <c r="AG70" s="13">
        <v>0</v>
      </c>
      <c r="AH70" s="12">
        <v>0</v>
      </c>
      <c r="AI70" s="13">
        <v>0</v>
      </c>
      <c r="AJ70" s="12">
        <v>0</v>
      </c>
      <c r="AK70" s="13">
        <v>0</v>
      </c>
      <c r="AL70" s="12">
        <v>0</v>
      </c>
      <c r="AM70" s="13">
        <v>0</v>
      </c>
      <c r="AN70" s="12">
        <v>0</v>
      </c>
      <c r="AO70" s="13">
        <v>0</v>
      </c>
      <c r="AP70" s="12">
        <v>0</v>
      </c>
      <c r="AQ70" s="13">
        <v>0</v>
      </c>
      <c r="AR70" s="12" t="s">
        <v>1496</v>
      </c>
      <c r="AS70" s="13">
        <v>0</v>
      </c>
      <c r="AT70" s="12">
        <v>0</v>
      </c>
      <c r="AU70" s="13">
        <v>0</v>
      </c>
      <c r="AV70" s="12">
        <f>IFERROR(VLOOKUP(E70,[1]Sheet4!$A:$D,4,0),0)</f>
        <v>0</v>
      </c>
      <c r="AW70" s="13">
        <v>0</v>
      </c>
      <c r="AX70" s="12">
        <v>0</v>
      </c>
      <c r="AY70" s="39">
        <v>0</v>
      </c>
      <c r="AZ70" s="12">
        <v>0</v>
      </c>
      <c r="BA70" s="39">
        <v>0</v>
      </c>
      <c r="BB70" s="12">
        <v>0</v>
      </c>
      <c r="BC70" s="39">
        <v>0</v>
      </c>
      <c r="BD70" s="12">
        <f t="shared" ref="BD70:BD133" si="14">SUM(AN70,AL70,AJ70,AH70,AF70,AD70,AB70,Z70,X70,V70,T70,R70,P70,N70,L70,AP70,AR70,AT70,AV70,AX70,AZ70,BB70)</f>
        <v>215.12719000000001</v>
      </c>
      <c r="BE70" s="14">
        <f t="shared" ref="BE70:BE133" si="15">SUM(AM70,AK70,AI70,AG70,AE70,AC70,AA70,Y70,W70,U70,S70,Q70,O70,M70,AO70,AQ70,AS70,AU70,AW70,AY70,BA70,BC70)</f>
        <v>215.12718999999998</v>
      </c>
      <c r="BF70" s="24">
        <f t="shared" si="9"/>
        <v>0.99999999999999989</v>
      </c>
      <c r="BG70" s="23">
        <f t="shared" si="10"/>
        <v>1</v>
      </c>
    </row>
    <row r="71" spans="1:59" ht="18" customHeight="1" x14ac:dyDescent="0.2">
      <c r="A71" s="27" t="str">
        <f t="shared" si="2"/>
        <v>개인</v>
      </c>
      <c r="B71" s="27" t="s">
        <v>1558</v>
      </c>
      <c r="C71" s="27" t="s">
        <v>1554</v>
      </c>
      <c r="D71" s="26">
        <v>4101186287</v>
      </c>
      <c r="E71" s="26">
        <v>10038116</v>
      </c>
      <c r="F71" s="78" t="s">
        <v>4</v>
      </c>
      <c r="G71" s="48" t="s">
        <v>319</v>
      </c>
      <c r="H71" s="53"/>
      <c r="I71" s="53">
        <v>45596</v>
      </c>
      <c r="J71" s="14">
        <v>180.57155</v>
      </c>
      <c r="K71" s="49" t="s">
        <v>318</v>
      </c>
      <c r="L71" s="12">
        <v>180.57155</v>
      </c>
      <c r="M71" s="13">
        <v>0</v>
      </c>
      <c r="N71" s="12">
        <v>0</v>
      </c>
      <c r="O71" s="13">
        <v>0</v>
      </c>
      <c r="P71" s="12">
        <v>0</v>
      </c>
      <c r="Q71" s="13">
        <v>180.57155</v>
      </c>
      <c r="R71" s="12">
        <v>0</v>
      </c>
      <c r="S71" s="13">
        <v>0</v>
      </c>
      <c r="T71" s="12">
        <v>0</v>
      </c>
      <c r="U71" s="13">
        <v>0</v>
      </c>
      <c r="V71" s="12">
        <v>0</v>
      </c>
      <c r="W71" s="13">
        <v>0</v>
      </c>
      <c r="X71" s="12">
        <v>0</v>
      </c>
      <c r="Y71" s="13">
        <v>0</v>
      </c>
      <c r="Z71" s="12">
        <v>0</v>
      </c>
      <c r="AA71" s="13">
        <v>0</v>
      </c>
      <c r="AB71" s="12">
        <v>0</v>
      </c>
      <c r="AC71" s="13">
        <v>0</v>
      </c>
      <c r="AD71" s="12">
        <v>0</v>
      </c>
      <c r="AE71" s="13">
        <v>0</v>
      </c>
      <c r="AF71" s="12">
        <v>0</v>
      </c>
      <c r="AG71" s="13">
        <v>0</v>
      </c>
      <c r="AH71" s="12">
        <v>0</v>
      </c>
      <c r="AI71" s="13">
        <v>0</v>
      </c>
      <c r="AJ71" s="12">
        <v>0</v>
      </c>
      <c r="AK71" s="13">
        <v>0</v>
      </c>
      <c r="AL71" s="12">
        <v>0</v>
      </c>
      <c r="AM71" s="13">
        <v>0</v>
      </c>
      <c r="AN71" s="12">
        <v>0</v>
      </c>
      <c r="AO71" s="13">
        <v>0</v>
      </c>
      <c r="AP71" s="12">
        <v>0</v>
      </c>
      <c r="AQ71" s="13">
        <v>0</v>
      </c>
      <c r="AR71" s="12" t="s">
        <v>1496</v>
      </c>
      <c r="AS71" s="13">
        <v>0</v>
      </c>
      <c r="AT71" s="12">
        <v>0</v>
      </c>
      <c r="AU71" s="13">
        <v>0</v>
      </c>
      <c r="AV71" s="12">
        <f>IFERROR(VLOOKUP(E71,[1]Sheet4!$A:$D,4,0),0)</f>
        <v>0</v>
      </c>
      <c r="AW71" s="13">
        <v>0</v>
      </c>
      <c r="AX71" s="12">
        <v>0</v>
      </c>
      <c r="AY71" s="39">
        <v>0</v>
      </c>
      <c r="AZ71" s="12">
        <v>0</v>
      </c>
      <c r="BA71" s="39">
        <v>0</v>
      </c>
      <c r="BB71" s="12">
        <v>0</v>
      </c>
      <c r="BC71" s="39">
        <v>0</v>
      </c>
      <c r="BD71" s="12">
        <f t="shared" si="14"/>
        <v>180.57155</v>
      </c>
      <c r="BE71" s="14">
        <f t="shared" si="15"/>
        <v>180.57155</v>
      </c>
      <c r="BF71" s="24">
        <f t="shared" si="9"/>
        <v>1</v>
      </c>
      <c r="BG71" s="23">
        <f t="shared" si="10"/>
        <v>1</v>
      </c>
    </row>
    <row r="72" spans="1:59" ht="18" customHeight="1" x14ac:dyDescent="0.2">
      <c r="A72" s="27" t="str">
        <f t="shared" ref="A72:A136" si="16">IF(MID(D72,4,1)="8","법인","개인")</f>
        <v>법인</v>
      </c>
      <c r="B72" s="27" t="s">
        <v>1572</v>
      </c>
      <c r="C72" s="27" t="s">
        <v>1496</v>
      </c>
      <c r="D72" s="26">
        <v>4118204274</v>
      </c>
      <c r="E72" s="26">
        <v>10038298</v>
      </c>
      <c r="F72" s="78" t="s">
        <v>28</v>
      </c>
      <c r="G72" s="48" t="s">
        <v>321</v>
      </c>
      <c r="H72" s="53">
        <v>45754</v>
      </c>
      <c r="I72" s="50">
        <v>45754</v>
      </c>
      <c r="J72" s="14">
        <v>170.792</v>
      </c>
      <c r="K72" s="49" t="s">
        <v>311</v>
      </c>
      <c r="L72" s="12">
        <v>0</v>
      </c>
      <c r="M72" s="13">
        <v>0</v>
      </c>
      <c r="N72" s="12">
        <v>0</v>
      </c>
      <c r="O72" s="13">
        <v>0</v>
      </c>
      <c r="P72" s="12">
        <v>0</v>
      </c>
      <c r="Q72" s="13">
        <v>0</v>
      </c>
      <c r="R72" s="12">
        <v>0</v>
      </c>
      <c r="S72" s="13">
        <v>0</v>
      </c>
      <c r="T72" s="12">
        <v>170.792</v>
      </c>
      <c r="U72" s="13">
        <v>0</v>
      </c>
      <c r="V72" s="12">
        <v>0</v>
      </c>
      <c r="W72" s="13">
        <v>56.932000000000002</v>
      </c>
      <c r="X72" s="12">
        <v>0</v>
      </c>
      <c r="Y72" s="13">
        <v>56.93</v>
      </c>
      <c r="Z72" s="12">
        <v>0</v>
      </c>
      <c r="AA72" s="13">
        <v>56.93</v>
      </c>
      <c r="AB72" s="12">
        <v>0</v>
      </c>
      <c r="AC72" s="13">
        <v>0</v>
      </c>
      <c r="AD72" s="12">
        <v>0</v>
      </c>
      <c r="AE72" s="13">
        <v>0</v>
      </c>
      <c r="AF72" s="12">
        <v>0</v>
      </c>
      <c r="AG72" s="13">
        <v>0</v>
      </c>
      <c r="AH72" s="12">
        <v>0</v>
      </c>
      <c r="AI72" s="13">
        <v>0</v>
      </c>
      <c r="AJ72" s="12">
        <v>0</v>
      </c>
      <c r="AK72" s="13">
        <v>0</v>
      </c>
      <c r="AL72" s="12">
        <v>0</v>
      </c>
      <c r="AM72" s="13">
        <v>0</v>
      </c>
      <c r="AN72" s="12">
        <v>0</v>
      </c>
      <c r="AO72" s="13">
        <v>0</v>
      </c>
      <c r="AP72" s="12">
        <v>0</v>
      </c>
      <c r="AQ72" s="13">
        <v>0</v>
      </c>
      <c r="AR72" s="12" t="s">
        <v>1496</v>
      </c>
      <c r="AS72" s="13">
        <v>0</v>
      </c>
      <c r="AT72" s="12">
        <v>0</v>
      </c>
      <c r="AU72" s="13">
        <v>0</v>
      </c>
      <c r="AV72" s="12">
        <f>IFERROR(VLOOKUP(E72,[1]Sheet4!$A:$D,4,0),0)</f>
        <v>0</v>
      </c>
      <c r="AW72" s="13">
        <v>0</v>
      </c>
      <c r="AX72" s="12">
        <v>0</v>
      </c>
      <c r="AY72" s="39">
        <v>0</v>
      </c>
      <c r="AZ72" s="12">
        <v>0</v>
      </c>
      <c r="BA72" s="39">
        <v>0</v>
      </c>
      <c r="BB72" s="12">
        <v>0</v>
      </c>
      <c r="BC72" s="39">
        <v>0</v>
      </c>
      <c r="BD72" s="12">
        <f t="shared" si="14"/>
        <v>170.792</v>
      </c>
      <c r="BE72" s="14">
        <f t="shared" si="15"/>
        <v>170.792</v>
      </c>
      <c r="BF72" s="24">
        <f t="shared" si="9"/>
        <v>1</v>
      </c>
      <c r="BG72" s="23">
        <f t="shared" si="10"/>
        <v>1</v>
      </c>
    </row>
    <row r="73" spans="1:59" ht="18" customHeight="1" x14ac:dyDescent="0.2">
      <c r="A73" s="27" t="str">
        <f t="shared" si="16"/>
        <v>법인</v>
      </c>
      <c r="B73" s="27" t="s">
        <v>1559</v>
      </c>
      <c r="C73" s="27" t="s">
        <v>1496</v>
      </c>
      <c r="D73" s="26">
        <v>4118210102</v>
      </c>
      <c r="E73" s="26">
        <v>10038304</v>
      </c>
      <c r="F73" s="78" t="s">
        <v>2</v>
      </c>
      <c r="G73" s="48" t="s">
        <v>319</v>
      </c>
      <c r="H73" s="53"/>
      <c r="I73" s="53">
        <v>45565</v>
      </c>
      <c r="J73" s="14">
        <v>140.11969999999999</v>
      </c>
      <c r="K73" s="49" t="s">
        <v>318</v>
      </c>
      <c r="L73" s="12">
        <v>140.11969999999999</v>
      </c>
      <c r="M73" s="13">
        <v>0</v>
      </c>
      <c r="N73" s="12">
        <v>0</v>
      </c>
      <c r="O73" s="13">
        <v>0</v>
      </c>
      <c r="P73" s="12">
        <v>0</v>
      </c>
      <c r="Q73" s="13">
        <v>140.11969999999999</v>
      </c>
      <c r="R73" s="12">
        <v>0</v>
      </c>
      <c r="S73" s="13">
        <v>0</v>
      </c>
      <c r="T73" s="12">
        <v>0</v>
      </c>
      <c r="U73" s="13">
        <v>0</v>
      </c>
      <c r="V73" s="12">
        <v>0</v>
      </c>
      <c r="W73" s="13">
        <v>0</v>
      </c>
      <c r="X73" s="12">
        <v>0</v>
      </c>
      <c r="Y73" s="13">
        <v>0</v>
      </c>
      <c r="Z73" s="12">
        <v>0</v>
      </c>
      <c r="AA73" s="13">
        <v>0</v>
      </c>
      <c r="AB73" s="12">
        <v>0</v>
      </c>
      <c r="AC73" s="13">
        <v>0</v>
      </c>
      <c r="AD73" s="12">
        <v>0</v>
      </c>
      <c r="AE73" s="13">
        <v>0</v>
      </c>
      <c r="AF73" s="12">
        <v>0</v>
      </c>
      <c r="AG73" s="13">
        <v>0</v>
      </c>
      <c r="AH73" s="12">
        <v>0</v>
      </c>
      <c r="AI73" s="13">
        <v>0</v>
      </c>
      <c r="AJ73" s="12">
        <v>0</v>
      </c>
      <c r="AK73" s="13">
        <v>0</v>
      </c>
      <c r="AL73" s="12">
        <v>0</v>
      </c>
      <c r="AM73" s="13">
        <v>0</v>
      </c>
      <c r="AN73" s="12">
        <v>0</v>
      </c>
      <c r="AO73" s="13">
        <v>0</v>
      </c>
      <c r="AP73" s="12">
        <v>0</v>
      </c>
      <c r="AQ73" s="13">
        <v>0</v>
      </c>
      <c r="AR73" s="12" t="s">
        <v>1496</v>
      </c>
      <c r="AS73" s="13">
        <v>0</v>
      </c>
      <c r="AT73" s="12">
        <v>0</v>
      </c>
      <c r="AU73" s="13">
        <v>0</v>
      </c>
      <c r="AV73" s="12">
        <f>IFERROR(VLOOKUP(E73,[1]Sheet4!$A:$D,4,0),0)</f>
        <v>0</v>
      </c>
      <c r="AW73" s="13">
        <v>0</v>
      </c>
      <c r="AX73" s="12">
        <v>0</v>
      </c>
      <c r="AY73" s="39">
        <v>0</v>
      </c>
      <c r="AZ73" s="12">
        <v>0</v>
      </c>
      <c r="BA73" s="39">
        <v>0</v>
      </c>
      <c r="BB73" s="12">
        <v>0</v>
      </c>
      <c r="BC73" s="39">
        <v>0</v>
      </c>
      <c r="BD73" s="12">
        <f t="shared" si="14"/>
        <v>140.11969999999999</v>
      </c>
      <c r="BE73" s="14">
        <f t="shared" si="15"/>
        <v>140.11969999999999</v>
      </c>
      <c r="BF73" s="24">
        <f t="shared" si="9"/>
        <v>1</v>
      </c>
      <c r="BG73" s="23">
        <f t="shared" si="10"/>
        <v>1</v>
      </c>
    </row>
    <row r="74" spans="1:59" ht="18" customHeight="1" x14ac:dyDescent="0.2">
      <c r="A74" s="27" t="str">
        <f t="shared" si="16"/>
        <v>법인</v>
      </c>
      <c r="B74" s="27" t="s">
        <v>1578</v>
      </c>
      <c r="C74" s="27" t="s">
        <v>1496</v>
      </c>
      <c r="D74" s="26">
        <v>4158200659</v>
      </c>
      <c r="E74" s="26">
        <v>10038434</v>
      </c>
      <c r="F74" s="78" t="s">
        <v>71</v>
      </c>
      <c r="G74" s="48" t="s">
        <v>320</v>
      </c>
      <c r="H74" s="53">
        <v>45847</v>
      </c>
      <c r="I74" s="50">
        <v>45916</v>
      </c>
      <c r="J74" s="14">
        <v>715.86900000000003</v>
      </c>
      <c r="K74" s="49" t="s">
        <v>311</v>
      </c>
      <c r="L74" s="12">
        <v>0</v>
      </c>
      <c r="M74" s="13">
        <v>0</v>
      </c>
      <c r="N74" s="12">
        <v>0</v>
      </c>
      <c r="O74" s="13">
        <v>0</v>
      </c>
      <c r="P74" s="12">
        <v>0</v>
      </c>
      <c r="Q74" s="13">
        <v>0</v>
      </c>
      <c r="R74" s="12">
        <v>0</v>
      </c>
      <c r="S74" s="13">
        <v>0</v>
      </c>
      <c r="T74" s="12">
        <v>0</v>
      </c>
      <c r="U74" s="13">
        <v>0</v>
      </c>
      <c r="V74" s="12">
        <v>0</v>
      </c>
      <c r="W74" s="13">
        <v>0</v>
      </c>
      <c r="X74" s="12">
        <v>0</v>
      </c>
      <c r="Y74" s="13">
        <v>0</v>
      </c>
      <c r="Z74" s="12">
        <v>0</v>
      </c>
      <c r="AA74" s="13">
        <v>0</v>
      </c>
      <c r="AB74" s="12">
        <v>0</v>
      </c>
      <c r="AC74" s="13">
        <v>0</v>
      </c>
      <c r="AD74" s="12">
        <v>715.86900000000003</v>
      </c>
      <c r="AE74" s="13">
        <v>0</v>
      </c>
      <c r="AF74" s="12">
        <v>0</v>
      </c>
      <c r="AG74" s="13">
        <v>0</v>
      </c>
      <c r="AH74" s="12">
        <v>0</v>
      </c>
      <c r="AI74" s="13">
        <v>715.86900000000003</v>
      </c>
      <c r="AJ74" s="12">
        <v>0</v>
      </c>
      <c r="AK74" s="13">
        <v>0</v>
      </c>
      <c r="AL74" s="12">
        <v>0</v>
      </c>
      <c r="AM74" s="13">
        <v>0</v>
      </c>
      <c r="AN74" s="12">
        <v>0</v>
      </c>
      <c r="AO74" s="13">
        <v>0</v>
      </c>
      <c r="AP74" s="12">
        <v>0</v>
      </c>
      <c r="AQ74" s="13">
        <v>0</v>
      </c>
      <c r="AR74" s="12" t="s">
        <v>1496</v>
      </c>
      <c r="AS74" s="13">
        <v>0</v>
      </c>
      <c r="AT74" s="12">
        <v>0</v>
      </c>
      <c r="AU74" s="13">
        <v>0</v>
      </c>
      <c r="AV74" s="12">
        <f>IFERROR(VLOOKUP(E74,[1]Sheet4!$A:$D,4,0),0)</f>
        <v>0</v>
      </c>
      <c r="AW74" s="13">
        <v>0</v>
      </c>
      <c r="AX74" s="12">
        <v>0</v>
      </c>
      <c r="AY74" s="39">
        <v>0</v>
      </c>
      <c r="AZ74" s="12">
        <v>0</v>
      </c>
      <c r="BA74" s="39">
        <v>0</v>
      </c>
      <c r="BB74" s="12">
        <v>0</v>
      </c>
      <c r="BC74" s="39">
        <v>0</v>
      </c>
      <c r="BD74" s="12">
        <f t="shared" si="14"/>
        <v>715.86900000000003</v>
      </c>
      <c r="BE74" s="14">
        <f t="shared" si="15"/>
        <v>715.86900000000003</v>
      </c>
      <c r="BF74" s="24">
        <f t="shared" si="9"/>
        <v>1</v>
      </c>
      <c r="BG74" s="23">
        <f t="shared" si="10"/>
        <v>1</v>
      </c>
    </row>
    <row r="75" spans="1:59" ht="18" customHeight="1" x14ac:dyDescent="0.2">
      <c r="A75" s="27" t="s">
        <v>1598</v>
      </c>
      <c r="B75" s="27" t="s">
        <v>1573</v>
      </c>
      <c r="C75" s="27" t="s">
        <v>1496</v>
      </c>
      <c r="D75" s="26">
        <v>4178204011</v>
      </c>
      <c r="E75" s="26">
        <v>10038606</v>
      </c>
      <c r="F75" s="25" t="s">
        <v>1502</v>
      </c>
      <c r="G75" s="48" t="s">
        <v>1477</v>
      </c>
      <c r="H75" s="53" t="s">
        <v>1603</v>
      </c>
      <c r="I75" s="50"/>
      <c r="J75" s="14">
        <v>786.70207000000005</v>
      </c>
      <c r="K75" s="49" t="s">
        <v>311</v>
      </c>
      <c r="L75" s="12"/>
      <c r="M75" s="13"/>
      <c r="N75" s="12"/>
      <c r="O75" s="13"/>
      <c r="P75" s="12"/>
      <c r="Q75" s="13"/>
      <c r="R75" s="12"/>
      <c r="S75" s="13"/>
      <c r="T75" s="12"/>
      <c r="U75" s="13"/>
      <c r="V75" s="12"/>
      <c r="W75" s="13"/>
      <c r="X75" s="12"/>
      <c r="Y75" s="13"/>
      <c r="Z75" s="12"/>
      <c r="AA75" s="13"/>
      <c r="AB75" s="12"/>
      <c r="AC75" s="13"/>
      <c r="AD75" s="12"/>
      <c r="AE75" s="13"/>
      <c r="AF75" s="12"/>
      <c r="AG75" s="13"/>
      <c r="AH75" s="12"/>
      <c r="AI75" s="13"/>
      <c r="AJ75" s="12"/>
      <c r="AK75" s="13"/>
      <c r="AL75" s="12"/>
      <c r="AM75" s="13"/>
      <c r="AN75" s="12"/>
      <c r="AO75" s="13"/>
      <c r="AP75" s="12"/>
      <c r="AQ75" s="13"/>
      <c r="AR75" s="12"/>
      <c r="AS75" s="13"/>
      <c r="AT75" s="12">
        <v>10.734</v>
      </c>
      <c r="AU75" s="13">
        <v>0</v>
      </c>
      <c r="AV75" s="12">
        <f>IFERROR(VLOOKUP(E75,[1]Sheet4!$A:$D,4,0),0)</f>
        <v>14.428000000000001</v>
      </c>
      <c r="AW75" s="13">
        <v>10.734</v>
      </c>
      <c r="AX75" s="12">
        <v>11.959</v>
      </c>
      <c r="AY75" s="39">
        <v>14.428000000000001</v>
      </c>
      <c r="AZ75" s="12">
        <v>13.728</v>
      </c>
      <c r="BA75" s="39">
        <v>11.959</v>
      </c>
      <c r="BB75" s="12">
        <v>9.9179999999999993</v>
      </c>
      <c r="BC75" s="39">
        <v>13.728</v>
      </c>
      <c r="BD75" s="12">
        <f t="shared" si="14"/>
        <v>60.766999999999996</v>
      </c>
      <c r="BE75" s="14">
        <f t="shared" si="15"/>
        <v>50.848999999999997</v>
      </c>
      <c r="BF75" s="24">
        <f t="shared" ref="BF75" si="17">BE75/BD75</f>
        <v>0.83678641367847684</v>
      </c>
      <c r="BG75" s="23">
        <f t="shared" si="10"/>
        <v>6.4635650443884043E-2</v>
      </c>
    </row>
    <row r="76" spans="1:59" ht="18" customHeight="1" x14ac:dyDescent="0.2">
      <c r="A76" s="27" t="str">
        <f t="shared" si="16"/>
        <v>법인</v>
      </c>
      <c r="B76" s="27" t="s">
        <v>1573</v>
      </c>
      <c r="C76" s="27" t="s">
        <v>1496</v>
      </c>
      <c r="D76" s="26">
        <v>4178204011</v>
      </c>
      <c r="E76" s="26">
        <v>10038606</v>
      </c>
      <c r="F76" s="78" t="s">
        <v>337</v>
      </c>
      <c r="G76" s="48" t="s">
        <v>319</v>
      </c>
      <c r="H76" s="53">
        <v>45664</v>
      </c>
      <c r="I76" s="50">
        <v>45664</v>
      </c>
      <c r="J76" s="14">
        <v>139.36750000000001</v>
      </c>
      <c r="K76" s="51" t="s">
        <v>332</v>
      </c>
      <c r="L76" s="12">
        <v>0</v>
      </c>
      <c r="M76" s="13">
        <v>0</v>
      </c>
      <c r="N76" s="12">
        <v>139.36750000000001</v>
      </c>
      <c r="O76" s="13">
        <v>0</v>
      </c>
      <c r="P76" s="12">
        <v>0</v>
      </c>
      <c r="Q76" s="13">
        <v>0</v>
      </c>
      <c r="R76" s="12">
        <v>0</v>
      </c>
      <c r="S76" s="13">
        <v>0</v>
      </c>
      <c r="T76" s="12">
        <v>0</v>
      </c>
      <c r="U76" s="13">
        <v>0</v>
      </c>
      <c r="V76" s="12">
        <v>0</v>
      </c>
      <c r="W76" s="13">
        <v>0</v>
      </c>
      <c r="X76" s="12">
        <v>0</v>
      </c>
      <c r="Y76" s="13">
        <v>79</v>
      </c>
      <c r="Z76" s="12">
        <v>0</v>
      </c>
      <c r="AA76" s="13">
        <v>30.3675</v>
      </c>
      <c r="AB76" s="12">
        <v>0</v>
      </c>
      <c r="AC76" s="13">
        <v>0</v>
      </c>
      <c r="AD76" s="12">
        <v>0</v>
      </c>
      <c r="AE76" s="13">
        <v>30</v>
      </c>
      <c r="AF76" s="12">
        <v>0</v>
      </c>
      <c r="AG76" s="13">
        <v>0</v>
      </c>
      <c r="AH76" s="12">
        <v>0</v>
      </c>
      <c r="AI76" s="13">
        <v>0</v>
      </c>
      <c r="AJ76" s="12">
        <v>0</v>
      </c>
      <c r="AK76" s="13">
        <v>0</v>
      </c>
      <c r="AL76" s="12">
        <v>0</v>
      </c>
      <c r="AM76" s="13">
        <v>0</v>
      </c>
      <c r="AN76" s="12">
        <v>0</v>
      </c>
      <c r="AO76" s="13">
        <v>0</v>
      </c>
      <c r="AP76" s="12">
        <v>0</v>
      </c>
      <c r="AQ76" s="13">
        <v>0</v>
      </c>
      <c r="AR76" s="12" t="s">
        <v>1496</v>
      </c>
      <c r="AS76" s="13">
        <v>0</v>
      </c>
      <c r="AT76" s="12"/>
      <c r="AU76" s="13"/>
      <c r="AV76" s="12"/>
      <c r="AW76" s="13"/>
      <c r="AX76" s="12"/>
      <c r="AY76" s="39"/>
      <c r="AZ76" s="12"/>
      <c r="BA76" s="39"/>
      <c r="BB76" s="12">
        <v>0</v>
      </c>
      <c r="BC76" s="39">
        <v>0</v>
      </c>
      <c r="BD76" s="12">
        <f t="shared" si="14"/>
        <v>139.36750000000001</v>
      </c>
      <c r="BE76" s="14">
        <f t="shared" si="15"/>
        <v>139.36750000000001</v>
      </c>
      <c r="BF76" s="24">
        <f t="shared" si="9"/>
        <v>1</v>
      </c>
      <c r="BG76" s="23">
        <f t="shared" si="10"/>
        <v>1</v>
      </c>
    </row>
    <row r="77" spans="1:59" ht="18" customHeight="1" x14ac:dyDescent="0.2">
      <c r="A77" s="27" t="str">
        <f t="shared" si="16"/>
        <v>개인</v>
      </c>
      <c r="B77" s="27" t="s">
        <v>1569</v>
      </c>
      <c r="C77" s="27" t="s">
        <v>1554</v>
      </c>
      <c r="D77" s="26">
        <v>6089311526</v>
      </c>
      <c r="E77" s="26">
        <v>10092105</v>
      </c>
      <c r="F77" s="78" t="s">
        <v>47</v>
      </c>
      <c r="G77" s="48" t="s">
        <v>319</v>
      </c>
      <c r="H77" s="53">
        <v>45799</v>
      </c>
      <c r="I77" s="50">
        <v>45799</v>
      </c>
      <c r="J77" s="14">
        <v>73.512999999999991</v>
      </c>
      <c r="K77" s="51" t="s">
        <v>336</v>
      </c>
      <c r="L77" s="12">
        <v>0</v>
      </c>
      <c r="M77" s="13">
        <v>0</v>
      </c>
      <c r="N77" s="12">
        <v>0</v>
      </c>
      <c r="O77" s="13">
        <v>0</v>
      </c>
      <c r="P77" s="12">
        <v>0</v>
      </c>
      <c r="Q77" s="13">
        <v>0</v>
      </c>
      <c r="R77" s="12">
        <v>0</v>
      </c>
      <c r="S77" s="13">
        <v>0</v>
      </c>
      <c r="T77" s="12">
        <v>0</v>
      </c>
      <c r="U77" s="13">
        <v>0</v>
      </c>
      <c r="V77" s="12">
        <v>73.513000000000005</v>
      </c>
      <c r="W77" s="13">
        <v>0</v>
      </c>
      <c r="X77" s="12">
        <v>0</v>
      </c>
      <c r="Y77" s="13">
        <v>0</v>
      </c>
      <c r="Z77" s="12">
        <v>0</v>
      </c>
      <c r="AA77" s="13">
        <v>0</v>
      </c>
      <c r="AB77" s="12">
        <v>0</v>
      </c>
      <c r="AC77" s="13">
        <v>0</v>
      </c>
      <c r="AD77" s="12">
        <v>0</v>
      </c>
      <c r="AE77" s="13">
        <v>73.513000000000005</v>
      </c>
      <c r="AF77" s="12">
        <v>0</v>
      </c>
      <c r="AG77" s="13">
        <v>0</v>
      </c>
      <c r="AH77" s="12">
        <v>0</v>
      </c>
      <c r="AI77" s="13">
        <v>0</v>
      </c>
      <c r="AJ77" s="12">
        <v>0</v>
      </c>
      <c r="AK77" s="13">
        <v>0</v>
      </c>
      <c r="AL77" s="12">
        <v>0</v>
      </c>
      <c r="AM77" s="13">
        <v>0</v>
      </c>
      <c r="AN77" s="12">
        <v>0</v>
      </c>
      <c r="AO77" s="13">
        <v>0</v>
      </c>
      <c r="AP77" s="12">
        <v>0</v>
      </c>
      <c r="AQ77" s="13">
        <v>0</v>
      </c>
      <c r="AR77" s="12" t="s">
        <v>1496</v>
      </c>
      <c r="AS77" s="13">
        <v>0</v>
      </c>
      <c r="AT77" s="12">
        <v>0</v>
      </c>
      <c r="AU77" s="13">
        <v>0</v>
      </c>
      <c r="AV77" s="12">
        <f>IFERROR(VLOOKUP(E77,[1]Sheet4!$A:$D,4,0),0)</f>
        <v>0</v>
      </c>
      <c r="AW77" s="13">
        <v>0</v>
      </c>
      <c r="AX77" s="12">
        <v>0</v>
      </c>
      <c r="AY77" s="39">
        <v>0</v>
      </c>
      <c r="AZ77" s="12">
        <v>0</v>
      </c>
      <c r="BA77" s="39">
        <v>0</v>
      </c>
      <c r="BB77" s="12">
        <v>0</v>
      </c>
      <c r="BC77" s="39">
        <v>0</v>
      </c>
      <c r="BD77" s="12">
        <f t="shared" si="14"/>
        <v>73.513000000000005</v>
      </c>
      <c r="BE77" s="14">
        <f t="shared" si="15"/>
        <v>73.513000000000005</v>
      </c>
      <c r="BF77" s="24">
        <f t="shared" si="9"/>
        <v>1</v>
      </c>
      <c r="BG77" s="23">
        <f t="shared" si="10"/>
        <v>1.0000000000000002</v>
      </c>
    </row>
    <row r="78" spans="1:59" ht="18" customHeight="1" x14ac:dyDescent="0.2">
      <c r="A78" s="27" t="str">
        <f t="shared" si="16"/>
        <v>개인</v>
      </c>
      <c r="B78" s="27" t="s">
        <v>1555</v>
      </c>
      <c r="C78" s="27" t="s">
        <v>1554</v>
      </c>
      <c r="D78" s="26">
        <v>8039701640</v>
      </c>
      <c r="E78" s="26">
        <v>10078174</v>
      </c>
      <c r="F78" s="78" t="s">
        <v>60</v>
      </c>
      <c r="G78" s="48" t="s">
        <v>321</v>
      </c>
      <c r="H78" s="53">
        <v>45831</v>
      </c>
      <c r="I78" s="50">
        <v>45903</v>
      </c>
      <c r="J78" s="14">
        <v>239</v>
      </c>
      <c r="K78" s="51" t="s">
        <v>335</v>
      </c>
      <c r="L78" s="12">
        <v>0</v>
      </c>
      <c r="M78" s="13">
        <v>0</v>
      </c>
      <c r="N78" s="12">
        <v>0</v>
      </c>
      <c r="O78" s="13">
        <v>0</v>
      </c>
      <c r="P78" s="12">
        <v>0</v>
      </c>
      <c r="Q78" s="13">
        <v>0</v>
      </c>
      <c r="R78" s="12">
        <v>0</v>
      </c>
      <c r="S78" s="13">
        <v>0</v>
      </c>
      <c r="T78" s="12">
        <v>0</v>
      </c>
      <c r="U78" s="13">
        <v>0</v>
      </c>
      <c r="V78" s="12">
        <v>0</v>
      </c>
      <c r="W78" s="13">
        <v>0</v>
      </c>
      <c r="X78" s="12">
        <v>0</v>
      </c>
      <c r="Y78" s="13">
        <v>0</v>
      </c>
      <c r="Z78" s="12">
        <v>0</v>
      </c>
      <c r="AA78" s="13">
        <v>0</v>
      </c>
      <c r="AB78" s="12">
        <v>239</v>
      </c>
      <c r="AC78" s="13">
        <v>0</v>
      </c>
      <c r="AD78" s="12">
        <v>0</v>
      </c>
      <c r="AE78" s="13">
        <v>80</v>
      </c>
      <c r="AF78" s="12">
        <v>0</v>
      </c>
      <c r="AG78" s="13">
        <v>80</v>
      </c>
      <c r="AH78" s="12">
        <v>0</v>
      </c>
      <c r="AI78" s="13">
        <v>79</v>
      </c>
      <c r="AJ78" s="12">
        <v>0</v>
      </c>
      <c r="AK78" s="13">
        <v>0</v>
      </c>
      <c r="AL78" s="12">
        <v>0</v>
      </c>
      <c r="AM78" s="13">
        <v>0</v>
      </c>
      <c r="AN78" s="12">
        <v>0</v>
      </c>
      <c r="AO78" s="13">
        <v>0</v>
      </c>
      <c r="AP78" s="12">
        <v>0</v>
      </c>
      <c r="AQ78" s="13">
        <v>0</v>
      </c>
      <c r="AR78" s="12" t="s">
        <v>1496</v>
      </c>
      <c r="AS78" s="13">
        <v>0</v>
      </c>
      <c r="AT78" s="12">
        <v>0</v>
      </c>
      <c r="AU78" s="13">
        <v>0</v>
      </c>
      <c r="AV78" s="12">
        <f>IFERROR(VLOOKUP(E78,[1]Sheet4!$A:$D,4,0),0)</f>
        <v>0</v>
      </c>
      <c r="AW78" s="13">
        <v>0</v>
      </c>
      <c r="AX78" s="12">
        <v>0</v>
      </c>
      <c r="AY78" s="39">
        <v>0</v>
      </c>
      <c r="AZ78" s="12">
        <v>0</v>
      </c>
      <c r="BA78" s="39">
        <v>0</v>
      </c>
      <c r="BB78" s="12">
        <v>0</v>
      </c>
      <c r="BC78" s="39">
        <v>0</v>
      </c>
      <c r="BD78" s="12">
        <f t="shared" si="14"/>
        <v>239</v>
      </c>
      <c r="BE78" s="14">
        <f t="shared" si="15"/>
        <v>239</v>
      </c>
      <c r="BF78" s="24">
        <f t="shared" si="9"/>
        <v>1</v>
      </c>
      <c r="BG78" s="23">
        <f t="shared" si="10"/>
        <v>1</v>
      </c>
    </row>
    <row r="79" spans="1:59" ht="18" customHeight="1" x14ac:dyDescent="0.2">
      <c r="A79" s="27" t="str">
        <f t="shared" si="16"/>
        <v>법인</v>
      </c>
      <c r="B79" s="27" t="s">
        <v>1559</v>
      </c>
      <c r="C79" s="27" t="s">
        <v>1496</v>
      </c>
      <c r="D79" s="26">
        <v>8908701140</v>
      </c>
      <c r="E79" s="89">
        <v>10100887</v>
      </c>
      <c r="F79" s="25" t="s">
        <v>334</v>
      </c>
      <c r="G79" s="119" t="s">
        <v>442</v>
      </c>
      <c r="H79" s="53">
        <v>45804</v>
      </c>
      <c r="I79" s="50">
        <v>45804</v>
      </c>
      <c r="J79" s="120">
        <v>195</v>
      </c>
      <c r="K79" s="49" t="s">
        <v>311</v>
      </c>
      <c r="L79" s="12">
        <v>0</v>
      </c>
      <c r="M79" s="13">
        <v>0</v>
      </c>
      <c r="N79" s="12">
        <v>0</v>
      </c>
      <c r="O79" s="13">
        <v>0</v>
      </c>
      <c r="P79" s="12">
        <v>0</v>
      </c>
      <c r="Q79" s="13">
        <v>0</v>
      </c>
      <c r="R79" s="12">
        <v>0</v>
      </c>
      <c r="S79" s="13">
        <v>0</v>
      </c>
      <c r="T79" s="12">
        <v>0</v>
      </c>
      <c r="U79" s="13">
        <v>0</v>
      </c>
      <c r="V79" s="12">
        <v>194.99999970000002</v>
      </c>
      <c r="W79" s="13">
        <v>0</v>
      </c>
      <c r="X79" s="12">
        <v>0</v>
      </c>
      <c r="Y79" s="13">
        <v>194.99999970000002</v>
      </c>
      <c r="Z79" s="12">
        <v>0</v>
      </c>
      <c r="AA79" s="13">
        <v>0</v>
      </c>
      <c r="AB79" s="12">
        <v>0</v>
      </c>
      <c r="AC79" s="13">
        <v>0</v>
      </c>
      <c r="AD79" s="12">
        <v>0</v>
      </c>
      <c r="AE79" s="13">
        <v>0</v>
      </c>
      <c r="AF79" s="12">
        <v>0</v>
      </c>
      <c r="AG79" s="13">
        <v>0</v>
      </c>
      <c r="AH79" s="12">
        <v>0</v>
      </c>
      <c r="AI79" s="13">
        <v>0</v>
      </c>
      <c r="AJ79" s="12">
        <v>0</v>
      </c>
      <c r="AK79" s="13">
        <v>0</v>
      </c>
      <c r="AL79" s="12">
        <v>0</v>
      </c>
      <c r="AM79" s="13">
        <v>0</v>
      </c>
      <c r="AN79" s="12">
        <v>0</v>
      </c>
      <c r="AO79" s="13">
        <v>0</v>
      </c>
      <c r="AP79" s="12">
        <v>0</v>
      </c>
      <c r="AQ79" s="13">
        <v>0</v>
      </c>
      <c r="AR79" s="12" t="s">
        <v>1496</v>
      </c>
      <c r="AS79" s="13">
        <v>0</v>
      </c>
      <c r="AT79" s="12">
        <v>0</v>
      </c>
      <c r="AU79" s="13">
        <v>0</v>
      </c>
      <c r="AV79" s="12">
        <f>IFERROR(VLOOKUP(E79,[1]Sheet4!$A:$D,4,0),0)</f>
        <v>0</v>
      </c>
      <c r="AW79" s="13">
        <v>0</v>
      </c>
      <c r="AX79" s="12">
        <v>0</v>
      </c>
      <c r="AY79" s="39">
        <v>0</v>
      </c>
      <c r="AZ79" s="12">
        <v>0</v>
      </c>
      <c r="BA79" s="39">
        <v>0</v>
      </c>
      <c r="BB79" s="12">
        <v>0</v>
      </c>
      <c r="BC79" s="39">
        <v>0</v>
      </c>
      <c r="BD79" s="121">
        <f t="shared" si="14"/>
        <v>194.99999970000002</v>
      </c>
      <c r="BE79" s="14">
        <f t="shared" si="15"/>
        <v>194.99999970000002</v>
      </c>
      <c r="BF79" s="24">
        <f t="shared" si="9"/>
        <v>1</v>
      </c>
      <c r="BG79" s="23">
        <f t="shared" si="10"/>
        <v>0.99999999846153853</v>
      </c>
    </row>
    <row r="80" spans="1:59" ht="18" customHeight="1" x14ac:dyDescent="0.2">
      <c r="A80" s="27" t="str">
        <f t="shared" si="16"/>
        <v>법인</v>
      </c>
      <c r="B80" s="27" t="s">
        <v>1559</v>
      </c>
      <c r="C80" s="27" t="s">
        <v>1496</v>
      </c>
      <c r="D80" s="26">
        <v>8908701140</v>
      </c>
      <c r="E80" s="89">
        <v>10100887</v>
      </c>
      <c r="F80" s="25" t="s">
        <v>334</v>
      </c>
      <c r="G80" s="119" t="s">
        <v>447</v>
      </c>
      <c r="H80" s="53">
        <v>46042</v>
      </c>
      <c r="I80" s="50">
        <v>45804</v>
      </c>
      <c r="J80" s="120">
        <v>24.9</v>
      </c>
      <c r="K80" s="49" t="s">
        <v>311</v>
      </c>
      <c r="L80" s="12">
        <v>0</v>
      </c>
      <c r="M80" s="13">
        <v>0</v>
      </c>
      <c r="N80" s="12">
        <v>0</v>
      </c>
      <c r="O80" s="13">
        <v>0</v>
      </c>
      <c r="P80" s="12">
        <v>0</v>
      </c>
      <c r="Q80" s="13">
        <v>0</v>
      </c>
      <c r="R80" s="12">
        <v>0</v>
      </c>
      <c r="S80" s="13">
        <v>0</v>
      </c>
      <c r="T80" s="12">
        <v>0</v>
      </c>
      <c r="U80" s="13">
        <v>0</v>
      </c>
      <c r="V80" s="12">
        <v>0</v>
      </c>
      <c r="W80" s="13">
        <v>0</v>
      </c>
      <c r="X80" s="12">
        <v>0</v>
      </c>
      <c r="Y80" s="13">
        <v>0</v>
      </c>
      <c r="Z80" s="12">
        <v>0</v>
      </c>
      <c r="AA80" s="13">
        <v>0</v>
      </c>
      <c r="AB80" s="12">
        <v>0</v>
      </c>
      <c r="AC80" s="13">
        <v>0</v>
      </c>
      <c r="AD80" s="12">
        <v>0</v>
      </c>
      <c r="AE80" s="13">
        <v>0</v>
      </c>
      <c r="AF80" s="12">
        <v>0</v>
      </c>
      <c r="AG80" s="13">
        <v>0</v>
      </c>
      <c r="AH80" s="12">
        <v>0</v>
      </c>
      <c r="AI80" s="13">
        <v>0</v>
      </c>
      <c r="AJ80" s="12">
        <v>0</v>
      </c>
      <c r="AK80" s="13">
        <v>0</v>
      </c>
      <c r="AL80" s="12">
        <v>0</v>
      </c>
      <c r="AM80" s="13">
        <v>0</v>
      </c>
      <c r="AN80" s="12">
        <v>0</v>
      </c>
      <c r="AO80" s="13">
        <v>0</v>
      </c>
      <c r="AP80" s="121">
        <v>24.92</v>
      </c>
      <c r="AQ80" s="13">
        <v>0</v>
      </c>
      <c r="AR80" s="121" t="s">
        <v>1496</v>
      </c>
      <c r="AS80" s="13">
        <v>0</v>
      </c>
      <c r="AT80" s="121">
        <v>0</v>
      </c>
      <c r="AU80" s="13">
        <v>24.92</v>
      </c>
      <c r="AV80" s="121">
        <f>IFERROR(VLOOKUP(E80,[1]Sheet4!$A:$D,4,0),0)</f>
        <v>0</v>
      </c>
      <c r="AW80" s="13">
        <v>0</v>
      </c>
      <c r="AX80" s="121">
        <v>0</v>
      </c>
      <c r="AY80" s="39">
        <v>0</v>
      </c>
      <c r="AZ80" s="121">
        <v>0</v>
      </c>
      <c r="BA80" s="39">
        <v>0</v>
      </c>
      <c r="BB80" s="12">
        <v>0</v>
      </c>
      <c r="BC80" s="39">
        <v>0</v>
      </c>
      <c r="BD80" s="121">
        <f t="shared" si="14"/>
        <v>24.92</v>
      </c>
      <c r="BE80" s="14">
        <f t="shared" si="15"/>
        <v>24.92</v>
      </c>
      <c r="BF80" s="24">
        <f t="shared" ref="BF80" si="18">BE80/BD80</f>
        <v>1</v>
      </c>
      <c r="BG80" s="23">
        <f t="shared" si="10"/>
        <v>1.0008032128514057</v>
      </c>
    </row>
    <row r="81" spans="1:59" ht="17.45" customHeight="1" x14ac:dyDescent="0.2">
      <c r="A81" s="27" t="str">
        <f t="shared" si="16"/>
        <v>개인</v>
      </c>
      <c r="B81" s="27" t="s">
        <v>1556</v>
      </c>
      <c r="C81" s="27" t="s">
        <v>1554</v>
      </c>
      <c r="D81" s="26">
        <v>1189601695</v>
      </c>
      <c r="E81" s="89">
        <v>10017056</v>
      </c>
      <c r="F81" s="25" t="s">
        <v>43</v>
      </c>
      <c r="G81" s="48" t="s">
        <v>322</v>
      </c>
      <c r="H81" s="53">
        <v>45975</v>
      </c>
      <c r="I81" s="50">
        <v>46035</v>
      </c>
      <c r="J81" s="14">
        <v>1047.33</v>
      </c>
      <c r="K81" s="49" t="s">
        <v>311</v>
      </c>
      <c r="L81" s="12">
        <v>0</v>
      </c>
      <c r="M81" s="13">
        <v>0</v>
      </c>
      <c r="N81" s="12">
        <v>0</v>
      </c>
      <c r="O81" s="13">
        <v>0</v>
      </c>
      <c r="P81" s="12">
        <v>0</v>
      </c>
      <c r="Q81" s="13">
        <v>0</v>
      </c>
      <c r="R81" s="12">
        <v>0</v>
      </c>
      <c r="S81" s="13">
        <v>0</v>
      </c>
      <c r="T81" s="12">
        <v>0</v>
      </c>
      <c r="U81" s="13">
        <v>0</v>
      </c>
      <c r="V81" s="12">
        <v>202.99999940000001</v>
      </c>
      <c r="W81" s="13">
        <v>0</v>
      </c>
      <c r="X81" s="12">
        <v>0</v>
      </c>
      <c r="Y81" s="13">
        <v>0</v>
      </c>
      <c r="Z81" s="12">
        <v>0</v>
      </c>
      <c r="AA81" s="13">
        <v>0</v>
      </c>
      <c r="AB81" s="12">
        <v>0</v>
      </c>
      <c r="AC81" s="13">
        <v>0</v>
      </c>
      <c r="AD81" s="12">
        <v>0</v>
      </c>
      <c r="AE81" s="13">
        <v>0</v>
      </c>
      <c r="AF81" s="12">
        <v>0</v>
      </c>
      <c r="AG81" s="13">
        <v>0</v>
      </c>
      <c r="AH81" s="12">
        <v>0</v>
      </c>
      <c r="AI81" s="13">
        <v>0</v>
      </c>
      <c r="AJ81" s="12">
        <v>-202.99999940000001</v>
      </c>
      <c r="AK81" s="13">
        <v>0</v>
      </c>
      <c r="AL81" s="12">
        <v>0</v>
      </c>
      <c r="AM81" s="13">
        <v>0</v>
      </c>
      <c r="AN81" s="12">
        <v>1.014</v>
      </c>
      <c r="AO81" s="13">
        <v>0</v>
      </c>
      <c r="AP81" s="12">
        <v>1.2609999999999999</v>
      </c>
      <c r="AQ81" s="13">
        <v>1.014</v>
      </c>
      <c r="AR81" s="12">
        <v>4.7450000000000001</v>
      </c>
      <c r="AS81" s="13">
        <v>1.2609999999999999</v>
      </c>
      <c r="AT81" s="12">
        <v>6.3440000000000003</v>
      </c>
      <c r="AU81" s="13">
        <v>4.7450000000000001</v>
      </c>
      <c r="AV81" s="12">
        <f>IFERROR(VLOOKUP(E81,[1]Sheet4!$A:$D,4,0),0)</f>
        <v>7.202</v>
      </c>
      <c r="AW81" s="13">
        <v>6.3440000000000003</v>
      </c>
      <c r="AX81" s="12">
        <v>7.4749999999999996</v>
      </c>
      <c r="AY81" s="39">
        <v>7.202</v>
      </c>
      <c r="AZ81" s="12">
        <v>8.5020000000000007</v>
      </c>
      <c r="BA81" s="39">
        <v>7.4749999999999996</v>
      </c>
      <c r="BB81" s="12">
        <v>16.367000000000001</v>
      </c>
      <c r="BC81" s="39">
        <v>8.5020000000000007</v>
      </c>
      <c r="BD81" s="12">
        <f t="shared" si="14"/>
        <v>52.910000000000011</v>
      </c>
      <c r="BE81" s="14">
        <f t="shared" si="15"/>
        <v>36.543000000000006</v>
      </c>
      <c r="BF81" s="24">
        <f t="shared" si="9"/>
        <v>0.69066339066339066</v>
      </c>
      <c r="BG81" s="23">
        <f t="shared" si="10"/>
        <v>3.4891581449972793E-2</v>
      </c>
    </row>
    <row r="82" spans="1:59" ht="18" customHeight="1" x14ac:dyDescent="0.2">
      <c r="A82" s="27" t="str">
        <f t="shared" si="16"/>
        <v>법인</v>
      </c>
      <c r="B82" s="27" t="s">
        <v>1562</v>
      </c>
      <c r="C82" s="27" t="s">
        <v>1496</v>
      </c>
      <c r="D82" s="26">
        <v>1258212553</v>
      </c>
      <c r="E82" s="89">
        <v>10032728</v>
      </c>
      <c r="F82" s="25" t="s">
        <v>96</v>
      </c>
      <c r="G82" s="48" t="s">
        <v>322</v>
      </c>
      <c r="H82" s="53">
        <v>45827</v>
      </c>
      <c r="I82" s="50">
        <v>45909</v>
      </c>
      <c r="J82" s="14">
        <v>2025</v>
      </c>
      <c r="K82" s="49" t="s">
        <v>311</v>
      </c>
      <c r="L82" s="12">
        <v>0</v>
      </c>
      <c r="M82" s="13">
        <v>0</v>
      </c>
      <c r="N82" s="12">
        <v>0</v>
      </c>
      <c r="O82" s="13">
        <v>0</v>
      </c>
      <c r="P82" s="12">
        <v>0</v>
      </c>
      <c r="Q82" s="13">
        <v>0</v>
      </c>
      <c r="R82" s="12">
        <v>0</v>
      </c>
      <c r="S82" s="13">
        <v>0</v>
      </c>
      <c r="T82" s="12">
        <v>0</v>
      </c>
      <c r="U82" s="13">
        <v>0</v>
      </c>
      <c r="V82" s="12">
        <v>0</v>
      </c>
      <c r="W82" s="13">
        <v>0</v>
      </c>
      <c r="X82" s="12">
        <v>0</v>
      </c>
      <c r="Y82" s="13">
        <v>0</v>
      </c>
      <c r="Z82" s="12">
        <v>0</v>
      </c>
      <c r="AA82" s="13">
        <v>0</v>
      </c>
      <c r="AB82" s="12">
        <v>0</v>
      </c>
      <c r="AC82" s="13">
        <v>0</v>
      </c>
      <c r="AD82" s="12">
        <v>0</v>
      </c>
      <c r="AE82" s="13">
        <v>0</v>
      </c>
      <c r="AF82" s="12">
        <v>0.69499980000000006</v>
      </c>
      <c r="AG82" s="13">
        <v>0</v>
      </c>
      <c r="AH82" s="12">
        <v>-0.69499980000000006</v>
      </c>
      <c r="AI82" s="13">
        <v>0</v>
      </c>
      <c r="AJ82" s="12">
        <v>0</v>
      </c>
      <c r="AK82" s="13">
        <v>0</v>
      </c>
      <c r="AL82" s="12">
        <v>0</v>
      </c>
      <c r="AM82" s="13">
        <v>0</v>
      </c>
      <c r="AN82" s="12">
        <v>0</v>
      </c>
      <c r="AO82" s="13">
        <v>0</v>
      </c>
      <c r="AP82" s="12">
        <v>47.494999999999997</v>
      </c>
      <c r="AQ82" s="13">
        <v>0</v>
      </c>
      <c r="AR82" s="12">
        <v>54.941000000000003</v>
      </c>
      <c r="AS82" s="13">
        <v>47.494999999999997</v>
      </c>
      <c r="AT82" s="12">
        <v>44.148000000000003</v>
      </c>
      <c r="AU82" s="13">
        <v>0</v>
      </c>
      <c r="AV82" s="12">
        <f>IFERROR(VLOOKUP(E82,[1]Sheet4!$A:$D,4,0),0)</f>
        <v>39.875999999999998</v>
      </c>
      <c r="AW82" s="13">
        <v>54.941000000000003</v>
      </c>
      <c r="AX82" s="12">
        <v>39.825000000000003</v>
      </c>
      <c r="AY82" s="39">
        <v>84.024000000000001</v>
      </c>
      <c r="AZ82" s="12">
        <v>37.878</v>
      </c>
      <c r="BA82" s="39">
        <v>39.825000000000003</v>
      </c>
      <c r="BB82" s="12">
        <v>29.667999999999999</v>
      </c>
      <c r="BC82" s="39">
        <v>37.878</v>
      </c>
      <c r="BD82" s="12">
        <f t="shared" si="14"/>
        <v>293.83100000000002</v>
      </c>
      <c r="BE82" s="14">
        <f t="shared" si="15"/>
        <v>264.16300000000001</v>
      </c>
      <c r="BF82" s="24">
        <f t="shared" si="9"/>
        <v>0.89903039502298943</v>
      </c>
      <c r="BG82" s="23">
        <f t="shared" si="10"/>
        <v>0.13045086419753088</v>
      </c>
    </row>
    <row r="83" spans="1:59" ht="18" customHeight="1" x14ac:dyDescent="0.2">
      <c r="A83" s="27" t="str">
        <f t="shared" si="16"/>
        <v>법인</v>
      </c>
      <c r="B83" s="27" t="s">
        <v>1569</v>
      </c>
      <c r="C83" s="27" t="s">
        <v>1496</v>
      </c>
      <c r="D83" s="26">
        <v>1328207422</v>
      </c>
      <c r="E83" s="89">
        <v>10014151</v>
      </c>
      <c r="F83" s="25" t="s">
        <v>167</v>
      </c>
      <c r="G83" s="48" t="s">
        <v>322</v>
      </c>
      <c r="H83" s="53">
        <v>45832</v>
      </c>
      <c r="I83" s="50">
        <v>45930</v>
      </c>
      <c r="J83" s="14">
        <v>799.99800000000005</v>
      </c>
      <c r="K83" s="49" t="s">
        <v>311</v>
      </c>
      <c r="L83" s="12">
        <v>0</v>
      </c>
      <c r="M83" s="13">
        <v>0</v>
      </c>
      <c r="N83" s="12">
        <v>0</v>
      </c>
      <c r="O83" s="13">
        <v>0</v>
      </c>
      <c r="P83" s="12">
        <v>0</v>
      </c>
      <c r="Q83" s="13">
        <v>0</v>
      </c>
      <c r="R83" s="12">
        <v>0</v>
      </c>
      <c r="S83" s="13">
        <v>0</v>
      </c>
      <c r="T83" s="12">
        <v>0</v>
      </c>
      <c r="U83" s="13">
        <v>0</v>
      </c>
      <c r="V83" s="12">
        <v>0</v>
      </c>
      <c r="W83" s="13">
        <v>0</v>
      </c>
      <c r="X83" s="12">
        <v>0</v>
      </c>
      <c r="Y83" s="13">
        <v>0</v>
      </c>
      <c r="Z83" s="12">
        <v>0</v>
      </c>
      <c r="AA83" s="13">
        <v>0</v>
      </c>
      <c r="AB83" s="12">
        <v>0</v>
      </c>
      <c r="AC83" s="13">
        <v>0</v>
      </c>
      <c r="AD83" s="12">
        <v>0</v>
      </c>
      <c r="AE83" s="13">
        <v>0</v>
      </c>
      <c r="AF83" s="12">
        <v>0</v>
      </c>
      <c r="AG83" s="13">
        <v>0</v>
      </c>
      <c r="AH83" s="12">
        <v>0</v>
      </c>
      <c r="AI83" s="13">
        <v>0</v>
      </c>
      <c r="AJ83" s="12">
        <v>0</v>
      </c>
      <c r="AK83" s="13">
        <v>0</v>
      </c>
      <c r="AL83" s="12">
        <v>41.737000000000002</v>
      </c>
      <c r="AM83" s="13">
        <v>0</v>
      </c>
      <c r="AN83" s="12">
        <v>14.467000000000001</v>
      </c>
      <c r="AO83" s="13">
        <v>41.737000000000002</v>
      </c>
      <c r="AP83" s="12">
        <v>16.103999999999999</v>
      </c>
      <c r="AQ83" s="13">
        <v>0</v>
      </c>
      <c r="AR83" s="12">
        <v>22.724</v>
      </c>
      <c r="AS83" s="13">
        <v>0</v>
      </c>
      <c r="AT83" s="12">
        <v>24.146000000000001</v>
      </c>
      <c r="AU83" s="13">
        <v>14.467000000000001</v>
      </c>
      <c r="AV83" s="12">
        <f>IFERROR(VLOOKUP(E83,[1]Sheet4!$A:$D,4,0),0)</f>
        <v>21.613</v>
      </c>
      <c r="AW83" s="13">
        <v>16.103999999999999</v>
      </c>
      <c r="AX83" s="12">
        <v>25.08</v>
      </c>
      <c r="AY83" s="39">
        <v>22.724</v>
      </c>
      <c r="AZ83" s="12">
        <v>27.015999999999998</v>
      </c>
      <c r="BA83" s="39">
        <v>24.146000000000001</v>
      </c>
      <c r="BB83" s="12">
        <v>27.981999999999999</v>
      </c>
      <c r="BC83" s="39">
        <v>21.613</v>
      </c>
      <c r="BD83" s="12">
        <f t="shared" si="14"/>
        <v>220.86899999999997</v>
      </c>
      <c r="BE83" s="14">
        <f t="shared" si="15"/>
        <v>140.791</v>
      </c>
      <c r="BF83" s="24">
        <f t="shared" ref="BF83:BF104" si="19">BE83/BD83</f>
        <v>0.63744119817629463</v>
      </c>
      <c r="BG83" s="23">
        <f t="shared" si="10"/>
        <v>0.17598918997297491</v>
      </c>
    </row>
    <row r="84" spans="1:59" ht="18" customHeight="1" x14ac:dyDescent="0.2">
      <c r="A84" s="27" t="str">
        <f t="shared" si="16"/>
        <v>개인</v>
      </c>
      <c r="B84" s="27" t="s">
        <v>1564</v>
      </c>
      <c r="C84" s="27" t="s">
        <v>1554</v>
      </c>
      <c r="D84" s="26">
        <v>1139456769</v>
      </c>
      <c r="E84" s="89">
        <v>10014653</v>
      </c>
      <c r="F84" s="25" t="s">
        <v>164</v>
      </c>
      <c r="G84" s="48" t="s">
        <v>322</v>
      </c>
      <c r="H84" s="53">
        <v>45870</v>
      </c>
      <c r="I84" s="50">
        <v>46000</v>
      </c>
      <c r="J84" s="14">
        <v>233.62700000000001</v>
      </c>
      <c r="K84" s="49" t="s">
        <v>311</v>
      </c>
      <c r="L84" s="12">
        <v>0</v>
      </c>
      <c r="M84" s="13">
        <v>0</v>
      </c>
      <c r="N84" s="12">
        <v>0</v>
      </c>
      <c r="O84" s="13">
        <v>0</v>
      </c>
      <c r="P84" s="12">
        <v>0</v>
      </c>
      <c r="Q84" s="13">
        <v>0</v>
      </c>
      <c r="R84" s="12">
        <v>0</v>
      </c>
      <c r="S84" s="13">
        <v>0</v>
      </c>
      <c r="T84" s="12">
        <v>0</v>
      </c>
      <c r="U84" s="13">
        <v>0</v>
      </c>
      <c r="V84" s="12">
        <v>0</v>
      </c>
      <c r="W84" s="13">
        <v>0</v>
      </c>
      <c r="X84" s="12">
        <v>0</v>
      </c>
      <c r="Y84" s="13">
        <v>0</v>
      </c>
      <c r="Z84" s="12">
        <v>0</v>
      </c>
      <c r="AA84" s="13">
        <v>0</v>
      </c>
      <c r="AB84" s="12">
        <v>0</v>
      </c>
      <c r="AC84" s="13">
        <v>0</v>
      </c>
      <c r="AD84" s="12">
        <v>0</v>
      </c>
      <c r="AE84" s="13">
        <v>0</v>
      </c>
      <c r="AF84" s="12">
        <v>0</v>
      </c>
      <c r="AG84" s="13">
        <v>0</v>
      </c>
      <c r="AH84" s="12">
        <v>0</v>
      </c>
      <c r="AI84" s="13">
        <v>0</v>
      </c>
      <c r="AJ84" s="12">
        <v>0</v>
      </c>
      <c r="AK84" s="13">
        <v>0</v>
      </c>
      <c r="AL84" s="12">
        <v>1.32</v>
      </c>
      <c r="AM84" s="13">
        <v>0</v>
      </c>
      <c r="AN84" s="12">
        <v>2.6909999999999998</v>
      </c>
      <c r="AO84" s="13">
        <v>0</v>
      </c>
      <c r="AP84" s="12">
        <v>1.6519999999999999</v>
      </c>
      <c r="AQ84" s="13">
        <v>4.0110000000000001</v>
      </c>
      <c r="AR84" s="12">
        <v>1.744</v>
      </c>
      <c r="AS84" s="13">
        <v>0</v>
      </c>
      <c r="AT84" s="12">
        <v>1.5</v>
      </c>
      <c r="AU84" s="13">
        <v>1.744</v>
      </c>
      <c r="AV84" s="12">
        <f>IFERROR(VLOOKUP(E84,[1]Sheet4!$A:$D,4,0),0)</f>
        <v>1.5</v>
      </c>
      <c r="AW84" s="13">
        <v>3.1520000000000001</v>
      </c>
      <c r="AX84" s="12">
        <v>1.5</v>
      </c>
      <c r="AY84" s="39">
        <v>1.5</v>
      </c>
      <c r="AZ84" s="12">
        <v>1.5</v>
      </c>
      <c r="BA84" s="39">
        <v>1.5</v>
      </c>
      <c r="BB84" s="12">
        <v>1.5</v>
      </c>
      <c r="BC84" s="39">
        <v>1.5</v>
      </c>
      <c r="BD84" s="12">
        <f t="shared" si="14"/>
        <v>14.907</v>
      </c>
      <c r="BE84" s="14">
        <f t="shared" si="15"/>
        <v>13.407</v>
      </c>
      <c r="BF84" s="24">
        <f t="shared" si="19"/>
        <v>0.89937613201851474</v>
      </c>
      <c r="BG84" s="23">
        <f t="shared" si="10"/>
        <v>5.7386346612335042E-2</v>
      </c>
    </row>
    <row r="85" spans="1:59" ht="18" customHeight="1" x14ac:dyDescent="0.2">
      <c r="A85" s="27" t="str">
        <f t="shared" si="16"/>
        <v>법인</v>
      </c>
      <c r="B85" s="27" t="s">
        <v>1555</v>
      </c>
      <c r="C85" s="27" t="s">
        <v>1496</v>
      </c>
      <c r="D85" s="26">
        <v>1408201185</v>
      </c>
      <c r="E85" s="89">
        <v>10021506</v>
      </c>
      <c r="F85" s="25" t="s">
        <v>168</v>
      </c>
      <c r="G85" s="48" t="s">
        <v>322</v>
      </c>
      <c r="H85" s="53">
        <v>45853</v>
      </c>
      <c r="I85" s="50">
        <v>45944</v>
      </c>
      <c r="J85" s="14">
        <v>1521.4965</v>
      </c>
      <c r="K85" s="49" t="s">
        <v>311</v>
      </c>
      <c r="L85" s="12">
        <v>0</v>
      </c>
      <c r="M85" s="13">
        <v>0</v>
      </c>
      <c r="N85" s="12">
        <v>0</v>
      </c>
      <c r="O85" s="13">
        <v>0</v>
      </c>
      <c r="P85" s="12">
        <v>0</v>
      </c>
      <c r="Q85" s="13">
        <v>0</v>
      </c>
      <c r="R85" s="12">
        <v>0</v>
      </c>
      <c r="S85" s="13">
        <v>0</v>
      </c>
      <c r="T85" s="12">
        <v>0</v>
      </c>
      <c r="U85" s="13">
        <v>0</v>
      </c>
      <c r="V85" s="12">
        <v>0</v>
      </c>
      <c r="W85" s="13">
        <v>0</v>
      </c>
      <c r="X85" s="12">
        <v>0</v>
      </c>
      <c r="Y85" s="13">
        <v>0</v>
      </c>
      <c r="Z85" s="12">
        <v>0</v>
      </c>
      <c r="AA85" s="13">
        <v>0</v>
      </c>
      <c r="AB85" s="12">
        <v>0</v>
      </c>
      <c r="AC85" s="13">
        <v>0</v>
      </c>
      <c r="AD85" s="12">
        <v>0</v>
      </c>
      <c r="AE85" s="13">
        <v>0</v>
      </c>
      <c r="AF85" s="12">
        <v>0</v>
      </c>
      <c r="AG85" s="13">
        <v>0</v>
      </c>
      <c r="AH85" s="12">
        <v>0</v>
      </c>
      <c r="AI85" s="13">
        <v>0</v>
      </c>
      <c r="AJ85" s="12">
        <v>0</v>
      </c>
      <c r="AK85" s="13">
        <v>0</v>
      </c>
      <c r="AL85" s="12">
        <v>6.6950000000000003</v>
      </c>
      <c r="AM85" s="13">
        <v>0</v>
      </c>
      <c r="AN85" s="12">
        <v>3.0059999999999998</v>
      </c>
      <c r="AO85" s="13">
        <v>6.6950000000000003</v>
      </c>
      <c r="AP85" s="12">
        <v>43.426000000000002</v>
      </c>
      <c r="AQ85" s="13">
        <v>0</v>
      </c>
      <c r="AR85" s="12">
        <v>34.921999999999997</v>
      </c>
      <c r="AS85" s="13">
        <v>0</v>
      </c>
      <c r="AT85" s="12">
        <v>13.186</v>
      </c>
      <c r="AU85" s="13">
        <v>0</v>
      </c>
      <c r="AV85" s="12">
        <f>IFERROR(VLOOKUP(E85,[1]Sheet4!$A:$D,4,0),0)</f>
        <v>27.210999999999999</v>
      </c>
      <c r="AW85" s="13">
        <v>35.914000000000001</v>
      </c>
      <c r="AX85" s="12">
        <v>23.62</v>
      </c>
      <c r="AY85" s="39">
        <v>24.849</v>
      </c>
      <c r="AZ85" s="12">
        <v>25.779</v>
      </c>
      <c r="BA85" s="39">
        <v>30.771000000000001</v>
      </c>
      <c r="BB85" s="12">
        <v>18.495999999999999</v>
      </c>
      <c r="BC85" s="39">
        <v>27.210999999999999</v>
      </c>
      <c r="BD85" s="12">
        <f t="shared" si="14"/>
        <v>196.34100000000004</v>
      </c>
      <c r="BE85" s="14">
        <f t="shared" si="15"/>
        <v>125.44</v>
      </c>
      <c r="BF85" s="24">
        <f t="shared" si="19"/>
        <v>0.63888846445724512</v>
      </c>
      <c r="BG85" s="23">
        <f t="shared" si="10"/>
        <v>8.2445145289522515E-2</v>
      </c>
    </row>
    <row r="86" spans="1:59" ht="18" customHeight="1" x14ac:dyDescent="0.2">
      <c r="A86" s="27" t="str">
        <f t="shared" si="16"/>
        <v>법인</v>
      </c>
      <c r="B86" s="27" t="s">
        <v>1556</v>
      </c>
      <c r="C86" s="27" t="s">
        <v>1496</v>
      </c>
      <c r="D86" s="26">
        <v>1118202809</v>
      </c>
      <c r="E86" s="89">
        <v>10031830</v>
      </c>
      <c r="F86" s="25" t="s">
        <v>163</v>
      </c>
      <c r="G86" s="48" t="s">
        <v>322</v>
      </c>
      <c r="H86" s="53">
        <v>45930</v>
      </c>
      <c r="I86" s="50">
        <v>45971</v>
      </c>
      <c r="J86" s="14">
        <v>1560.0117</v>
      </c>
      <c r="K86" s="49" t="s">
        <v>311</v>
      </c>
      <c r="L86" s="12">
        <v>0</v>
      </c>
      <c r="M86" s="13">
        <v>0</v>
      </c>
      <c r="N86" s="12">
        <v>0</v>
      </c>
      <c r="O86" s="13">
        <v>0</v>
      </c>
      <c r="P86" s="12">
        <v>0</v>
      </c>
      <c r="Q86" s="13">
        <v>0</v>
      </c>
      <c r="R86" s="12">
        <v>0</v>
      </c>
      <c r="S86" s="13">
        <v>0</v>
      </c>
      <c r="T86" s="12">
        <v>0</v>
      </c>
      <c r="U86" s="13">
        <v>0</v>
      </c>
      <c r="V86" s="12">
        <v>0</v>
      </c>
      <c r="W86" s="13">
        <v>0</v>
      </c>
      <c r="X86" s="12">
        <v>0</v>
      </c>
      <c r="Y86" s="13">
        <v>0</v>
      </c>
      <c r="Z86" s="12">
        <v>0</v>
      </c>
      <c r="AA86" s="13">
        <v>0</v>
      </c>
      <c r="AB86" s="12">
        <v>0</v>
      </c>
      <c r="AC86" s="13">
        <v>0</v>
      </c>
      <c r="AD86" s="12">
        <v>0</v>
      </c>
      <c r="AE86" s="13">
        <v>0</v>
      </c>
      <c r="AF86" s="12">
        <v>0</v>
      </c>
      <c r="AG86" s="13">
        <v>0</v>
      </c>
      <c r="AH86" s="12">
        <v>0</v>
      </c>
      <c r="AI86" s="13">
        <v>0</v>
      </c>
      <c r="AJ86" s="12">
        <v>0</v>
      </c>
      <c r="AK86" s="13">
        <v>0</v>
      </c>
      <c r="AL86" s="12">
        <v>30.213000000000001</v>
      </c>
      <c r="AM86" s="13">
        <v>0</v>
      </c>
      <c r="AN86" s="12">
        <v>40.579000000000001</v>
      </c>
      <c r="AO86" s="13">
        <v>30.213000000000001</v>
      </c>
      <c r="AP86" s="12">
        <v>35.194000000000003</v>
      </c>
      <c r="AQ86" s="13">
        <v>40.579000000000001</v>
      </c>
      <c r="AR86" s="12">
        <v>41.631999999999998</v>
      </c>
      <c r="AS86" s="13">
        <v>35.194000000000003</v>
      </c>
      <c r="AT86" s="12">
        <v>49.075000000000003</v>
      </c>
      <c r="AU86" s="13">
        <v>41.631999999999998</v>
      </c>
      <c r="AV86" s="12">
        <f>IFERROR(VLOOKUP(E86,[1]Sheet4!$A:$D,4,0),0)</f>
        <v>47.353000000000002</v>
      </c>
      <c r="AW86" s="13">
        <v>49.075000000000003</v>
      </c>
      <c r="AX86" s="12">
        <v>45.954000000000001</v>
      </c>
      <c r="AY86" s="39">
        <v>47.353000000000002</v>
      </c>
      <c r="AZ86" s="12">
        <v>52.921999999999997</v>
      </c>
      <c r="BA86" s="39">
        <v>45.954000000000001</v>
      </c>
      <c r="BB86" s="12">
        <v>49.362000000000002</v>
      </c>
      <c r="BC86" s="39">
        <v>52.921999999999997</v>
      </c>
      <c r="BD86" s="12">
        <f t="shared" si="14"/>
        <v>392.28400000000005</v>
      </c>
      <c r="BE86" s="14">
        <f t="shared" si="15"/>
        <v>342.92200000000003</v>
      </c>
      <c r="BF86" s="24">
        <f t="shared" si="19"/>
        <v>0.87416769483333501</v>
      </c>
      <c r="BG86" s="23">
        <f t="shared" si="10"/>
        <v>0.21982014622069823</v>
      </c>
    </row>
    <row r="87" spans="1:59" ht="18" customHeight="1" x14ac:dyDescent="0.2">
      <c r="A87" s="27" t="str">
        <f t="shared" si="16"/>
        <v>법인</v>
      </c>
      <c r="B87" s="27" t="s">
        <v>1556</v>
      </c>
      <c r="C87" s="27" t="s">
        <v>1496</v>
      </c>
      <c r="D87" s="26">
        <v>1278215707</v>
      </c>
      <c r="E87" s="89">
        <v>10032898</v>
      </c>
      <c r="F87" s="25" t="s">
        <v>166</v>
      </c>
      <c r="G87" s="48" t="s">
        <v>322</v>
      </c>
      <c r="H87" s="53">
        <v>45838</v>
      </c>
      <c r="I87" s="50">
        <v>45958</v>
      </c>
      <c r="J87" s="14">
        <v>573.96500000000003</v>
      </c>
      <c r="K87" s="49" t="s">
        <v>311</v>
      </c>
      <c r="L87" s="12">
        <v>0</v>
      </c>
      <c r="M87" s="13">
        <v>0</v>
      </c>
      <c r="N87" s="12">
        <v>0</v>
      </c>
      <c r="O87" s="13">
        <v>0</v>
      </c>
      <c r="P87" s="12">
        <v>0</v>
      </c>
      <c r="Q87" s="13">
        <v>0</v>
      </c>
      <c r="R87" s="12">
        <v>0</v>
      </c>
      <c r="S87" s="13">
        <v>0</v>
      </c>
      <c r="T87" s="12">
        <v>0</v>
      </c>
      <c r="U87" s="13">
        <v>0</v>
      </c>
      <c r="V87" s="12">
        <v>0</v>
      </c>
      <c r="W87" s="13">
        <v>0</v>
      </c>
      <c r="X87" s="12">
        <v>0</v>
      </c>
      <c r="Y87" s="13">
        <v>0</v>
      </c>
      <c r="Z87" s="12">
        <v>0</v>
      </c>
      <c r="AA87" s="13">
        <v>0</v>
      </c>
      <c r="AB87" s="12">
        <v>0</v>
      </c>
      <c r="AC87" s="13">
        <v>0</v>
      </c>
      <c r="AD87" s="12">
        <v>0</v>
      </c>
      <c r="AE87" s="13">
        <v>0</v>
      </c>
      <c r="AF87" s="12">
        <v>0</v>
      </c>
      <c r="AG87" s="13">
        <v>0</v>
      </c>
      <c r="AH87" s="12">
        <v>0</v>
      </c>
      <c r="AI87" s="13">
        <v>0</v>
      </c>
      <c r="AJ87" s="12">
        <v>0</v>
      </c>
      <c r="AK87" s="13">
        <v>0</v>
      </c>
      <c r="AL87" s="12">
        <v>5</v>
      </c>
      <c r="AM87" s="13">
        <v>0</v>
      </c>
      <c r="AN87" s="12">
        <v>5</v>
      </c>
      <c r="AO87" s="13">
        <v>0</v>
      </c>
      <c r="AP87" s="12">
        <v>5</v>
      </c>
      <c r="AQ87" s="13">
        <v>5</v>
      </c>
      <c r="AR87" s="12">
        <v>5</v>
      </c>
      <c r="AS87" s="13">
        <v>5</v>
      </c>
      <c r="AT87" s="12">
        <v>5</v>
      </c>
      <c r="AU87" s="13">
        <v>5</v>
      </c>
      <c r="AV87" s="12">
        <f>IFERROR(VLOOKUP(E87,[1]Sheet4!$A:$D,4,0),0)</f>
        <v>5</v>
      </c>
      <c r="AW87" s="13">
        <v>5</v>
      </c>
      <c r="AX87" s="12">
        <v>5.3440000000000003</v>
      </c>
      <c r="AY87" s="39">
        <v>5</v>
      </c>
      <c r="AZ87" s="12">
        <v>5</v>
      </c>
      <c r="BA87" s="39">
        <v>5</v>
      </c>
      <c r="BB87" s="12">
        <v>5</v>
      </c>
      <c r="BC87" s="39">
        <v>5.3440000000000003</v>
      </c>
      <c r="BD87" s="12">
        <f t="shared" si="14"/>
        <v>45.344000000000001</v>
      </c>
      <c r="BE87" s="14">
        <f t="shared" si="15"/>
        <v>35.344000000000001</v>
      </c>
      <c r="BF87" s="24">
        <f t="shared" si="19"/>
        <v>0.77946365561044462</v>
      </c>
      <c r="BG87" s="23">
        <f t="shared" si="10"/>
        <v>6.1578667688796357E-2</v>
      </c>
    </row>
    <row r="88" spans="1:59" ht="18" customHeight="1" x14ac:dyDescent="0.2">
      <c r="A88" s="27" t="str">
        <f t="shared" si="16"/>
        <v>개인</v>
      </c>
      <c r="B88" s="27" t="s">
        <v>1559</v>
      </c>
      <c r="C88" s="27" t="s">
        <v>1554</v>
      </c>
      <c r="D88" s="26">
        <v>2109203614</v>
      </c>
      <c r="E88" s="89">
        <v>10034942</v>
      </c>
      <c r="F88" s="25" t="s">
        <v>171</v>
      </c>
      <c r="G88" s="48" t="s">
        <v>322</v>
      </c>
      <c r="H88" s="53">
        <v>45853</v>
      </c>
      <c r="I88" s="50">
        <v>45965</v>
      </c>
      <c r="J88" s="14">
        <v>886.53039999999999</v>
      </c>
      <c r="K88" s="49" t="s">
        <v>311</v>
      </c>
      <c r="L88" s="12">
        <v>0</v>
      </c>
      <c r="M88" s="13">
        <v>0</v>
      </c>
      <c r="N88" s="12">
        <v>0</v>
      </c>
      <c r="O88" s="13">
        <v>0</v>
      </c>
      <c r="P88" s="12">
        <v>0</v>
      </c>
      <c r="Q88" s="13">
        <v>0</v>
      </c>
      <c r="R88" s="12">
        <v>0</v>
      </c>
      <c r="S88" s="13">
        <v>0</v>
      </c>
      <c r="T88" s="12">
        <v>0</v>
      </c>
      <c r="U88" s="13">
        <v>0</v>
      </c>
      <c r="V88" s="12">
        <v>0</v>
      </c>
      <c r="W88" s="13">
        <v>0</v>
      </c>
      <c r="X88" s="12">
        <v>0</v>
      </c>
      <c r="Y88" s="13">
        <v>0</v>
      </c>
      <c r="Z88" s="12">
        <v>0</v>
      </c>
      <c r="AA88" s="13">
        <v>0</v>
      </c>
      <c r="AB88" s="12">
        <v>0</v>
      </c>
      <c r="AC88" s="13">
        <v>0</v>
      </c>
      <c r="AD88" s="12">
        <v>0</v>
      </c>
      <c r="AE88" s="13">
        <v>0</v>
      </c>
      <c r="AF88" s="12">
        <v>0</v>
      </c>
      <c r="AG88" s="13">
        <v>0</v>
      </c>
      <c r="AH88" s="12">
        <v>0</v>
      </c>
      <c r="AI88" s="13">
        <v>0</v>
      </c>
      <c r="AJ88" s="12">
        <v>0</v>
      </c>
      <c r="AK88" s="13">
        <v>0</v>
      </c>
      <c r="AL88" s="12">
        <v>4.1349999999999998</v>
      </c>
      <c r="AM88" s="13">
        <v>0</v>
      </c>
      <c r="AN88" s="12">
        <v>15.279</v>
      </c>
      <c r="AO88" s="13">
        <v>4.1349999999999998</v>
      </c>
      <c r="AP88" s="12">
        <v>9.7240000000000002</v>
      </c>
      <c r="AQ88" s="13">
        <v>15.279</v>
      </c>
      <c r="AR88" s="12">
        <v>9.0530000000000008</v>
      </c>
      <c r="AS88" s="13">
        <v>9.7240000000000002</v>
      </c>
      <c r="AT88" s="12">
        <v>9.5790000000000006</v>
      </c>
      <c r="AU88" s="13">
        <v>9.0530000000000008</v>
      </c>
      <c r="AV88" s="12">
        <f>IFERROR(VLOOKUP(E88,[1]Sheet4!$A:$D,4,0),0)</f>
        <v>12.058</v>
      </c>
      <c r="AW88" s="13">
        <v>9.5790000000000006</v>
      </c>
      <c r="AX88" s="12">
        <v>13.757</v>
      </c>
      <c r="AY88" s="39">
        <v>12.058</v>
      </c>
      <c r="AZ88" s="12">
        <v>15.561999999999999</v>
      </c>
      <c r="BA88" s="39">
        <v>15.561999999999999</v>
      </c>
      <c r="BB88" s="12">
        <v>17.356999999999999</v>
      </c>
      <c r="BC88" s="39">
        <v>17.356999999999999</v>
      </c>
      <c r="BD88" s="12">
        <f t="shared" si="14"/>
        <v>106.504</v>
      </c>
      <c r="BE88" s="14">
        <f t="shared" si="15"/>
        <v>92.747</v>
      </c>
      <c r="BF88" s="24">
        <f t="shared" si="19"/>
        <v>0.87083114249230076</v>
      </c>
      <c r="BG88" s="23">
        <f t="shared" si="10"/>
        <v>0.10461795782750372</v>
      </c>
    </row>
    <row r="89" spans="1:59" ht="18" customHeight="1" x14ac:dyDescent="0.2">
      <c r="A89" s="27" t="str">
        <f t="shared" si="16"/>
        <v>법인</v>
      </c>
      <c r="B89" s="27" t="s">
        <v>1555</v>
      </c>
      <c r="C89" s="27" t="s">
        <v>1496</v>
      </c>
      <c r="D89" s="26">
        <v>2248207134</v>
      </c>
      <c r="E89" s="89">
        <v>10035562</v>
      </c>
      <c r="F89" s="25" t="s">
        <v>172</v>
      </c>
      <c r="G89" s="48" t="s">
        <v>322</v>
      </c>
      <c r="H89" s="53">
        <v>45859</v>
      </c>
      <c r="I89" s="50">
        <v>45972</v>
      </c>
      <c r="J89" s="14">
        <v>572.94799999999998</v>
      </c>
      <c r="K89" s="49" t="s">
        <v>311</v>
      </c>
      <c r="L89" s="12">
        <v>0</v>
      </c>
      <c r="M89" s="13">
        <v>0</v>
      </c>
      <c r="N89" s="12">
        <v>0</v>
      </c>
      <c r="O89" s="13">
        <v>0</v>
      </c>
      <c r="P89" s="12">
        <v>0</v>
      </c>
      <c r="Q89" s="13">
        <v>0</v>
      </c>
      <c r="R89" s="12">
        <v>0</v>
      </c>
      <c r="S89" s="13">
        <v>0</v>
      </c>
      <c r="T89" s="12">
        <v>0</v>
      </c>
      <c r="U89" s="13">
        <v>0</v>
      </c>
      <c r="V89" s="12">
        <v>0</v>
      </c>
      <c r="W89" s="13">
        <v>0</v>
      </c>
      <c r="X89" s="12">
        <v>0</v>
      </c>
      <c r="Y89" s="13">
        <v>0</v>
      </c>
      <c r="Z89" s="12">
        <v>0</v>
      </c>
      <c r="AA89" s="13">
        <v>0</v>
      </c>
      <c r="AB89" s="12">
        <v>0</v>
      </c>
      <c r="AC89" s="13">
        <v>0</v>
      </c>
      <c r="AD89" s="12">
        <v>0</v>
      </c>
      <c r="AE89" s="13">
        <v>0</v>
      </c>
      <c r="AF89" s="12">
        <v>0</v>
      </c>
      <c r="AG89" s="13">
        <v>0</v>
      </c>
      <c r="AH89" s="12">
        <v>0</v>
      </c>
      <c r="AI89" s="13">
        <v>0</v>
      </c>
      <c r="AJ89" s="12">
        <v>0</v>
      </c>
      <c r="AK89" s="13">
        <v>0</v>
      </c>
      <c r="AL89" s="12">
        <v>2.7360000000000002</v>
      </c>
      <c r="AM89" s="13">
        <v>0</v>
      </c>
      <c r="AN89" s="12">
        <v>18.061</v>
      </c>
      <c r="AO89" s="13">
        <v>2.7360000000000002</v>
      </c>
      <c r="AP89" s="12">
        <v>17.876000000000001</v>
      </c>
      <c r="AQ89" s="13">
        <v>0</v>
      </c>
      <c r="AR89" s="12">
        <v>18.84</v>
      </c>
      <c r="AS89" s="13">
        <v>35.936999999999998</v>
      </c>
      <c r="AT89" s="12">
        <v>15.093</v>
      </c>
      <c r="AU89" s="13">
        <v>18.84</v>
      </c>
      <c r="AV89" s="12">
        <f>IFERROR(VLOOKUP(E89,[1]Sheet4!$A:$D,4,0),0)</f>
        <v>12.766</v>
      </c>
      <c r="AW89" s="13">
        <v>15.093</v>
      </c>
      <c r="AX89" s="12">
        <v>10.933</v>
      </c>
      <c r="AY89" s="39">
        <v>12.766</v>
      </c>
      <c r="AZ89" s="12">
        <v>15.613</v>
      </c>
      <c r="BA89" s="39">
        <v>10.933</v>
      </c>
      <c r="BB89" s="12">
        <v>16.236999999999998</v>
      </c>
      <c r="BC89" s="39">
        <v>15.613</v>
      </c>
      <c r="BD89" s="12">
        <f t="shared" si="14"/>
        <v>128.155</v>
      </c>
      <c r="BE89" s="14">
        <f t="shared" si="15"/>
        <v>111.91800000000001</v>
      </c>
      <c r="BF89" s="24">
        <f t="shared" si="19"/>
        <v>0.87330186102766183</v>
      </c>
      <c r="BG89" s="23">
        <f t="shared" si="10"/>
        <v>0.19533709865467724</v>
      </c>
    </row>
    <row r="90" spans="1:59" ht="18" customHeight="1" x14ac:dyDescent="0.2">
      <c r="A90" s="27" t="str">
        <f t="shared" si="16"/>
        <v>개인</v>
      </c>
      <c r="B90" s="27" t="s">
        <v>1556</v>
      </c>
      <c r="C90" s="27" t="s">
        <v>1554</v>
      </c>
      <c r="D90" s="26">
        <v>2649600117</v>
      </c>
      <c r="E90" s="89">
        <v>10035927</v>
      </c>
      <c r="F90" s="25" t="s">
        <v>173</v>
      </c>
      <c r="G90" s="48" t="s">
        <v>322</v>
      </c>
      <c r="H90" s="53">
        <v>45930</v>
      </c>
      <c r="I90" s="50">
        <v>45992</v>
      </c>
      <c r="J90" s="14">
        <v>543.90493300000003</v>
      </c>
      <c r="K90" s="49" t="s">
        <v>311</v>
      </c>
      <c r="L90" s="12">
        <v>0</v>
      </c>
      <c r="M90" s="13">
        <v>0</v>
      </c>
      <c r="N90" s="12">
        <v>0</v>
      </c>
      <c r="O90" s="13">
        <v>0</v>
      </c>
      <c r="P90" s="12">
        <v>0</v>
      </c>
      <c r="Q90" s="13">
        <v>0</v>
      </c>
      <c r="R90" s="12">
        <v>0</v>
      </c>
      <c r="S90" s="13">
        <v>0</v>
      </c>
      <c r="T90" s="12">
        <v>0</v>
      </c>
      <c r="U90" s="13">
        <v>0</v>
      </c>
      <c r="V90" s="12">
        <v>0</v>
      </c>
      <c r="W90" s="13">
        <v>0</v>
      </c>
      <c r="X90" s="12">
        <v>0</v>
      </c>
      <c r="Y90" s="13">
        <v>0</v>
      </c>
      <c r="Z90" s="12">
        <v>0</v>
      </c>
      <c r="AA90" s="13">
        <v>0</v>
      </c>
      <c r="AB90" s="12">
        <v>0</v>
      </c>
      <c r="AC90" s="13">
        <v>0</v>
      </c>
      <c r="AD90" s="12">
        <v>0</v>
      </c>
      <c r="AE90" s="13">
        <v>0</v>
      </c>
      <c r="AF90" s="12">
        <v>0</v>
      </c>
      <c r="AG90" s="13">
        <v>0</v>
      </c>
      <c r="AH90" s="12">
        <v>0</v>
      </c>
      <c r="AI90" s="13">
        <v>0</v>
      </c>
      <c r="AJ90" s="12">
        <v>0</v>
      </c>
      <c r="AK90" s="13">
        <v>0</v>
      </c>
      <c r="AL90" s="12">
        <v>3.0550000000000002</v>
      </c>
      <c r="AM90" s="13">
        <v>0</v>
      </c>
      <c r="AN90" s="12">
        <v>12.194000000000001</v>
      </c>
      <c r="AO90" s="13">
        <v>0</v>
      </c>
      <c r="AP90" s="12">
        <v>10.061999999999999</v>
      </c>
      <c r="AQ90" s="13">
        <v>15.249000000000001</v>
      </c>
      <c r="AR90" s="12">
        <v>15.743</v>
      </c>
      <c r="AS90" s="13">
        <v>10.061999999999999</v>
      </c>
      <c r="AT90" s="12">
        <v>13.273</v>
      </c>
      <c r="AU90" s="13">
        <v>15.743</v>
      </c>
      <c r="AV90" s="12">
        <f>IFERROR(VLOOKUP(E90,[1]Sheet4!$A:$D,4,0),0)</f>
        <v>12.414999999999999</v>
      </c>
      <c r="AW90" s="13">
        <v>13.273</v>
      </c>
      <c r="AX90" s="12">
        <v>13.923</v>
      </c>
      <c r="AY90" s="39">
        <v>12.414999999999999</v>
      </c>
      <c r="AZ90" s="12">
        <v>10.282999999999999</v>
      </c>
      <c r="BA90" s="39">
        <v>13.923</v>
      </c>
      <c r="BB90" s="12">
        <v>10.153</v>
      </c>
      <c r="BC90" s="39">
        <v>10.282999999999999</v>
      </c>
      <c r="BD90" s="12">
        <f t="shared" si="14"/>
        <v>101.101</v>
      </c>
      <c r="BE90" s="14">
        <f t="shared" si="15"/>
        <v>90.947999999999993</v>
      </c>
      <c r="BF90" s="24">
        <f t="shared" si="19"/>
        <v>0.89957567185289955</v>
      </c>
      <c r="BG90" s="23">
        <f t="shared" si="10"/>
        <v>0.16721304493114422</v>
      </c>
    </row>
    <row r="91" spans="1:59" ht="18" customHeight="1" x14ac:dyDescent="0.2">
      <c r="A91" s="27" t="str">
        <f t="shared" si="16"/>
        <v>법인</v>
      </c>
      <c r="B91" s="27" t="s">
        <v>1574</v>
      </c>
      <c r="C91" s="27" t="s">
        <v>1496</v>
      </c>
      <c r="D91" s="26">
        <v>3088207903</v>
      </c>
      <c r="E91" s="89">
        <v>10036531</v>
      </c>
      <c r="F91" s="25" t="s">
        <v>176</v>
      </c>
      <c r="G91" s="48" t="s">
        <v>322</v>
      </c>
      <c r="H91" s="53">
        <v>45881</v>
      </c>
      <c r="I91" s="50">
        <v>45986</v>
      </c>
      <c r="J91" s="14">
        <v>283.31200000000001</v>
      </c>
      <c r="K91" s="49" t="s">
        <v>311</v>
      </c>
      <c r="L91" s="12">
        <v>0</v>
      </c>
      <c r="M91" s="13">
        <v>0</v>
      </c>
      <c r="N91" s="12">
        <v>0</v>
      </c>
      <c r="O91" s="13">
        <v>0</v>
      </c>
      <c r="P91" s="12">
        <v>0</v>
      </c>
      <c r="Q91" s="13">
        <v>0</v>
      </c>
      <c r="R91" s="12">
        <v>0</v>
      </c>
      <c r="S91" s="13">
        <v>0</v>
      </c>
      <c r="T91" s="12">
        <v>0</v>
      </c>
      <c r="U91" s="13">
        <v>0</v>
      </c>
      <c r="V91" s="12">
        <v>0</v>
      </c>
      <c r="W91" s="13">
        <v>0</v>
      </c>
      <c r="X91" s="12">
        <v>0</v>
      </c>
      <c r="Y91" s="13">
        <v>0</v>
      </c>
      <c r="Z91" s="12">
        <v>0</v>
      </c>
      <c r="AA91" s="13">
        <v>0</v>
      </c>
      <c r="AB91" s="12">
        <v>0</v>
      </c>
      <c r="AC91" s="13">
        <v>0</v>
      </c>
      <c r="AD91" s="12">
        <v>0</v>
      </c>
      <c r="AE91" s="13">
        <v>0</v>
      </c>
      <c r="AF91" s="12">
        <v>0</v>
      </c>
      <c r="AG91" s="13">
        <v>0</v>
      </c>
      <c r="AH91" s="12">
        <v>0</v>
      </c>
      <c r="AI91" s="13">
        <v>0</v>
      </c>
      <c r="AJ91" s="12">
        <v>0</v>
      </c>
      <c r="AK91" s="13">
        <v>0</v>
      </c>
      <c r="AL91" s="12">
        <v>3.12</v>
      </c>
      <c r="AM91" s="13">
        <v>0</v>
      </c>
      <c r="AN91" s="12">
        <v>4.9139999999999997</v>
      </c>
      <c r="AO91" s="13">
        <v>3.12</v>
      </c>
      <c r="AP91" s="12">
        <v>3.2759999999999998</v>
      </c>
      <c r="AQ91" s="13">
        <v>4.9139999999999997</v>
      </c>
      <c r="AR91" s="12">
        <v>4.7190000000000003</v>
      </c>
      <c r="AS91" s="13">
        <v>3.2759999999999998</v>
      </c>
      <c r="AT91" s="12">
        <v>4.524</v>
      </c>
      <c r="AU91" s="13">
        <v>0</v>
      </c>
      <c r="AV91" s="12">
        <f>IFERROR(VLOOKUP(E91,[1]Sheet4!$A:$D,4,0),0)</f>
        <v>5.0679999999999996</v>
      </c>
      <c r="AW91" s="13">
        <v>9.2430000000000003</v>
      </c>
      <c r="AX91" s="12">
        <v>5.2649999999999997</v>
      </c>
      <c r="AY91" s="39">
        <v>5.0679999999999996</v>
      </c>
      <c r="AZ91" s="12">
        <v>7.774</v>
      </c>
      <c r="BA91" s="39">
        <v>5.2649999999999997</v>
      </c>
      <c r="BB91" s="12">
        <v>6.4740000000000002</v>
      </c>
      <c r="BC91" s="39">
        <v>7.774</v>
      </c>
      <c r="BD91" s="12">
        <f t="shared" si="14"/>
        <v>45.134</v>
      </c>
      <c r="BE91" s="14">
        <f t="shared" si="15"/>
        <v>38.659999999999997</v>
      </c>
      <c r="BF91" s="24">
        <f t="shared" si="19"/>
        <v>0.85656046439491285</v>
      </c>
      <c r="BG91" s="23">
        <f t="shared" si="10"/>
        <v>0.13645733325803353</v>
      </c>
    </row>
    <row r="92" spans="1:59" ht="18" customHeight="1" x14ac:dyDescent="0.2">
      <c r="A92" s="27" t="str">
        <f t="shared" si="16"/>
        <v>개인</v>
      </c>
      <c r="B92" s="27" t="s">
        <v>1558</v>
      </c>
      <c r="C92" s="27" t="s">
        <v>1554</v>
      </c>
      <c r="D92" s="26">
        <v>3119602309</v>
      </c>
      <c r="E92" s="89">
        <v>10036639</v>
      </c>
      <c r="F92" s="25" t="s">
        <v>177</v>
      </c>
      <c r="G92" s="48" t="s">
        <v>322</v>
      </c>
      <c r="H92" s="53">
        <v>45870</v>
      </c>
      <c r="I92" s="50">
        <v>45979</v>
      </c>
      <c r="J92" s="14">
        <v>1714.7349999999999</v>
      </c>
      <c r="K92" s="49" t="s">
        <v>311</v>
      </c>
      <c r="L92" s="12">
        <v>0</v>
      </c>
      <c r="M92" s="13">
        <v>0</v>
      </c>
      <c r="N92" s="12">
        <v>0</v>
      </c>
      <c r="O92" s="13">
        <v>0</v>
      </c>
      <c r="P92" s="12">
        <v>0</v>
      </c>
      <c r="Q92" s="13">
        <v>0</v>
      </c>
      <c r="R92" s="12">
        <v>0</v>
      </c>
      <c r="S92" s="13">
        <v>0</v>
      </c>
      <c r="T92" s="12">
        <v>0</v>
      </c>
      <c r="U92" s="13">
        <v>0</v>
      </c>
      <c r="V92" s="12">
        <v>0</v>
      </c>
      <c r="W92" s="13">
        <v>0</v>
      </c>
      <c r="X92" s="12">
        <v>0</v>
      </c>
      <c r="Y92" s="13">
        <v>0</v>
      </c>
      <c r="Z92" s="12">
        <v>0</v>
      </c>
      <c r="AA92" s="13">
        <v>0</v>
      </c>
      <c r="AB92" s="12">
        <v>0</v>
      </c>
      <c r="AC92" s="13">
        <v>0</v>
      </c>
      <c r="AD92" s="12">
        <v>0</v>
      </c>
      <c r="AE92" s="13">
        <v>0</v>
      </c>
      <c r="AF92" s="12">
        <v>0</v>
      </c>
      <c r="AG92" s="13">
        <v>0</v>
      </c>
      <c r="AH92" s="12">
        <v>0</v>
      </c>
      <c r="AI92" s="13">
        <v>0</v>
      </c>
      <c r="AJ92" s="12">
        <v>0</v>
      </c>
      <c r="AK92" s="13">
        <v>0</v>
      </c>
      <c r="AL92" s="12">
        <v>0.89400000000000002</v>
      </c>
      <c r="AM92" s="13">
        <v>0</v>
      </c>
      <c r="AN92" s="12">
        <v>14.4</v>
      </c>
      <c r="AO92" s="13">
        <v>0</v>
      </c>
      <c r="AP92" s="12">
        <v>24.294</v>
      </c>
      <c r="AQ92" s="13">
        <v>0.89400000000000002</v>
      </c>
      <c r="AR92" s="12">
        <v>59.082000000000001</v>
      </c>
      <c r="AS92" s="13">
        <v>6.6989999999999998</v>
      </c>
      <c r="AT92" s="12">
        <v>73.19</v>
      </c>
      <c r="AU92" s="13">
        <v>31.995000000000001</v>
      </c>
      <c r="AV92" s="12">
        <f>IFERROR(VLOOKUP(E92,[1]Sheet4!$A:$D,4,0),0)</f>
        <v>68.334999999999994</v>
      </c>
      <c r="AW92" s="13">
        <v>0</v>
      </c>
      <c r="AX92" s="12">
        <v>85.936000000000007</v>
      </c>
      <c r="AY92" s="39">
        <v>132.27199999999999</v>
      </c>
      <c r="AZ92" s="12">
        <v>90.043000000000006</v>
      </c>
      <c r="BA92" s="39">
        <v>68.334999999999994</v>
      </c>
      <c r="BB92" s="12">
        <v>76.537999999999997</v>
      </c>
      <c r="BC92" s="39">
        <v>85.936000000000007</v>
      </c>
      <c r="BD92" s="12">
        <f t="shared" si="14"/>
        <v>492.71199999999999</v>
      </c>
      <c r="BE92" s="14">
        <f t="shared" si="15"/>
        <v>326.13099999999997</v>
      </c>
      <c r="BF92" s="24">
        <f t="shared" si="19"/>
        <v>0.66191000016236656</v>
      </c>
      <c r="BG92" s="23">
        <f t="shared" ref="BG92:BG123" si="20">BE92/J92</f>
        <v>0.19019323685584069</v>
      </c>
    </row>
    <row r="93" spans="1:59" ht="18" customHeight="1" x14ac:dyDescent="0.2">
      <c r="A93" s="27" t="str">
        <f t="shared" si="16"/>
        <v>개인</v>
      </c>
      <c r="B93" s="27" t="s">
        <v>1559</v>
      </c>
      <c r="C93" s="27" t="s">
        <v>1554</v>
      </c>
      <c r="D93" s="26">
        <v>4109607163</v>
      </c>
      <c r="E93" s="89">
        <v>10038259</v>
      </c>
      <c r="F93" s="25" t="s">
        <v>181</v>
      </c>
      <c r="G93" s="48" t="s">
        <v>322</v>
      </c>
      <c r="H93" s="53">
        <v>45923</v>
      </c>
      <c r="I93" s="50">
        <v>45986</v>
      </c>
      <c r="J93" s="14">
        <v>541.98009999999999</v>
      </c>
      <c r="K93" s="49" t="s">
        <v>311</v>
      </c>
      <c r="L93" s="12">
        <v>0</v>
      </c>
      <c r="M93" s="13">
        <v>0</v>
      </c>
      <c r="N93" s="12">
        <v>0</v>
      </c>
      <c r="O93" s="13">
        <v>0</v>
      </c>
      <c r="P93" s="12">
        <v>0</v>
      </c>
      <c r="Q93" s="13">
        <v>0</v>
      </c>
      <c r="R93" s="12">
        <v>0</v>
      </c>
      <c r="S93" s="13">
        <v>0</v>
      </c>
      <c r="T93" s="12">
        <v>0</v>
      </c>
      <c r="U93" s="13">
        <v>0</v>
      </c>
      <c r="V93" s="12">
        <v>0</v>
      </c>
      <c r="W93" s="13">
        <v>0</v>
      </c>
      <c r="X93" s="12">
        <v>0</v>
      </c>
      <c r="Y93" s="13">
        <v>0</v>
      </c>
      <c r="Z93" s="12">
        <v>0</v>
      </c>
      <c r="AA93" s="13">
        <v>0</v>
      </c>
      <c r="AB93" s="12">
        <v>0</v>
      </c>
      <c r="AC93" s="13">
        <v>0</v>
      </c>
      <c r="AD93" s="12">
        <v>0</v>
      </c>
      <c r="AE93" s="13">
        <v>0</v>
      </c>
      <c r="AF93" s="12">
        <v>0</v>
      </c>
      <c r="AG93" s="13">
        <v>0</v>
      </c>
      <c r="AH93" s="12">
        <v>0</v>
      </c>
      <c r="AI93" s="13">
        <v>0</v>
      </c>
      <c r="AJ93" s="12">
        <v>0</v>
      </c>
      <c r="AK93" s="13">
        <v>0</v>
      </c>
      <c r="AL93" s="12">
        <v>5.3550000000000004</v>
      </c>
      <c r="AM93" s="13">
        <v>0</v>
      </c>
      <c r="AN93" s="12">
        <v>8.1210000000000004</v>
      </c>
      <c r="AO93" s="13">
        <v>5.3550000000000004</v>
      </c>
      <c r="AP93" s="12">
        <v>10.372</v>
      </c>
      <c r="AQ93" s="13">
        <v>8.1210000000000004</v>
      </c>
      <c r="AR93" s="12">
        <v>6.1120000000000001</v>
      </c>
      <c r="AS93" s="13">
        <v>10.372</v>
      </c>
      <c r="AT93" s="12">
        <v>5.8879999999999999</v>
      </c>
      <c r="AU93" s="13">
        <v>6.1120000000000001</v>
      </c>
      <c r="AV93" s="12">
        <f>IFERROR(VLOOKUP(E93,[1]Sheet4!$A:$D,4,0),0)</f>
        <v>8.7720000000000002</v>
      </c>
      <c r="AW93" s="13">
        <v>5.8879999999999999</v>
      </c>
      <c r="AX93" s="12">
        <v>9.4220000000000006</v>
      </c>
      <c r="AY93" s="39">
        <v>8.7720000000000002</v>
      </c>
      <c r="AZ93" s="12">
        <v>9.7880000000000003</v>
      </c>
      <c r="BA93" s="39">
        <v>9.4220000000000006</v>
      </c>
      <c r="BB93" s="12">
        <v>16.061</v>
      </c>
      <c r="BC93" s="39">
        <v>9.7880000000000003</v>
      </c>
      <c r="BD93" s="12">
        <f t="shared" si="14"/>
        <v>79.890999999999991</v>
      </c>
      <c r="BE93" s="14">
        <f t="shared" si="15"/>
        <v>63.83</v>
      </c>
      <c r="BF93" s="24">
        <f t="shared" si="19"/>
        <v>0.79896358788849819</v>
      </c>
      <c r="BG93" s="23">
        <f t="shared" si="20"/>
        <v>0.1177718517709414</v>
      </c>
    </row>
    <row r="94" spans="1:59" ht="18" customHeight="1" x14ac:dyDescent="0.2">
      <c r="A94" s="27" t="str">
        <f t="shared" si="16"/>
        <v>개인</v>
      </c>
      <c r="B94" s="27" t="s">
        <v>1565</v>
      </c>
      <c r="C94" s="27" t="s">
        <v>1554</v>
      </c>
      <c r="D94" s="26">
        <v>4160973375</v>
      </c>
      <c r="E94" s="89">
        <v>10038463</v>
      </c>
      <c r="F94" s="25" t="s">
        <v>182</v>
      </c>
      <c r="G94" s="48" t="s">
        <v>322</v>
      </c>
      <c r="H94" s="53">
        <v>45861</v>
      </c>
      <c r="I94" s="50">
        <v>45972</v>
      </c>
      <c r="J94" s="14">
        <v>347.39400000000001</v>
      </c>
      <c r="K94" s="49" t="s">
        <v>311</v>
      </c>
      <c r="L94" s="12">
        <v>0</v>
      </c>
      <c r="M94" s="13">
        <v>0</v>
      </c>
      <c r="N94" s="12">
        <v>0</v>
      </c>
      <c r="O94" s="13">
        <v>0</v>
      </c>
      <c r="P94" s="12">
        <v>0</v>
      </c>
      <c r="Q94" s="13">
        <v>0</v>
      </c>
      <c r="R94" s="12">
        <v>0</v>
      </c>
      <c r="S94" s="13">
        <v>0</v>
      </c>
      <c r="T94" s="12">
        <v>0</v>
      </c>
      <c r="U94" s="13">
        <v>0</v>
      </c>
      <c r="V94" s="12">
        <v>0</v>
      </c>
      <c r="W94" s="13">
        <v>0</v>
      </c>
      <c r="X94" s="12">
        <v>0</v>
      </c>
      <c r="Y94" s="13">
        <v>0</v>
      </c>
      <c r="Z94" s="12">
        <v>0</v>
      </c>
      <c r="AA94" s="13">
        <v>0</v>
      </c>
      <c r="AB94" s="12">
        <v>0</v>
      </c>
      <c r="AC94" s="13">
        <v>0</v>
      </c>
      <c r="AD94" s="12">
        <v>0</v>
      </c>
      <c r="AE94" s="13">
        <v>0</v>
      </c>
      <c r="AF94" s="12">
        <v>0</v>
      </c>
      <c r="AG94" s="13">
        <v>0</v>
      </c>
      <c r="AH94" s="12">
        <v>0</v>
      </c>
      <c r="AI94" s="13">
        <v>0</v>
      </c>
      <c r="AJ94" s="12">
        <v>0</v>
      </c>
      <c r="AK94" s="13">
        <v>0</v>
      </c>
      <c r="AL94" s="12">
        <v>10.291</v>
      </c>
      <c r="AM94" s="13">
        <v>0</v>
      </c>
      <c r="AN94" s="12">
        <v>11.637</v>
      </c>
      <c r="AO94" s="13">
        <v>0</v>
      </c>
      <c r="AP94" s="12">
        <v>7.1970000000000001</v>
      </c>
      <c r="AQ94" s="13">
        <v>0</v>
      </c>
      <c r="AR94" s="12">
        <v>9.1950000000000003</v>
      </c>
      <c r="AS94" s="13">
        <v>10.291</v>
      </c>
      <c r="AT94" s="12">
        <v>6.1840000000000002</v>
      </c>
      <c r="AU94" s="13">
        <v>11.637</v>
      </c>
      <c r="AV94" s="12">
        <f>IFERROR(VLOOKUP(E94,[1]Sheet4!$A:$D,4,0),0)</f>
        <v>7.4749999999999996</v>
      </c>
      <c r="AW94" s="13">
        <v>16.391999999999999</v>
      </c>
      <c r="AX94" s="12">
        <v>7.9029999999999996</v>
      </c>
      <c r="AY94" s="39">
        <v>6.1840000000000002</v>
      </c>
      <c r="AZ94" s="12">
        <v>7.8250000000000002</v>
      </c>
      <c r="BA94" s="39">
        <v>9.4749999999999996</v>
      </c>
      <c r="BB94" s="12">
        <v>6.093</v>
      </c>
      <c r="BC94" s="39">
        <v>10</v>
      </c>
      <c r="BD94" s="12">
        <f t="shared" si="14"/>
        <v>73.8</v>
      </c>
      <c r="BE94" s="14">
        <f t="shared" si="15"/>
        <v>63.978999999999999</v>
      </c>
      <c r="BF94" s="24">
        <f t="shared" si="19"/>
        <v>0.86692411924119239</v>
      </c>
      <c r="BG94" s="23">
        <f t="shared" si="20"/>
        <v>0.18416840820509278</v>
      </c>
    </row>
    <row r="95" spans="1:59" ht="18" customHeight="1" x14ac:dyDescent="0.2">
      <c r="A95" s="27" t="str">
        <f t="shared" si="16"/>
        <v>법인</v>
      </c>
      <c r="B95" s="27" t="s">
        <v>1559</v>
      </c>
      <c r="C95" s="27" t="s">
        <v>1496</v>
      </c>
      <c r="D95" s="26">
        <v>4238200140</v>
      </c>
      <c r="E95" s="89">
        <v>10038694</v>
      </c>
      <c r="F95" s="25" t="s">
        <v>183</v>
      </c>
      <c r="G95" s="48" t="s">
        <v>322</v>
      </c>
      <c r="H95" s="53">
        <v>45881</v>
      </c>
      <c r="I95" s="50">
        <v>45979</v>
      </c>
      <c r="J95" s="14">
        <v>2157.0328</v>
      </c>
      <c r="K95" s="49" t="s">
        <v>311</v>
      </c>
      <c r="L95" s="12">
        <v>0</v>
      </c>
      <c r="M95" s="13">
        <v>0</v>
      </c>
      <c r="N95" s="12">
        <v>0</v>
      </c>
      <c r="O95" s="13">
        <v>0</v>
      </c>
      <c r="P95" s="12">
        <v>0</v>
      </c>
      <c r="Q95" s="13">
        <v>0</v>
      </c>
      <c r="R95" s="12">
        <v>0</v>
      </c>
      <c r="S95" s="13">
        <v>0</v>
      </c>
      <c r="T95" s="12">
        <v>0</v>
      </c>
      <c r="U95" s="13">
        <v>0</v>
      </c>
      <c r="V95" s="12">
        <v>0</v>
      </c>
      <c r="W95" s="13">
        <v>0</v>
      </c>
      <c r="X95" s="12">
        <v>0</v>
      </c>
      <c r="Y95" s="13">
        <v>0</v>
      </c>
      <c r="Z95" s="12">
        <v>0</v>
      </c>
      <c r="AA95" s="13">
        <v>0</v>
      </c>
      <c r="AB95" s="12">
        <v>0</v>
      </c>
      <c r="AC95" s="13">
        <v>0</v>
      </c>
      <c r="AD95" s="12">
        <v>0</v>
      </c>
      <c r="AE95" s="13">
        <v>0</v>
      </c>
      <c r="AF95" s="12">
        <v>0</v>
      </c>
      <c r="AG95" s="13">
        <v>0</v>
      </c>
      <c r="AH95" s="12">
        <v>0</v>
      </c>
      <c r="AI95" s="13">
        <v>0</v>
      </c>
      <c r="AJ95" s="12">
        <v>0</v>
      </c>
      <c r="AK95" s="13">
        <v>0</v>
      </c>
      <c r="AL95" s="12">
        <v>2.9380000000000002</v>
      </c>
      <c r="AM95" s="13">
        <v>0</v>
      </c>
      <c r="AN95" s="12">
        <v>19.297999999999998</v>
      </c>
      <c r="AO95" s="13">
        <v>0</v>
      </c>
      <c r="AP95" s="12">
        <v>14.372</v>
      </c>
      <c r="AQ95" s="13">
        <v>0</v>
      </c>
      <c r="AR95" s="12" t="s">
        <v>1496</v>
      </c>
      <c r="AS95" s="13">
        <v>22.236000000000001</v>
      </c>
      <c r="AT95" s="12">
        <v>39.65</v>
      </c>
      <c r="AU95" s="13">
        <v>14.372</v>
      </c>
      <c r="AV95" s="12">
        <f>IFERROR(VLOOKUP(E95,[1]Sheet4!$A:$D,4,0),0)</f>
        <v>0</v>
      </c>
      <c r="AW95" s="13">
        <v>0</v>
      </c>
      <c r="AX95" s="12">
        <v>42.25</v>
      </c>
      <c r="AY95" s="39">
        <v>39.65</v>
      </c>
      <c r="AZ95" s="12">
        <v>1.3</v>
      </c>
      <c r="BA95" s="39">
        <v>42.25</v>
      </c>
      <c r="BB95" s="12">
        <v>59.8</v>
      </c>
      <c r="BC95" s="39">
        <v>1.3</v>
      </c>
      <c r="BD95" s="12">
        <f t="shared" si="14"/>
        <v>179.608</v>
      </c>
      <c r="BE95" s="14">
        <f t="shared" si="15"/>
        <v>119.80800000000001</v>
      </c>
      <c r="BF95" s="24">
        <f t="shared" si="19"/>
        <v>0.66705269253039956</v>
      </c>
      <c r="BG95" s="23">
        <f t="shared" si="20"/>
        <v>5.554296624511227E-2</v>
      </c>
    </row>
    <row r="96" spans="1:59" ht="18" customHeight="1" x14ac:dyDescent="0.2">
      <c r="A96" s="27" t="str">
        <f t="shared" si="16"/>
        <v>개인</v>
      </c>
      <c r="B96" s="27" t="s">
        <v>1569</v>
      </c>
      <c r="C96" s="27" t="s">
        <v>1554</v>
      </c>
      <c r="D96" s="26">
        <v>6109097133</v>
      </c>
      <c r="E96" s="89">
        <v>10040095</v>
      </c>
      <c r="F96" s="25" t="s">
        <v>188</v>
      </c>
      <c r="G96" s="48" t="s">
        <v>322</v>
      </c>
      <c r="H96" s="53">
        <v>45891</v>
      </c>
      <c r="I96" s="50">
        <v>45986</v>
      </c>
      <c r="J96" s="14">
        <v>255.917</v>
      </c>
      <c r="K96" s="49" t="s">
        <v>311</v>
      </c>
      <c r="L96" s="12">
        <v>0</v>
      </c>
      <c r="M96" s="13">
        <v>0</v>
      </c>
      <c r="N96" s="12">
        <v>0</v>
      </c>
      <c r="O96" s="13">
        <v>0</v>
      </c>
      <c r="P96" s="12">
        <v>0</v>
      </c>
      <c r="Q96" s="13">
        <v>0</v>
      </c>
      <c r="R96" s="12">
        <v>0</v>
      </c>
      <c r="S96" s="13">
        <v>0</v>
      </c>
      <c r="T96" s="12">
        <v>0</v>
      </c>
      <c r="U96" s="13">
        <v>0</v>
      </c>
      <c r="V96" s="12">
        <v>0</v>
      </c>
      <c r="W96" s="13">
        <v>0</v>
      </c>
      <c r="X96" s="12">
        <v>0</v>
      </c>
      <c r="Y96" s="13">
        <v>0</v>
      </c>
      <c r="Z96" s="12">
        <v>0</v>
      </c>
      <c r="AA96" s="13">
        <v>0</v>
      </c>
      <c r="AB96" s="12">
        <v>0</v>
      </c>
      <c r="AC96" s="13">
        <v>0</v>
      </c>
      <c r="AD96" s="12">
        <v>0</v>
      </c>
      <c r="AE96" s="13">
        <v>0</v>
      </c>
      <c r="AF96" s="12">
        <v>0</v>
      </c>
      <c r="AG96" s="13">
        <v>0</v>
      </c>
      <c r="AH96" s="12">
        <v>0</v>
      </c>
      <c r="AI96" s="13">
        <v>0</v>
      </c>
      <c r="AJ96" s="12">
        <v>0</v>
      </c>
      <c r="AK96" s="13">
        <v>0</v>
      </c>
      <c r="AL96" s="12">
        <v>7.234</v>
      </c>
      <c r="AM96" s="13">
        <v>0</v>
      </c>
      <c r="AN96" s="12">
        <v>7.1440000000000001</v>
      </c>
      <c r="AO96" s="13">
        <v>7.234</v>
      </c>
      <c r="AP96" s="12">
        <v>6.4640000000000004</v>
      </c>
      <c r="AQ96" s="13">
        <v>7.1440000000000001</v>
      </c>
      <c r="AR96" s="12">
        <v>8.2759999999999998</v>
      </c>
      <c r="AS96" s="13">
        <v>6.4640000000000004</v>
      </c>
      <c r="AT96" s="12">
        <v>7.1959999999999997</v>
      </c>
      <c r="AU96" s="13">
        <v>8.2759999999999998</v>
      </c>
      <c r="AV96" s="12">
        <f>IFERROR(VLOOKUP(E96,[1]Sheet4!$A:$D,4,0),0)</f>
        <v>7.1260000000000003</v>
      </c>
      <c r="AW96" s="13">
        <v>7.1959999999999997</v>
      </c>
      <c r="AX96" s="12">
        <v>6.609</v>
      </c>
      <c r="AY96" s="39">
        <v>7.1260000000000003</v>
      </c>
      <c r="AZ96" s="12">
        <v>10.144</v>
      </c>
      <c r="BA96" s="39">
        <v>6.609</v>
      </c>
      <c r="BB96" s="12">
        <v>11.824</v>
      </c>
      <c r="BC96" s="39">
        <v>10.144</v>
      </c>
      <c r="BD96" s="12">
        <f t="shared" si="14"/>
        <v>72.016999999999996</v>
      </c>
      <c r="BE96" s="14">
        <f t="shared" si="15"/>
        <v>60.192999999999998</v>
      </c>
      <c r="BF96" s="24">
        <f t="shared" si="19"/>
        <v>0.83581654331616151</v>
      </c>
      <c r="BG96" s="23">
        <f t="shared" si="20"/>
        <v>0.23520516417432213</v>
      </c>
    </row>
    <row r="97" spans="1:59" ht="18" customHeight="1" x14ac:dyDescent="0.2">
      <c r="A97" s="27" t="str">
        <f t="shared" si="16"/>
        <v>법인</v>
      </c>
      <c r="B97" s="27" t="s">
        <v>1560</v>
      </c>
      <c r="C97" s="27" t="s">
        <v>1496</v>
      </c>
      <c r="D97" s="26">
        <v>6108205190</v>
      </c>
      <c r="E97" s="89">
        <v>10041141</v>
      </c>
      <c r="F97" s="25" t="s">
        <v>187</v>
      </c>
      <c r="G97" s="48" t="s">
        <v>322</v>
      </c>
      <c r="H97" s="53">
        <v>45904</v>
      </c>
      <c r="I97" s="50">
        <v>45985</v>
      </c>
      <c r="J97" s="14">
        <v>995.79349999999999</v>
      </c>
      <c r="K97" s="49" t="s">
        <v>311</v>
      </c>
      <c r="L97" s="12">
        <v>0</v>
      </c>
      <c r="M97" s="13">
        <v>0</v>
      </c>
      <c r="N97" s="12">
        <v>0</v>
      </c>
      <c r="O97" s="13">
        <v>0</v>
      </c>
      <c r="P97" s="12">
        <v>0</v>
      </c>
      <c r="Q97" s="13">
        <v>0</v>
      </c>
      <c r="R97" s="12">
        <v>0</v>
      </c>
      <c r="S97" s="13">
        <v>0</v>
      </c>
      <c r="T97" s="12">
        <v>0</v>
      </c>
      <c r="U97" s="13">
        <v>0</v>
      </c>
      <c r="V97" s="12">
        <v>0</v>
      </c>
      <c r="W97" s="13">
        <v>0</v>
      </c>
      <c r="X97" s="12">
        <v>0</v>
      </c>
      <c r="Y97" s="13">
        <v>0</v>
      </c>
      <c r="Z97" s="12">
        <v>0</v>
      </c>
      <c r="AA97" s="13">
        <v>0</v>
      </c>
      <c r="AB97" s="12">
        <v>0</v>
      </c>
      <c r="AC97" s="13">
        <v>0</v>
      </c>
      <c r="AD97" s="12">
        <v>0</v>
      </c>
      <c r="AE97" s="13">
        <v>0</v>
      </c>
      <c r="AF97" s="12">
        <v>0</v>
      </c>
      <c r="AG97" s="13">
        <v>0</v>
      </c>
      <c r="AH97" s="12">
        <v>0</v>
      </c>
      <c r="AI97" s="13">
        <v>0</v>
      </c>
      <c r="AJ97" s="12">
        <v>0</v>
      </c>
      <c r="AK97" s="13">
        <v>0</v>
      </c>
      <c r="AL97" s="12">
        <v>11.76</v>
      </c>
      <c r="AM97" s="13">
        <v>0</v>
      </c>
      <c r="AN97" s="12">
        <v>14.08</v>
      </c>
      <c r="AO97" s="13">
        <v>11.76</v>
      </c>
      <c r="AP97" s="12">
        <v>12.512</v>
      </c>
      <c r="AQ97" s="13">
        <v>0</v>
      </c>
      <c r="AR97" s="12">
        <v>10.256</v>
      </c>
      <c r="AS97" s="13">
        <v>12.512</v>
      </c>
      <c r="AT97" s="12">
        <v>11.568</v>
      </c>
      <c r="AU97" s="13">
        <v>24.335999999999999</v>
      </c>
      <c r="AV97" s="12">
        <f>IFERROR(VLOOKUP(E97,[1]Sheet4!$A:$D,4,0),0)</f>
        <v>11.071999999999999</v>
      </c>
      <c r="AW97" s="13">
        <v>11.568</v>
      </c>
      <c r="AX97" s="12">
        <v>9.3919999999999995</v>
      </c>
      <c r="AY97" s="39">
        <v>11.071999999999999</v>
      </c>
      <c r="AZ97" s="12">
        <v>11.375999999999999</v>
      </c>
      <c r="BA97" s="39">
        <v>9.3919999999999995</v>
      </c>
      <c r="BB97" s="12">
        <v>11.664</v>
      </c>
      <c r="BC97" s="39">
        <v>11.375999999999999</v>
      </c>
      <c r="BD97" s="12">
        <f t="shared" si="14"/>
        <v>103.68</v>
      </c>
      <c r="BE97" s="14">
        <f t="shared" si="15"/>
        <v>92.015999999999991</v>
      </c>
      <c r="BF97" s="24">
        <f t="shared" si="19"/>
        <v>0.88749999999999984</v>
      </c>
      <c r="BG97" s="23">
        <f t="shared" si="20"/>
        <v>9.2404700372115289E-2</v>
      </c>
    </row>
    <row r="98" spans="1:59" ht="18" customHeight="1" x14ac:dyDescent="0.2">
      <c r="A98" s="27" t="str">
        <f t="shared" si="16"/>
        <v>개인</v>
      </c>
      <c r="B98" s="27" t="s">
        <v>1556</v>
      </c>
      <c r="C98" s="27" t="s">
        <v>1554</v>
      </c>
      <c r="D98" s="26">
        <v>6129235248</v>
      </c>
      <c r="E98" s="89">
        <v>10041259</v>
      </c>
      <c r="F98" s="25" t="s">
        <v>189</v>
      </c>
      <c r="G98" s="48" t="s">
        <v>322</v>
      </c>
      <c r="H98" s="53">
        <v>45924</v>
      </c>
      <c r="I98" s="50">
        <v>45971</v>
      </c>
      <c r="J98" s="14">
        <v>803.43799999999999</v>
      </c>
      <c r="K98" s="49" t="s">
        <v>311</v>
      </c>
      <c r="L98" s="12">
        <v>0</v>
      </c>
      <c r="M98" s="13">
        <v>0</v>
      </c>
      <c r="N98" s="12">
        <v>0</v>
      </c>
      <c r="O98" s="13">
        <v>0</v>
      </c>
      <c r="P98" s="12">
        <v>0</v>
      </c>
      <c r="Q98" s="13">
        <v>0</v>
      </c>
      <c r="R98" s="12">
        <v>0</v>
      </c>
      <c r="S98" s="13">
        <v>0</v>
      </c>
      <c r="T98" s="12">
        <v>0</v>
      </c>
      <c r="U98" s="13">
        <v>0</v>
      </c>
      <c r="V98" s="12">
        <v>0</v>
      </c>
      <c r="W98" s="13">
        <v>0</v>
      </c>
      <c r="X98" s="12">
        <v>0</v>
      </c>
      <c r="Y98" s="13">
        <v>0</v>
      </c>
      <c r="Z98" s="12">
        <v>0</v>
      </c>
      <c r="AA98" s="13">
        <v>0</v>
      </c>
      <c r="AB98" s="12">
        <v>0</v>
      </c>
      <c r="AC98" s="13">
        <v>0</v>
      </c>
      <c r="AD98" s="12">
        <v>0</v>
      </c>
      <c r="AE98" s="13">
        <v>0</v>
      </c>
      <c r="AF98" s="12">
        <v>0</v>
      </c>
      <c r="AG98" s="13">
        <v>0</v>
      </c>
      <c r="AH98" s="12">
        <v>0</v>
      </c>
      <c r="AI98" s="13">
        <v>0</v>
      </c>
      <c r="AJ98" s="12">
        <v>0</v>
      </c>
      <c r="AK98" s="13">
        <v>0</v>
      </c>
      <c r="AL98" s="12">
        <v>2.004</v>
      </c>
      <c r="AM98" s="13">
        <v>0</v>
      </c>
      <c r="AN98" s="12">
        <v>1.032</v>
      </c>
      <c r="AO98" s="13">
        <v>0</v>
      </c>
      <c r="AP98" s="12">
        <v>5.3219999999999992</v>
      </c>
      <c r="AQ98" s="13">
        <v>3.036</v>
      </c>
      <c r="AR98" s="12" t="s">
        <v>1496</v>
      </c>
      <c r="AS98" s="13">
        <v>5.3220000000000001</v>
      </c>
      <c r="AT98" s="12">
        <v>1.7749999999999999</v>
      </c>
      <c r="AU98" s="13">
        <v>0</v>
      </c>
      <c r="AV98" s="12">
        <f>IFERROR(VLOOKUP(E98,[1]Sheet4!$A:$D,4,0),0)</f>
        <v>18.202000000000002</v>
      </c>
      <c r="AW98" s="13">
        <v>1.7749999999999999</v>
      </c>
      <c r="AX98" s="12">
        <v>20.486999999999998</v>
      </c>
      <c r="AY98" s="39">
        <v>18.202000000000002</v>
      </c>
      <c r="AZ98" s="12">
        <v>23.667999999999999</v>
      </c>
      <c r="BA98" s="39">
        <v>20.486999999999998</v>
      </c>
      <c r="BB98" s="12">
        <v>20.100999999999999</v>
      </c>
      <c r="BC98" s="39">
        <v>23.667999999999999</v>
      </c>
      <c r="BD98" s="12">
        <f t="shared" si="14"/>
        <v>92.591000000000008</v>
      </c>
      <c r="BE98" s="14">
        <f t="shared" si="15"/>
        <v>72.490000000000009</v>
      </c>
      <c r="BF98" s="24">
        <f t="shared" si="19"/>
        <v>0.78290546597401478</v>
      </c>
      <c r="BG98" s="23">
        <f t="shared" si="20"/>
        <v>9.0224759097777316E-2</v>
      </c>
    </row>
    <row r="99" spans="1:59" ht="18" customHeight="1" x14ac:dyDescent="0.2">
      <c r="A99" s="27" t="str">
        <f t="shared" si="16"/>
        <v>개인</v>
      </c>
      <c r="B99" s="27" t="s">
        <v>1558</v>
      </c>
      <c r="C99" s="27" t="s">
        <v>1554</v>
      </c>
      <c r="D99" s="26">
        <v>6159083712</v>
      </c>
      <c r="E99" s="89">
        <v>10041441</v>
      </c>
      <c r="F99" s="25" t="s">
        <v>190</v>
      </c>
      <c r="G99" s="48" t="s">
        <v>322</v>
      </c>
      <c r="H99" s="53">
        <v>45930</v>
      </c>
      <c r="I99" s="50">
        <v>45978</v>
      </c>
      <c r="J99" s="14">
        <v>567.79060000000004</v>
      </c>
      <c r="K99" s="49" t="s">
        <v>311</v>
      </c>
      <c r="L99" s="12">
        <v>0</v>
      </c>
      <c r="M99" s="13">
        <v>0</v>
      </c>
      <c r="N99" s="12">
        <v>0</v>
      </c>
      <c r="O99" s="13">
        <v>0</v>
      </c>
      <c r="P99" s="12">
        <v>0</v>
      </c>
      <c r="Q99" s="13">
        <v>0</v>
      </c>
      <c r="R99" s="12">
        <v>0</v>
      </c>
      <c r="S99" s="13">
        <v>0</v>
      </c>
      <c r="T99" s="12">
        <v>0</v>
      </c>
      <c r="U99" s="13">
        <v>0</v>
      </c>
      <c r="V99" s="12">
        <v>0</v>
      </c>
      <c r="W99" s="13">
        <v>0</v>
      </c>
      <c r="X99" s="12">
        <v>0</v>
      </c>
      <c r="Y99" s="13">
        <v>0</v>
      </c>
      <c r="Z99" s="12">
        <v>0</v>
      </c>
      <c r="AA99" s="13">
        <v>0</v>
      </c>
      <c r="AB99" s="12">
        <v>0</v>
      </c>
      <c r="AC99" s="13">
        <v>0</v>
      </c>
      <c r="AD99" s="12">
        <v>0</v>
      </c>
      <c r="AE99" s="13">
        <v>0</v>
      </c>
      <c r="AF99" s="12">
        <v>0</v>
      </c>
      <c r="AG99" s="13">
        <v>0</v>
      </c>
      <c r="AH99" s="12">
        <v>0</v>
      </c>
      <c r="AI99" s="13">
        <v>0</v>
      </c>
      <c r="AJ99" s="12">
        <v>0</v>
      </c>
      <c r="AK99" s="13">
        <v>0</v>
      </c>
      <c r="AL99" s="12">
        <v>1.4239999999999999</v>
      </c>
      <c r="AM99" s="13">
        <v>0</v>
      </c>
      <c r="AN99" s="12">
        <v>1.1519999999999999</v>
      </c>
      <c r="AO99" s="13">
        <v>0</v>
      </c>
      <c r="AP99" s="12">
        <v>1.264</v>
      </c>
      <c r="AQ99" s="13">
        <v>1.4239999999999999</v>
      </c>
      <c r="AR99" s="12">
        <v>1.216</v>
      </c>
      <c r="AS99" s="13">
        <v>1.1519999999999999</v>
      </c>
      <c r="AT99" s="12">
        <v>0.89600000000000002</v>
      </c>
      <c r="AU99" s="13">
        <v>1.216</v>
      </c>
      <c r="AV99" s="12">
        <f>IFERROR(VLOOKUP(E99,[1]Sheet4!$A:$D,4,0),0)</f>
        <v>0.36799999999999999</v>
      </c>
      <c r="AW99" s="13">
        <v>0.89600000000000002</v>
      </c>
      <c r="AX99" s="12">
        <v>0.24</v>
      </c>
      <c r="AY99" s="39">
        <v>0.36799999999999999</v>
      </c>
      <c r="AZ99" s="12">
        <v>0.27200000000000002</v>
      </c>
      <c r="BA99" s="39">
        <v>0</v>
      </c>
      <c r="BB99" s="12">
        <v>0.16</v>
      </c>
      <c r="BC99" s="39">
        <v>1.776</v>
      </c>
      <c r="BD99" s="12">
        <f t="shared" si="14"/>
        <v>6.9920000000000009</v>
      </c>
      <c r="BE99" s="14">
        <f t="shared" si="15"/>
        <v>6.8319999999999999</v>
      </c>
      <c r="BF99" s="24">
        <f t="shared" si="19"/>
        <v>0.97711670480549184</v>
      </c>
      <c r="BG99" s="23">
        <f t="shared" si="20"/>
        <v>1.2032604977961945E-2</v>
      </c>
    </row>
    <row r="100" spans="1:59" ht="18" customHeight="1" x14ac:dyDescent="0.2">
      <c r="A100" s="27" t="str">
        <f t="shared" si="16"/>
        <v>법인</v>
      </c>
      <c r="B100" s="27" t="s">
        <v>1558</v>
      </c>
      <c r="C100" s="27" t="s">
        <v>1496</v>
      </c>
      <c r="D100" s="26">
        <v>5058204846</v>
      </c>
      <c r="E100" s="89">
        <v>10046731</v>
      </c>
      <c r="F100" s="25" t="s">
        <v>184</v>
      </c>
      <c r="G100" s="48" t="s">
        <v>322</v>
      </c>
      <c r="H100" s="53">
        <v>45882</v>
      </c>
      <c r="I100" s="50">
        <v>45986</v>
      </c>
      <c r="J100" s="14">
        <v>852.24400000000003</v>
      </c>
      <c r="K100" s="49" t="s">
        <v>311</v>
      </c>
      <c r="L100" s="12">
        <v>0</v>
      </c>
      <c r="M100" s="13">
        <v>0</v>
      </c>
      <c r="N100" s="12">
        <v>0</v>
      </c>
      <c r="O100" s="13">
        <v>0</v>
      </c>
      <c r="P100" s="12">
        <v>0</v>
      </c>
      <c r="Q100" s="13">
        <v>0</v>
      </c>
      <c r="R100" s="12">
        <v>0</v>
      </c>
      <c r="S100" s="13">
        <v>0</v>
      </c>
      <c r="T100" s="12">
        <v>0</v>
      </c>
      <c r="U100" s="13">
        <v>0</v>
      </c>
      <c r="V100" s="12">
        <v>0</v>
      </c>
      <c r="W100" s="13">
        <v>0</v>
      </c>
      <c r="X100" s="12">
        <v>0</v>
      </c>
      <c r="Y100" s="13">
        <v>0</v>
      </c>
      <c r="Z100" s="12">
        <v>0</v>
      </c>
      <c r="AA100" s="13">
        <v>0</v>
      </c>
      <c r="AB100" s="12">
        <v>0</v>
      </c>
      <c r="AC100" s="13">
        <v>0</v>
      </c>
      <c r="AD100" s="12">
        <v>0</v>
      </c>
      <c r="AE100" s="13">
        <v>0</v>
      </c>
      <c r="AF100" s="12">
        <v>0</v>
      </c>
      <c r="AG100" s="13">
        <v>0</v>
      </c>
      <c r="AH100" s="12">
        <v>0</v>
      </c>
      <c r="AI100" s="13">
        <v>0</v>
      </c>
      <c r="AJ100" s="12">
        <v>0</v>
      </c>
      <c r="AK100" s="13">
        <v>0</v>
      </c>
      <c r="AL100" s="12">
        <v>15.472</v>
      </c>
      <c r="AM100" s="13">
        <v>0</v>
      </c>
      <c r="AN100" s="12">
        <v>42.16</v>
      </c>
      <c r="AO100" s="13">
        <v>0</v>
      </c>
      <c r="AP100" s="12">
        <v>39.152000000000001</v>
      </c>
      <c r="AQ100" s="13">
        <v>15.472</v>
      </c>
      <c r="AR100" s="12" t="s">
        <v>1496</v>
      </c>
      <c r="AS100" s="13">
        <v>0</v>
      </c>
      <c r="AT100" s="12">
        <v>78.207999999999998</v>
      </c>
      <c r="AU100" s="13">
        <v>42.16</v>
      </c>
      <c r="AV100" s="12">
        <f>IFERROR(VLOOKUP(E100,[1]Sheet4!$A:$D,4,0),0)</f>
        <v>38.799999999999997</v>
      </c>
      <c r="AW100" s="13">
        <v>39.152000000000001</v>
      </c>
      <c r="AX100" s="12">
        <v>34.911999999999999</v>
      </c>
      <c r="AY100" s="39">
        <v>0</v>
      </c>
      <c r="AZ100" s="12">
        <v>36.24</v>
      </c>
      <c r="BA100" s="39">
        <v>78.207999999999998</v>
      </c>
      <c r="BB100" s="12">
        <v>37.904000000000003</v>
      </c>
      <c r="BC100" s="39">
        <v>0</v>
      </c>
      <c r="BD100" s="12">
        <f t="shared" si="14"/>
        <v>322.84799999999996</v>
      </c>
      <c r="BE100" s="14">
        <f t="shared" si="15"/>
        <v>174.99199999999999</v>
      </c>
      <c r="BF100" s="24">
        <f t="shared" si="19"/>
        <v>0.54202596887699483</v>
      </c>
      <c r="BG100" s="23">
        <f t="shared" si="20"/>
        <v>0.2053308676857801</v>
      </c>
    </row>
    <row r="101" spans="1:59" ht="18" customHeight="1" x14ac:dyDescent="0.2">
      <c r="A101" s="27" t="str">
        <f t="shared" si="16"/>
        <v>법인</v>
      </c>
      <c r="B101" s="27" t="s">
        <v>1556</v>
      </c>
      <c r="C101" s="27" t="s">
        <v>1496</v>
      </c>
      <c r="D101" s="26">
        <v>7368200013</v>
      </c>
      <c r="E101" s="89">
        <v>10053087</v>
      </c>
      <c r="F101" s="25" t="s">
        <v>381</v>
      </c>
      <c r="G101" s="48" t="s">
        <v>319</v>
      </c>
      <c r="H101" s="53">
        <v>45961</v>
      </c>
      <c r="I101" s="50">
        <v>46028</v>
      </c>
      <c r="J101" s="14">
        <v>196.23956000000001</v>
      </c>
      <c r="K101" s="49" t="s">
        <v>311</v>
      </c>
      <c r="L101" s="12">
        <v>0</v>
      </c>
      <c r="M101" s="13">
        <v>0</v>
      </c>
      <c r="N101" s="12">
        <v>0</v>
      </c>
      <c r="O101" s="13">
        <v>0</v>
      </c>
      <c r="P101" s="12">
        <v>0</v>
      </c>
      <c r="Q101" s="13">
        <v>0</v>
      </c>
      <c r="R101" s="12">
        <v>0</v>
      </c>
      <c r="S101" s="13">
        <v>0</v>
      </c>
      <c r="T101" s="12">
        <v>0</v>
      </c>
      <c r="U101" s="13">
        <v>0</v>
      </c>
      <c r="V101" s="12">
        <v>0</v>
      </c>
      <c r="W101" s="13">
        <v>0</v>
      </c>
      <c r="X101" s="12">
        <v>0</v>
      </c>
      <c r="Y101" s="13">
        <v>0</v>
      </c>
      <c r="Z101" s="12">
        <v>0</v>
      </c>
      <c r="AA101" s="13">
        <v>0</v>
      </c>
      <c r="AB101" s="12">
        <v>0</v>
      </c>
      <c r="AC101" s="13">
        <v>0</v>
      </c>
      <c r="AD101" s="12">
        <v>0</v>
      </c>
      <c r="AE101" s="13">
        <v>0</v>
      </c>
      <c r="AF101" s="12">
        <v>0</v>
      </c>
      <c r="AG101" s="13">
        <v>0</v>
      </c>
      <c r="AH101" s="12">
        <v>0</v>
      </c>
      <c r="AI101" s="13">
        <v>0</v>
      </c>
      <c r="AJ101" s="12">
        <v>0</v>
      </c>
      <c r="AK101" s="13">
        <v>0</v>
      </c>
      <c r="AL101" s="12">
        <v>196.23955999999998</v>
      </c>
      <c r="AM101" s="13">
        <v>0</v>
      </c>
      <c r="AN101" s="12">
        <v>0</v>
      </c>
      <c r="AO101" s="13">
        <v>0</v>
      </c>
      <c r="AP101" s="12">
        <v>0</v>
      </c>
      <c r="AQ101" s="13">
        <v>0</v>
      </c>
      <c r="AR101" s="12" t="s">
        <v>1496</v>
      </c>
      <c r="AS101" s="13">
        <v>0</v>
      </c>
      <c r="AT101" s="12">
        <v>0</v>
      </c>
      <c r="AU101" s="13">
        <v>0</v>
      </c>
      <c r="AV101" s="12">
        <f>IFERROR(VLOOKUP(E101,[1]Sheet4!$A:$D,4,0),0)</f>
        <v>0</v>
      </c>
      <c r="AW101" s="13">
        <v>0</v>
      </c>
      <c r="AX101" s="12">
        <v>0</v>
      </c>
      <c r="AY101" s="39">
        <v>196.23956000000001</v>
      </c>
      <c r="AZ101" s="12">
        <v>0</v>
      </c>
      <c r="BA101" s="39">
        <v>0</v>
      </c>
      <c r="BB101" s="12">
        <v>0</v>
      </c>
      <c r="BC101" s="39">
        <v>0</v>
      </c>
      <c r="BD101" s="12">
        <f t="shared" si="14"/>
        <v>196.23955999999998</v>
      </c>
      <c r="BE101" s="14">
        <f t="shared" si="15"/>
        <v>196.23956000000001</v>
      </c>
      <c r="BF101" s="24">
        <f t="shared" si="19"/>
        <v>1.0000000000000002</v>
      </c>
      <c r="BG101" s="23">
        <f t="shared" si="20"/>
        <v>1</v>
      </c>
    </row>
    <row r="102" spans="1:59" ht="18" customHeight="1" x14ac:dyDescent="0.2">
      <c r="A102" s="27" t="str">
        <f t="shared" si="16"/>
        <v>법인</v>
      </c>
      <c r="B102" s="27" t="s">
        <v>1575</v>
      </c>
      <c r="C102" s="27" t="s">
        <v>1496</v>
      </c>
      <c r="D102" s="26">
        <v>7158200205</v>
      </c>
      <c r="E102" s="89">
        <v>10063044</v>
      </c>
      <c r="F102" s="25" t="s">
        <v>382</v>
      </c>
      <c r="G102" s="48" t="s">
        <v>322</v>
      </c>
      <c r="H102" s="53">
        <v>45967</v>
      </c>
      <c r="I102" s="50">
        <v>45978</v>
      </c>
      <c r="J102" s="14">
        <v>1114.876</v>
      </c>
      <c r="K102" s="49" t="s">
        <v>311</v>
      </c>
      <c r="L102" s="12">
        <v>0</v>
      </c>
      <c r="M102" s="13">
        <v>0</v>
      </c>
      <c r="N102" s="12">
        <v>0</v>
      </c>
      <c r="O102" s="13">
        <v>0</v>
      </c>
      <c r="P102" s="12">
        <v>0</v>
      </c>
      <c r="Q102" s="13">
        <v>0</v>
      </c>
      <c r="R102" s="12">
        <v>0</v>
      </c>
      <c r="S102" s="13">
        <v>0</v>
      </c>
      <c r="T102" s="12">
        <v>0</v>
      </c>
      <c r="U102" s="13">
        <v>0</v>
      </c>
      <c r="V102" s="12">
        <v>0</v>
      </c>
      <c r="W102" s="13">
        <v>0</v>
      </c>
      <c r="X102" s="12">
        <v>0</v>
      </c>
      <c r="Y102" s="13">
        <v>0</v>
      </c>
      <c r="Z102" s="12">
        <v>0</v>
      </c>
      <c r="AA102" s="13">
        <v>0</v>
      </c>
      <c r="AB102" s="12">
        <v>0</v>
      </c>
      <c r="AC102" s="13">
        <v>0</v>
      </c>
      <c r="AD102" s="12">
        <v>0</v>
      </c>
      <c r="AE102" s="13">
        <v>0</v>
      </c>
      <c r="AF102" s="12">
        <v>0</v>
      </c>
      <c r="AG102" s="13">
        <v>0</v>
      </c>
      <c r="AH102" s="12">
        <v>0</v>
      </c>
      <c r="AI102" s="13">
        <v>0</v>
      </c>
      <c r="AJ102" s="12">
        <v>0</v>
      </c>
      <c r="AK102" s="13">
        <v>0</v>
      </c>
      <c r="AL102" s="12">
        <v>33.488</v>
      </c>
      <c r="AM102" s="13">
        <v>0</v>
      </c>
      <c r="AN102" s="12">
        <v>32.008000000000003</v>
      </c>
      <c r="AO102" s="13">
        <v>33.488</v>
      </c>
      <c r="AP102" s="12">
        <v>25.7</v>
      </c>
      <c r="AQ102" s="13">
        <v>32.008000000000003</v>
      </c>
      <c r="AR102" s="12">
        <v>37.501199999999997</v>
      </c>
      <c r="AS102" s="13">
        <v>25.7</v>
      </c>
      <c r="AT102" s="12">
        <v>45.207999999999998</v>
      </c>
      <c r="AU102" s="13">
        <v>37.501199999999997</v>
      </c>
      <c r="AV102" s="12">
        <f>IFERROR(VLOOKUP(E102,[1]Sheet4!$A:$D,4,0),0)</f>
        <v>41.301600000000001</v>
      </c>
      <c r="AW102" s="13">
        <v>45.207999999999998</v>
      </c>
      <c r="AX102" s="12">
        <v>42.015599999999999</v>
      </c>
      <c r="AY102" s="39">
        <v>41.301600000000001</v>
      </c>
      <c r="AZ102" s="12">
        <v>38.683199999999999</v>
      </c>
      <c r="BA102" s="39">
        <v>42.015599999999999</v>
      </c>
      <c r="BB102" s="12">
        <v>41.035200000000003</v>
      </c>
      <c r="BC102" s="39">
        <v>38.683199999999999</v>
      </c>
      <c r="BD102" s="12">
        <f t="shared" si="14"/>
        <v>336.94079999999997</v>
      </c>
      <c r="BE102" s="14">
        <f t="shared" si="15"/>
        <v>295.90559999999999</v>
      </c>
      <c r="BF102" s="24">
        <f t="shared" si="19"/>
        <v>0.87821243375690927</v>
      </c>
      <c r="BG102" s="23">
        <f t="shared" si="20"/>
        <v>0.26541570542374221</v>
      </c>
    </row>
    <row r="103" spans="1:59" ht="18" customHeight="1" x14ac:dyDescent="0.2">
      <c r="A103" s="27" t="str">
        <f t="shared" si="16"/>
        <v>법인</v>
      </c>
      <c r="B103" s="27" t="s">
        <v>1567</v>
      </c>
      <c r="C103" s="27" t="s">
        <v>1496</v>
      </c>
      <c r="D103" s="26">
        <v>3348200383</v>
      </c>
      <c r="E103" s="89">
        <v>10081683</v>
      </c>
      <c r="F103" s="25" t="s">
        <v>383</v>
      </c>
      <c r="G103" s="48" t="s">
        <v>319</v>
      </c>
      <c r="H103" s="53">
        <v>45961</v>
      </c>
      <c r="I103" s="50">
        <v>46028</v>
      </c>
      <c r="J103" s="14">
        <v>252.02177</v>
      </c>
      <c r="K103" s="49" t="s">
        <v>311</v>
      </c>
      <c r="L103" s="12">
        <v>0</v>
      </c>
      <c r="M103" s="13">
        <v>0</v>
      </c>
      <c r="N103" s="12">
        <v>0</v>
      </c>
      <c r="O103" s="13">
        <v>0</v>
      </c>
      <c r="P103" s="12">
        <v>0</v>
      </c>
      <c r="Q103" s="13">
        <v>0</v>
      </c>
      <c r="R103" s="12">
        <v>0</v>
      </c>
      <c r="S103" s="13">
        <v>0</v>
      </c>
      <c r="T103" s="12">
        <v>0</v>
      </c>
      <c r="U103" s="13">
        <v>0</v>
      </c>
      <c r="V103" s="12">
        <v>0</v>
      </c>
      <c r="W103" s="13">
        <v>0</v>
      </c>
      <c r="X103" s="12">
        <v>0</v>
      </c>
      <c r="Y103" s="13">
        <v>0</v>
      </c>
      <c r="Z103" s="12">
        <v>0</v>
      </c>
      <c r="AA103" s="13">
        <v>0</v>
      </c>
      <c r="AB103" s="12">
        <v>0</v>
      </c>
      <c r="AC103" s="13">
        <v>0</v>
      </c>
      <c r="AD103" s="12">
        <v>0</v>
      </c>
      <c r="AE103" s="13">
        <v>0</v>
      </c>
      <c r="AF103" s="12">
        <v>0</v>
      </c>
      <c r="AG103" s="13">
        <v>0</v>
      </c>
      <c r="AH103" s="12">
        <v>0</v>
      </c>
      <c r="AI103" s="13">
        <v>0</v>
      </c>
      <c r="AJ103" s="12">
        <v>0</v>
      </c>
      <c r="AK103" s="13">
        <v>0</v>
      </c>
      <c r="AL103" s="12">
        <v>252.02177</v>
      </c>
      <c r="AM103" s="13">
        <v>0</v>
      </c>
      <c r="AN103" s="12">
        <v>0</v>
      </c>
      <c r="AO103" s="13">
        <v>0</v>
      </c>
      <c r="AP103" s="12">
        <v>0</v>
      </c>
      <c r="AQ103" s="13">
        <v>0</v>
      </c>
      <c r="AR103" s="12" t="s">
        <v>1496</v>
      </c>
      <c r="AS103" s="13">
        <v>0</v>
      </c>
      <c r="AT103" s="12">
        <v>0</v>
      </c>
      <c r="AU103" s="13">
        <v>0</v>
      </c>
      <c r="AV103" s="12">
        <f>IFERROR(VLOOKUP(E103,[1]Sheet4!$A:$D,4,0),0)</f>
        <v>0</v>
      </c>
      <c r="AW103" s="13">
        <v>0</v>
      </c>
      <c r="AX103" s="12">
        <v>0</v>
      </c>
      <c r="AY103" s="39">
        <v>0</v>
      </c>
      <c r="AZ103" s="12">
        <v>0</v>
      </c>
      <c r="BA103" s="39">
        <v>7.0006050000000002</v>
      </c>
      <c r="BB103" s="12">
        <v>-238.02055999999999</v>
      </c>
      <c r="BC103" s="39">
        <v>0</v>
      </c>
      <c r="BD103" s="12">
        <f t="shared" si="14"/>
        <v>14.001210000000015</v>
      </c>
      <c r="BE103" s="14">
        <f t="shared" si="15"/>
        <v>7.0006050000000002</v>
      </c>
      <c r="BF103" s="24">
        <f t="shared" si="19"/>
        <v>0.4999999999999995</v>
      </c>
      <c r="BG103" s="23">
        <f t="shared" si="20"/>
        <v>2.7777778879975328E-2</v>
      </c>
    </row>
    <row r="104" spans="1:59" ht="18" customHeight="1" x14ac:dyDescent="0.2">
      <c r="A104" s="27" t="str">
        <f t="shared" si="16"/>
        <v>개인</v>
      </c>
      <c r="B104" s="27" t="s">
        <v>1565</v>
      </c>
      <c r="C104" s="27" t="s">
        <v>1554</v>
      </c>
      <c r="D104" s="26">
        <v>3639300316</v>
      </c>
      <c r="E104" s="89">
        <v>10103688</v>
      </c>
      <c r="F104" s="25" t="s">
        <v>178</v>
      </c>
      <c r="G104" s="48" t="s">
        <v>322</v>
      </c>
      <c r="H104" s="53">
        <v>45961</v>
      </c>
      <c r="I104" s="50">
        <v>46007</v>
      </c>
      <c r="J104" s="14">
        <v>739.47429999999997</v>
      </c>
      <c r="K104" s="49" t="s">
        <v>311</v>
      </c>
      <c r="L104" s="12">
        <v>0</v>
      </c>
      <c r="M104" s="13">
        <v>0</v>
      </c>
      <c r="N104" s="12">
        <v>0</v>
      </c>
      <c r="O104" s="13">
        <v>0</v>
      </c>
      <c r="P104" s="12">
        <v>0</v>
      </c>
      <c r="Q104" s="13">
        <v>0</v>
      </c>
      <c r="R104" s="12">
        <v>0</v>
      </c>
      <c r="S104" s="13">
        <v>0</v>
      </c>
      <c r="T104" s="12">
        <v>0</v>
      </c>
      <c r="U104" s="13">
        <v>0</v>
      </c>
      <c r="V104" s="12">
        <v>0</v>
      </c>
      <c r="W104" s="13">
        <v>0</v>
      </c>
      <c r="X104" s="12">
        <v>0</v>
      </c>
      <c r="Y104" s="13">
        <v>0</v>
      </c>
      <c r="Z104" s="12">
        <v>0</v>
      </c>
      <c r="AA104" s="13">
        <v>0</v>
      </c>
      <c r="AB104" s="12">
        <v>0</v>
      </c>
      <c r="AC104" s="13">
        <v>0</v>
      </c>
      <c r="AD104" s="12">
        <v>0</v>
      </c>
      <c r="AE104" s="13">
        <v>0</v>
      </c>
      <c r="AF104" s="12">
        <v>0</v>
      </c>
      <c r="AG104" s="13">
        <v>0</v>
      </c>
      <c r="AH104" s="12">
        <v>0</v>
      </c>
      <c r="AI104" s="13">
        <v>0</v>
      </c>
      <c r="AJ104" s="12">
        <v>0</v>
      </c>
      <c r="AK104" s="13">
        <v>0</v>
      </c>
      <c r="AL104" s="12">
        <v>1.2869999999999999</v>
      </c>
      <c r="AM104" s="13">
        <v>0</v>
      </c>
      <c r="AN104" s="12">
        <v>12.363</v>
      </c>
      <c r="AO104" s="13">
        <v>0</v>
      </c>
      <c r="AP104" s="12">
        <v>16.678999999999998</v>
      </c>
      <c r="AQ104" s="13">
        <v>13.65</v>
      </c>
      <c r="AR104" s="12">
        <v>21.670999999999999</v>
      </c>
      <c r="AS104" s="13">
        <v>16.678999999999998</v>
      </c>
      <c r="AT104" s="12">
        <v>17.940000000000001</v>
      </c>
      <c r="AU104" s="13">
        <v>21.670999999999999</v>
      </c>
      <c r="AV104" s="12">
        <f>IFERROR(VLOOKUP(E104,[1]Sheet4!$A:$D,4,0),0)</f>
        <v>10.231</v>
      </c>
      <c r="AW104" s="13">
        <v>17.940000000000001</v>
      </c>
      <c r="AX104" s="12">
        <v>8.6059999999999999</v>
      </c>
      <c r="AY104" s="39">
        <v>10.231</v>
      </c>
      <c r="AZ104" s="12">
        <v>10.387</v>
      </c>
      <c r="BA104" s="39">
        <v>8.6059999999999999</v>
      </c>
      <c r="BB104" s="12">
        <v>10.686</v>
      </c>
      <c r="BC104" s="39">
        <v>0</v>
      </c>
      <c r="BD104" s="12">
        <f t="shared" si="14"/>
        <v>109.85</v>
      </c>
      <c r="BE104" s="14">
        <f t="shared" si="15"/>
        <v>88.776999999999987</v>
      </c>
      <c r="BF104" s="24">
        <f t="shared" si="19"/>
        <v>0.80816568047337267</v>
      </c>
      <c r="BG104" s="23">
        <f t="shared" si="20"/>
        <v>0.12005420607585685</v>
      </c>
    </row>
    <row r="105" spans="1:59" ht="18" customHeight="1" x14ac:dyDescent="0.2">
      <c r="A105" s="27" t="str">
        <f t="shared" si="16"/>
        <v>법인</v>
      </c>
      <c r="B105" s="27" t="s">
        <v>1568</v>
      </c>
      <c r="C105" s="27" t="s">
        <v>1496</v>
      </c>
      <c r="D105" s="26">
        <v>1358216196</v>
      </c>
      <c r="E105" s="89">
        <v>10033740</v>
      </c>
      <c r="F105" s="25" t="s">
        <v>385</v>
      </c>
      <c r="G105" s="48" t="s">
        <v>322</v>
      </c>
      <c r="H105" s="50">
        <v>46006</v>
      </c>
      <c r="I105" s="50">
        <v>46056</v>
      </c>
      <c r="J105" s="14">
        <v>329.17</v>
      </c>
      <c r="K105" s="41" t="s">
        <v>311</v>
      </c>
      <c r="L105" s="12"/>
      <c r="M105" s="13"/>
      <c r="N105" s="12"/>
      <c r="O105" s="13"/>
      <c r="P105" s="12"/>
      <c r="Q105" s="13"/>
      <c r="R105" s="12"/>
      <c r="S105" s="13"/>
      <c r="T105" s="12"/>
      <c r="U105" s="13"/>
      <c r="V105" s="12"/>
      <c r="W105" s="13"/>
      <c r="X105" s="12"/>
      <c r="Y105" s="13"/>
      <c r="Z105" s="12"/>
      <c r="AA105" s="13"/>
      <c r="AB105" s="12"/>
      <c r="AC105" s="13"/>
      <c r="AD105" s="12"/>
      <c r="AE105" s="13"/>
      <c r="AF105" s="12"/>
      <c r="AG105" s="13"/>
      <c r="AH105" s="12"/>
      <c r="AI105" s="13"/>
      <c r="AJ105" s="12"/>
      <c r="AK105" s="13"/>
      <c r="AL105" s="12">
        <v>0</v>
      </c>
      <c r="AM105" s="13">
        <v>0</v>
      </c>
      <c r="AN105" s="12">
        <v>329.16999999999996</v>
      </c>
      <c r="AO105" s="13">
        <v>0</v>
      </c>
      <c r="AP105" s="12">
        <v>0</v>
      </c>
      <c r="AQ105" s="13">
        <v>0</v>
      </c>
      <c r="AR105" s="12" t="s">
        <v>1496</v>
      </c>
      <c r="AS105" s="13">
        <v>0</v>
      </c>
      <c r="AT105" s="12">
        <v>0</v>
      </c>
      <c r="AU105" s="13">
        <v>329.17</v>
      </c>
      <c r="AV105" s="12">
        <f>IFERROR(VLOOKUP(E105,[1]Sheet4!$A:$D,4,0),0)</f>
        <v>0</v>
      </c>
      <c r="AW105" s="13">
        <v>0</v>
      </c>
      <c r="AX105" s="12">
        <v>0</v>
      </c>
      <c r="AY105" s="39">
        <v>0</v>
      </c>
      <c r="AZ105" s="12">
        <v>0</v>
      </c>
      <c r="BA105" s="39">
        <v>0</v>
      </c>
      <c r="BB105" s="12">
        <v>0</v>
      </c>
      <c r="BC105" s="39">
        <v>0</v>
      </c>
      <c r="BD105" s="12">
        <f t="shared" si="14"/>
        <v>329.16999999999996</v>
      </c>
      <c r="BE105" s="14">
        <f t="shared" si="15"/>
        <v>329.17</v>
      </c>
      <c r="BF105" s="24">
        <f t="shared" ref="BF105:BF116" si="21">BE105/BD105</f>
        <v>1.0000000000000002</v>
      </c>
      <c r="BG105" s="23">
        <f t="shared" si="20"/>
        <v>1</v>
      </c>
    </row>
    <row r="106" spans="1:59" ht="18" customHeight="1" x14ac:dyDescent="0.2">
      <c r="A106" s="27" t="str">
        <f t="shared" si="16"/>
        <v>법인</v>
      </c>
      <c r="B106" s="27" t="s">
        <v>1555</v>
      </c>
      <c r="C106" s="27" t="s">
        <v>1496</v>
      </c>
      <c r="D106" s="26">
        <v>1298204787</v>
      </c>
      <c r="E106" s="89">
        <v>10033160</v>
      </c>
      <c r="F106" s="25" t="s">
        <v>386</v>
      </c>
      <c r="G106" s="48" t="s">
        <v>322</v>
      </c>
      <c r="H106" s="53">
        <v>45883</v>
      </c>
      <c r="I106" s="50">
        <v>45944</v>
      </c>
      <c r="J106" s="14">
        <v>2054.0659999999998</v>
      </c>
      <c r="K106" s="49" t="s">
        <v>311</v>
      </c>
      <c r="L106" s="12"/>
      <c r="M106" s="13"/>
      <c r="N106" s="12"/>
      <c r="O106" s="13"/>
      <c r="P106" s="12"/>
      <c r="Q106" s="13"/>
      <c r="R106" s="12"/>
      <c r="S106" s="13"/>
      <c r="T106" s="12"/>
      <c r="U106" s="13"/>
      <c r="V106" s="12"/>
      <c r="W106" s="13"/>
      <c r="X106" s="12"/>
      <c r="Y106" s="13"/>
      <c r="Z106" s="12"/>
      <c r="AA106" s="13"/>
      <c r="AB106" s="12"/>
      <c r="AC106" s="13"/>
      <c r="AD106" s="12"/>
      <c r="AE106" s="13"/>
      <c r="AF106" s="12"/>
      <c r="AG106" s="13"/>
      <c r="AH106" s="12"/>
      <c r="AI106" s="13"/>
      <c r="AJ106" s="12"/>
      <c r="AK106" s="13"/>
      <c r="AL106" s="12">
        <v>69.818169999999995</v>
      </c>
      <c r="AM106" s="13">
        <v>0</v>
      </c>
      <c r="AN106" s="12">
        <v>53.531052000000003</v>
      </c>
      <c r="AO106" s="13">
        <v>69.818169999999995</v>
      </c>
      <c r="AP106" s="12">
        <v>69.865391000000002</v>
      </c>
      <c r="AQ106" s="13">
        <v>53.531052000000003</v>
      </c>
      <c r="AR106" s="12">
        <v>69.563040000000001</v>
      </c>
      <c r="AS106" s="13">
        <v>69.865391000000002</v>
      </c>
      <c r="AT106" s="12">
        <v>64.716280999999995</v>
      </c>
      <c r="AU106" s="13">
        <v>69.563040000000001</v>
      </c>
      <c r="AV106" s="12">
        <f>IFERROR(VLOOKUP(E106,[1]Sheet4!$A:$D,4,0),0)</f>
        <v>67.012353000000004</v>
      </c>
      <c r="AW106" s="13">
        <v>64.716280999999995</v>
      </c>
      <c r="AX106" s="12">
        <v>68.347815999999995</v>
      </c>
      <c r="AY106" s="39">
        <v>67.012353000000004</v>
      </c>
      <c r="AZ106" s="12">
        <v>76.497268000000005</v>
      </c>
      <c r="BA106" s="39">
        <v>68.347815999999995</v>
      </c>
      <c r="BB106" s="12">
        <v>73.493371999999994</v>
      </c>
      <c r="BC106" s="39">
        <v>76.497268000000005</v>
      </c>
      <c r="BD106" s="12">
        <f t="shared" si="14"/>
        <v>612.84474299999999</v>
      </c>
      <c r="BE106" s="14">
        <f t="shared" si="15"/>
        <v>539.35137099999997</v>
      </c>
      <c r="BF106" s="24">
        <f t="shared" si="21"/>
        <v>0.8800783186288994</v>
      </c>
      <c r="BG106" s="23">
        <f t="shared" si="20"/>
        <v>0.26257742983915805</v>
      </c>
    </row>
    <row r="107" spans="1:59" ht="18" customHeight="1" x14ac:dyDescent="0.2">
      <c r="A107" s="27" t="str">
        <f t="shared" si="16"/>
        <v>개인</v>
      </c>
      <c r="B107" s="27" t="s">
        <v>1556</v>
      </c>
      <c r="C107" s="27" t="s">
        <v>1554</v>
      </c>
      <c r="D107" s="26">
        <v>5061723853</v>
      </c>
      <c r="E107" s="89">
        <v>10014574</v>
      </c>
      <c r="F107" s="25" t="s">
        <v>387</v>
      </c>
      <c r="G107" s="48" t="s">
        <v>322</v>
      </c>
      <c r="H107" s="53">
        <v>45930</v>
      </c>
      <c r="I107" s="50">
        <v>46000</v>
      </c>
      <c r="J107" s="14">
        <v>961.95799999999997</v>
      </c>
      <c r="K107" s="49" t="s">
        <v>311</v>
      </c>
      <c r="L107" s="12"/>
      <c r="M107" s="13"/>
      <c r="N107" s="12"/>
      <c r="O107" s="13"/>
      <c r="P107" s="12"/>
      <c r="Q107" s="13"/>
      <c r="R107" s="12"/>
      <c r="S107" s="13"/>
      <c r="T107" s="12"/>
      <c r="U107" s="13"/>
      <c r="V107" s="12"/>
      <c r="W107" s="13"/>
      <c r="X107" s="12"/>
      <c r="Y107" s="13"/>
      <c r="Z107" s="12"/>
      <c r="AA107" s="13"/>
      <c r="AB107" s="12"/>
      <c r="AC107" s="13"/>
      <c r="AD107" s="12"/>
      <c r="AE107" s="13"/>
      <c r="AF107" s="12"/>
      <c r="AG107" s="13"/>
      <c r="AH107" s="12"/>
      <c r="AI107" s="13"/>
      <c r="AJ107" s="12"/>
      <c r="AK107" s="13"/>
      <c r="AL107" s="12">
        <v>0</v>
      </c>
      <c r="AM107" s="13">
        <v>0</v>
      </c>
      <c r="AN107" s="12">
        <v>26.79</v>
      </c>
      <c r="AO107" s="13">
        <v>0</v>
      </c>
      <c r="AP107" s="12">
        <v>28.747</v>
      </c>
      <c r="AQ107" s="13">
        <v>26.79</v>
      </c>
      <c r="AR107" s="12">
        <v>28.603000000000002</v>
      </c>
      <c r="AS107" s="13">
        <v>28.747</v>
      </c>
      <c r="AT107" s="12">
        <v>32.683</v>
      </c>
      <c r="AU107" s="13">
        <v>28.603000000000002</v>
      </c>
      <c r="AV107" s="12">
        <f>IFERROR(VLOOKUP(E107,[1]Sheet4!$A:$D,4,0),0)</f>
        <v>34.250999999999998</v>
      </c>
      <c r="AW107" s="13">
        <v>32.683</v>
      </c>
      <c r="AX107" s="12">
        <v>32.838999999999999</v>
      </c>
      <c r="AY107" s="39">
        <v>34.250999999999998</v>
      </c>
      <c r="AZ107" s="12">
        <v>32.347000000000001</v>
      </c>
      <c r="BA107" s="39">
        <v>32.838999999999999</v>
      </c>
      <c r="BB107" s="12">
        <v>33.484999999999999</v>
      </c>
      <c r="BC107" s="39">
        <v>32.347000000000001</v>
      </c>
      <c r="BD107" s="12">
        <f t="shared" si="14"/>
        <v>249.745</v>
      </c>
      <c r="BE107" s="14">
        <f t="shared" si="15"/>
        <v>216.26000000000002</v>
      </c>
      <c r="BF107" s="24">
        <f t="shared" si="21"/>
        <v>0.86592324170654078</v>
      </c>
      <c r="BG107" s="23">
        <f t="shared" si="20"/>
        <v>0.22481230989294754</v>
      </c>
    </row>
    <row r="108" spans="1:59" ht="18" customHeight="1" x14ac:dyDescent="0.2">
      <c r="A108" s="27" t="str">
        <f t="shared" si="16"/>
        <v>법인</v>
      </c>
      <c r="B108" s="27" t="s">
        <v>1566</v>
      </c>
      <c r="C108" s="27" t="s">
        <v>1496</v>
      </c>
      <c r="D108" s="26">
        <v>1288206410</v>
      </c>
      <c r="E108" s="89">
        <v>10033023</v>
      </c>
      <c r="F108" s="25" t="s">
        <v>388</v>
      </c>
      <c r="G108" s="119" t="s">
        <v>448</v>
      </c>
      <c r="H108" s="53">
        <v>46073</v>
      </c>
      <c r="I108" s="50">
        <v>46072</v>
      </c>
      <c r="J108" s="120">
        <v>115</v>
      </c>
      <c r="K108" s="49" t="s">
        <v>311</v>
      </c>
      <c r="L108" s="12"/>
      <c r="M108" s="13"/>
      <c r="N108" s="12"/>
      <c r="O108" s="13"/>
      <c r="P108" s="12"/>
      <c r="Q108" s="13"/>
      <c r="R108" s="12"/>
      <c r="S108" s="13"/>
      <c r="T108" s="12"/>
      <c r="U108" s="13"/>
      <c r="V108" s="12"/>
      <c r="W108" s="13"/>
      <c r="X108" s="12"/>
      <c r="Y108" s="13"/>
      <c r="Z108" s="12"/>
      <c r="AA108" s="13"/>
      <c r="AB108" s="12"/>
      <c r="AC108" s="13"/>
      <c r="AD108" s="12"/>
      <c r="AE108" s="13"/>
      <c r="AF108" s="12"/>
      <c r="AG108" s="13"/>
      <c r="AH108" s="12"/>
      <c r="AI108" s="13"/>
      <c r="AJ108" s="12"/>
      <c r="AK108" s="13"/>
      <c r="AL108" s="12">
        <v>0</v>
      </c>
      <c r="AM108" s="13">
        <v>0</v>
      </c>
      <c r="AN108" s="12">
        <v>26.15</v>
      </c>
      <c r="AO108" s="13">
        <v>0</v>
      </c>
      <c r="AP108" s="12">
        <v>88.85</v>
      </c>
      <c r="AQ108" s="13">
        <v>0</v>
      </c>
      <c r="AR108" s="12" t="s">
        <v>1496</v>
      </c>
      <c r="AS108" s="13">
        <v>0</v>
      </c>
      <c r="AT108" s="12">
        <v>0</v>
      </c>
      <c r="AU108" s="13">
        <v>0</v>
      </c>
      <c r="AV108" s="12">
        <f>IFERROR(VLOOKUP(E108,[1]Sheet4!$A:$D,4,0),0)</f>
        <v>0</v>
      </c>
      <c r="AW108" s="13">
        <v>0</v>
      </c>
      <c r="AX108" s="12">
        <v>0</v>
      </c>
      <c r="AY108" s="39">
        <v>0</v>
      </c>
      <c r="AZ108" s="12">
        <v>0</v>
      </c>
      <c r="BA108" s="39">
        <v>0</v>
      </c>
      <c r="BB108" s="12">
        <v>0</v>
      </c>
      <c r="BC108" s="39">
        <v>115</v>
      </c>
      <c r="BD108" s="121">
        <f t="shared" si="14"/>
        <v>115</v>
      </c>
      <c r="BE108" s="14">
        <f t="shared" si="15"/>
        <v>115</v>
      </c>
      <c r="BF108" s="24">
        <f t="shared" si="21"/>
        <v>1</v>
      </c>
      <c r="BG108" s="23">
        <f t="shared" si="20"/>
        <v>1</v>
      </c>
    </row>
    <row r="109" spans="1:59" ht="18" customHeight="1" x14ac:dyDescent="0.2">
      <c r="A109" s="27" t="str">
        <f t="shared" si="16"/>
        <v>법인</v>
      </c>
      <c r="B109" s="27" t="s">
        <v>1556</v>
      </c>
      <c r="C109" s="27" t="s">
        <v>1496</v>
      </c>
      <c r="D109" s="26">
        <v>6058204243</v>
      </c>
      <c r="E109" s="89">
        <v>10040639</v>
      </c>
      <c r="F109" s="25" t="s">
        <v>185</v>
      </c>
      <c r="G109" s="48" t="s">
        <v>322</v>
      </c>
      <c r="H109" s="53">
        <v>45905</v>
      </c>
      <c r="I109" s="50">
        <v>45979</v>
      </c>
      <c r="J109" s="14">
        <v>2143.89</v>
      </c>
      <c r="K109" s="49" t="s">
        <v>311</v>
      </c>
      <c r="L109" s="12"/>
      <c r="M109" s="13"/>
      <c r="N109" s="12"/>
      <c r="O109" s="13"/>
      <c r="P109" s="12"/>
      <c r="Q109" s="13"/>
      <c r="R109" s="12"/>
      <c r="S109" s="13"/>
      <c r="T109" s="12"/>
      <c r="U109" s="13"/>
      <c r="V109" s="12"/>
      <c r="W109" s="13"/>
      <c r="X109" s="12"/>
      <c r="Y109" s="13"/>
      <c r="Z109" s="12"/>
      <c r="AA109" s="13"/>
      <c r="AB109" s="12"/>
      <c r="AC109" s="13"/>
      <c r="AD109" s="12"/>
      <c r="AE109" s="13"/>
      <c r="AF109" s="12"/>
      <c r="AG109" s="13"/>
      <c r="AH109" s="12"/>
      <c r="AI109" s="13"/>
      <c r="AJ109" s="12"/>
      <c r="AK109" s="13"/>
      <c r="AL109" s="12">
        <v>0</v>
      </c>
      <c r="AM109" s="13">
        <v>0</v>
      </c>
      <c r="AN109" s="12">
        <v>9.4730000000000008</v>
      </c>
      <c r="AO109" s="13">
        <v>0</v>
      </c>
      <c r="AP109" s="12">
        <v>8.2089999999999996</v>
      </c>
      <c r="AQ109" s="13">
        <v>0</v>
      </c>
      <c r="AR109" s="12">
        <v>14.536</v>
      </c>
      <c r="AS109" s="13">
        <v>9.4730000000000008</v>
      </c>
      <c r="AT109" s="12">
        <v>29.472000000000001</v>
      </c>
      <c r="AU109" s="13">
        <v>0</v>
      </c>
      <c r="AV109" s="12">
        <f>IFERROR(VLOOKUP(E109,[1]Sheet4!$A:$D,4,0),0)</f>
        <v>20.407</v>
      </c>
      <c r="AW109" s="13">
        <v>8.2089999999999996</v>
      </c>
      <c r="AX109" s="12">
        <v>17.920999999999999</v>
      </c>
      <c r="AY109" s="39">
        <v>0</v>
      </c>
      <c r="AZ109" s="12">
        <v>18.251000000000001</v>
      </c>
      <c r="BA109" s="39">
        <v>14.536</v>
      </c>
      <c r="BB109" s="12">
        <v>15.566000000000001</v>
      </c>
      <c r="BC109" s="39">
        <v>29.472000000000001</v>
      </c>
      <c r="BD109" s="12">
        <f t="shared" si="14"/>
        <v>133.83500000000001</v>
      </c>
      <c r="BE109" s="14">
        <f t="shared" si="15"/>
        <v>61.690000000000005</v>
      </c>
      <c r="BF109" s="24">
        <f t="shared" si="21"/>
        <v>0.46094071057645608</v>
      </c>
      <c r="BG109" s="23">
        <f t="shared" si="20"/>
        <v>2.8774797214409325E-2</v>
      </c>
    </row>
    <row r="110" spans="1:59" ht="18" customHeight="1" x14ac:dyDescent="0.2">
      <c r="A110" s="27" t="str">
        <f t="shared" si="16"/>
        <v>개인</v>
      </c>
      <c r="B110" s="27" t="s">
        <v>1555</v>
      </c>
      <c r="C110" s="27" t="s">
        <v>1554</v>
      </c>
      <c r="D110" s="26">
        <v>4109207035</v>
      </c>
      <c r="E110" s="89">
        <v>10038249</v>
      </c>
      <c r="F110" s="25" t="s">
        <v>180</v>
      </c>
      <c r="G110" s="48" t="s">
        <v>322</v>
      </c>
      <c r="H110" s="53">
        <v>45911</v>
      </c>
      <c r="I110" s="50">
        <v>46006</v>
      </c>
      <c r="J110" s="14">
        <v>1096.4629</v>
      </c>
      <c r="K110" s="49" t="s">
        <v>311</v>
      </c>
      <c r="L110" s="12"/>
      <c r="M110" s="13"/>
      <c r="N110" s="12"/>
      <c r="O110" s="13"/>
      <c r="P110" s="12"/>
      <c r="Q110" s="13"/>
      <c r="R110" s="12"/>
      <c r="S110" s="13"/>
      <c r="T110" s="12"/>
      <c r="U110" s="13"/>
      <c r="V110" s="12"/>
      <c r="W110" s="13"/>
      <c r="X110" s="12"/>
      <c r="Y110" s="13"/>
      <c r="Z110" s="12"/>
      <c r="AA110" s="13"/>
      <c r="AB110" s="12"/>
      <c r="AC110" s="13"/>
      <c r="AD110" s="12"/>
      <c r="AE110" s="13"/>
      <c r="AF110" s="12"/>
      <c r="AG110" s="13"/>
      <c r="AH110" s="12"/>
      <c r="AI110" s="13"/>
      <c r="AJ110" s="12"/>
      <c r="AK110" s="13"/>
      <c r="AL110" s="12">
        <v>0</v>
      </c>
      <c r="AM110" s="13">
        <v>0</v>
      </c>
      <c r="AN110" s="12">
        <v>15.984</v>
      </c>
      <c r="AO110" s="13">
        <v>0</v>
      </c>
      <c r="AP110" s="12">
        <v>25.181999999999999</v>
      </c>
      <c r="AQ110" s="13">
        <v>0</v>
      </c>
      <c r="AR110" s="12">
        <v>24.911999999999999</v>
      </c>
      <c r="AS110" s="13">
        <v>15.984</v>
      </c>
      <c r="AT110" s="12">
        <v>27.422000000000001</v>
      </c>
      <c r="AU110" s="13">
        <v>25.181999999999999</v>
      </c>
      <c r="AV110" s="12">
        <f>IFERROR(VLOOKUP(E110,[1]Sheet4!$A:$D,4,0),0)</f>
        <v>27.963000000000001</v>
      </c>
      <c r="AW110" s="13">
        <v>24.911999999999999</v>
      </c>
      <c r="AX110" s="12">
        <v>26.85</v>
      </c>
      <c r="AY110" s="39">
        <v>27.422000000000001</v>
      </c>
      <c r="AZ110" s="12">
        <v>30.829000000000001</v>
      </c>
      <c r="BA110" s="39">
        <v>27.963000000000001</v>
      </c>
      <c r="BB110" s="12">
        <v>26.166</v>
      </c>
      <c r="BC110" s="39">
        <v>26.85</v>
      </c>
      <c r="BD110" s="12">
        <f t="shared" si="14"/>
        <v>205.30799999999999</v>
      </c>
      <c r="BE110" s="14">
        <f t="shared" si="15"/>
        <v>148.31299999999999</v>
      </c>
      <c r="BF110" s="24">
        <f t="shared" si="21"/>
        <v>0.72239269780037796</v>
      </c>
      <c r="BG110" s="23">
        <f t="shared" si="20"/>
        <v>0.13526495059705165</v>
      </c>
    </row>
    <row r="111" spans="1:59" ht="18" customHeight="1" x14ac:dyDescent="0.2">
      <c r="A111" s="27" t="str">
        <f t="shared" si="16"/>
        <v>개인</v>
      </c>
      <c r="B111" s="27" t="s">
        <v>1558</v>
      </c>
      <c r="C111" s="27" t="s">
        <v>1554</v>
      </c>
      <c r="D111" s="26">
        <v>4099164290</v>
      </c>
      <c r="E111" s="89">
        <v>10002829</v>
      </c>
      <c r="F111" s="25" t="s">
        <v>179</v>
      </c>
      <c r="G111" s="48" t="s">
        <v>322</v>
      </c>
      <c r="H111" s="53">
        <v>45911</v>
      </c>
      <c r="I111" s="50">
        <v>46006</v>
      </c>
      <c r="J111" s="14">
        <v>1553.1581000000001</v>
      </c>
      <c r="K111" s="49" t="s">
        <v>311</v>
      </c>
      <c r="L111" s="12"/>
      <c r="M111" s="13"/>
      <c r="N111" s="12"/>
      <c r="O111" s="13"/>
      <c r="P111" s="12"/>
      <c r="Q111" s="13"/>
      <c r="R111" s="12"/>
      <c r="S111" s="13"/>
      <c r="T111" s="12"/>
      <c r="U111" s="13"/>
      <c r="V111" s="12"/>
      <c r="W111" s="13"/>
      <c r="X111" s="12"/>
      <c r="Y111" s="13"/>
      <c r="Z111" s="12"/>
      <c r="AA111" s="13"/>
      <c r="AB111" s="12"/>
      <c r="AC111" s="13"/>
      <c r="AD111" s="12"/>
      <c r="AE111" s="13"/>
      <c r="AF111" s="12"/>
      <c r="AG111" s="13"/>
      <c r="AH111" s="12"/>
      <c r="AI111" s="13"/>
      <c r="AJ111" s="12"/>
      <c r="AK111" s="13"/>
      <c r="AL111" s="12">
        <v>0</v>
      </c>
      <c r="AM111" s="13">
        <v>0</v>
      </c>
      <c r="AN111" s="12">
        <v>5.3120000000000003</v>
      </c>
      <c r="AO111" s="13">
        <v>0</v>
      </c>
      <c r="AP111" s="12">
        <v>21.216000000000001</v>
      </c>
      <c r="AQ111" s="13">
        <v>0</v>
      </c>
      <c r="AR111" s="12">
        <v>24.24</v>
      </c>
      <c r="AS111" s="13">
        <v>26.527999999999999</v>
      </c>
      <c r="AT111" s="12">
        <v>20.847999999999999</v>
      </c>
      <c r="AU111" s="13">
        <v>24.24</v>
      </c>
      <c r="AV111" s="12">
        <f>IFERROR(VLOOKUP(E111,[1]Sheet4!$A:$D,4,0),0)</f>
        <v>25.312000000000001</v>
      </c>
      <c r="AW111" s="13">
        <v>20.847999999999999</v>
      </c>
      <c r="AX111" s="12">
        <v>23.391999999999999</v>
      </c>
      <c r="AY111" s="39">
        <v>25.312000000000001</v>
      </c>
      <c r="AZ111" s="12">
        <v>19.295999999999999</v>
      </c>
      <c r="BA111" s="39">
        <v>23.391999999999999</v>
      </c>
      <c r="BB111" s="12">
        <v>23.344000000000001</v>
      </c>
      <c r="BC111" s="39">
        <v>19.295999999999999</v>
      </c>
      <c r="BD111" s="12">
        <f t="shared" si="14"/>
        <v>162.95999999999998</v>
      </c>
      <c r="BE111" s="14">
        <f t="shared" si="15"/>
        <v>139.61599999999999</v>
      </c>
      <c r="BF111" s="24">
        <f t="shared" si="21"/>
        <v>0.85675012272950424</v>
      </c>
      <c r="BG111" s="23">
        <f t="shared" si="20"/>
        <v>8.9891685849624689E-2</v>
      </c>
    </row>
    <row r="112" spans="1:59" ht="18" customHeight="1" x14ac:dyDescent="0.2">
      <c r="A112" s="27" t="str">
        <f t="shared" si="16"/>
        <v>법인</v>
      </c>
      <c r="B112" s="27" t="s">
        <v>1555</v>
      </c>
      <c r="C112" s="27" t="s">
        <v>1496</v>
      </c>
      <c r="D112" s="26">
        <v>1228230509</v>
      </c>
      <c r="E112" s="89">
        <v>10032388</v>
      </c>
      <c r="F112" s="25" t="s">
        <v>165</v>
      </c>
      <c r="G112" s="48" t="s">
        <v>322</v>
      </c>
      <c r="H112" s="53">
        <v>45880</v>
      </c>
      <c r="I112" s="50">
        <v>45979</v>
      </c>
      <c r="J112" s="14">
        <v>420.22199999999998</v>
      </c>
      <c r="K112" s="49" t="s">
        <v>311</v>
      </c>
      <c r="L112" s="12"/>
      <c r="M112" s="13"/>
      <c r="N112" s="12"/>
      <c r="O112" s="13"/>
      <c r="P112" s="12"/>
      <c r="Q112" s="13"/>
      <c r="R112" s="12"/>
      <c r="S112" s="13"/>
      <c r="T112" s="12"/>
      <c r="U112" s="13"/>
      <c r="V112" s="12"/>
      <c r="W112" s="13"/>
      <c r="X112" s="12"/>
      <c r="Y112" s="13"/>
      <c r="Z112" s="12"/>
      <c r="AA112" s="13"/>
      <c r="AB112" s="12"/>
      <c r="AC112" s="13"/>
      <c r="AD112" s="12"/>
      <c r="AE112" s="13"/>
      <c r="AF112" s="12"/>
      <c r="AG112" s="13"/>
      <c r="AH112" s="12"/>
      <c r="AI112" s="13"/>
      <c r="AJ112" s="12"/>
      <c r="AK112" s="13"/>
      <c r="AL112" s="12">
        <v>0</v>
      </c>
      <c r="AM112" s="13">
        <v>0</v>
      </c>
      <c r="AN112" s="12">
        <v>3.91</v>
      </c>
      <c r="AO112" s="13">
        <v>0</v>
      </c>
      <c r="AP112" s="12">
        <v>2.3530000000000002</v>
      </c>
      <c r="AQ112" s="13">
        <v>3.919</v>
      </c>
      <c r="AR112" s="12">
        <v>7.4669999999999996</v>
      </c>
      <c r="AS112" s="13">
        <v>2.3439999999999999</v>
      </c>
      <c r="AT112" s="12">
        <v>8.2129999999999992</v>
      </c>
      <c r="AU112" s="13">
        <v>7.4669999999999996</v>
      </c>
      <c r="AV112" s="12">
        <f>IFERROR(VLOOKUP(E112,[1]Sheet4!$A:$D,4,0),0)</f>
        <v>7.0460000000000003</v>
      </c>
      <c r="AW112" s="13">
        <v>8.2129999999999992</v>
      </c>
      <c r="AX112" s="12">
        <v>8.1579999999999995</v>
      </c>
      <c r="AY112" s="39">
        <v>7.0460000000000003</v>
      </c>
      <c r="AZ112" s="12">
        <v>7.9509999999999996</v>
      </c>
      <c r="BA112" s="39">
        <v>8.1579999999999995</v>
      </c>
      <c r="BB112" s="12">
        <v>8.0250000000000004</v>
      </c>
      <c r="BC112" s="39">
        <v>7.9509999999999996</v>
      </c>
      <c r="BD112" s="12">
        <f t="shared" si="14"/>
        <v>53.122999999999998</v>
      </c>
      <c r="BE112" s="14">
        <f t="shared" si="15"/>
        <v>45.097999999999999</v>
      </c>
      <c r="BF112" s="24">
        <f t="shared" si="21"/>
        <v>0.8489354893360691</v>
      </c>
      <c r="BG112" s="23">
        <f t="shared" si="20"/>
        <v>0.10731946447354018</v>
      </c>
    </row>
    <row r="113" spans="1:59" ht="18" customHeight="1" x14ac:dyDescent="0.2">
      <c r="A113" s="27" t="str">
        <f t="shared" si="16"/>
        <v>개인</v>
      </c>
      <c r="B113" s="27" t="s">
        <v>1576</v>
      </c>
      <c r="C113" s="27" t="s">
        <v>1554</v>
      </c>
      <c r="D113" s="26">
        <v>3052995077</v>
      </c>
      <c r="E113" s="89">
        <v>10061981</v>
      </c>
      <c r="F113" s="25" t="s">
        <v>175</v>
      </c>
      <c r="G113" s="48" t="s">
        <v>322</v>
      </c>
      <c r="H113" s="53">
        <v>45916</v>
      </c>
      <c r="I113" s="50">
        <v>45986</v>
      </c>
      <c r="J113" s="14">
        <v>513.91079999999999</v>
      </c>
      <c r="K113" s="49" t="s">
        <v>311</v>
      </c>
      <c r="L113" s="12"/>
      <c r="M113" s="13"/>
      <c r="N113" s="12"/>
      <c r="O113" s="13"/>
      <c r="P113" s="12"/>
      <c r="Q113" s="13"/>
      <c r="R113" s="12"/>
      <c r="S113" s="13"/>
      <c r="T113" s="12"/>
      <c r="U113" s="13"/>
      <c r="V113" s="12"/>
      <c r="W113" s="13"/>
      <c r="X113" s="12"/>
      <c r="Y113" s="13"/>
      <c r="Z113" s="12"/>
      <c r="AA113" s="13"/>
      <c r="AB113" s="12"/>
      <c r="AC113" s="13"/>
      <c r="AD113" s="12"/>
      <c r="AE113" s="13"/>
      <c r="AF113" s="12"/>
      <c r="AG113" s="13"/>
      <c r="AH113" s="12"/>
      <c r="AI113" s="13"/>
      <c r="AJ113" s="12"/>
      <c r="AK113" s="13"/>
      <c r="AL113" s="12">
        <v>0</v>
      </c>
      <c r="AM113" s="13">
        <v>0</v>
      </c>
      <c r="AN113" s="12">
        <v>2.3140000000000001</v>
      </c>
      <c r="AO113" s="13">
        <v>0</v>
      </c>
      <c r="AP113" s="12">
        <v>3.6269999999999998</v>
      </c>
      <c r="AQ113" s="144">
        <v>2.3140000000000001</v>
      </c>
      <c r="AR113" s="12">
        <v>4.3940000000000001</v>
      </c>
      <c r="AS113" s="13">
        <v>3.6269999999999998</v>
      </c>
      <c r="AT113" s="12">
        <v>4.1079999999999997</v>
      </c>
      <c r="AU113" s="13">
        <v>4.3940000000000001</v>
      </c>
      <c r="AV113" s="12">
        <f>IFERROR(VLOOKUP(E113,[1]Sheet4!$A:$D,4,0),0)</f>
        <v>4.03</v>
      </c>
      <c r="AW113" s="13">
        <v>4.1079999999999997</v>
      </c>
      <c r="AX113" s="12">
        <v>4.758</v>
      </c>
      <c r="AY113" s="39">
        <v>4.03</v>
      </c>
      <c r="AZ113" s="12">
        <v>5.0570000000000004</v>
      </c>
      <c r="BA113" s="39">
        <v>5.0570000000000004</v>
      </c>
      <c r="BB113" s="12">
        <v>4.9660000000000002</v>
      </c>
      <c r="BC113" s="39">
        <v>5.0570000000000004</v>
      </c>
      <c r="BD113" s="12">
        <f t="shared" si="14"/>
        <v>33.254000000000005</v>
      </c>
      <c r="BE113" s="14">
        <f t="shared" si="15"/>
        <v>28.587000000000003</v>
      </c>
      <c r="BF113" s="24">
        <f t="shared" si="21"/>
        <v>0.85965598123534004</v>
      </c>
      <c r="BG113" s="23">
        <f t="shared" si="20"/>
        <v>5.5626384967974993E-2</v>
      </c>
    </row>
    <row r="114" spans="1:59" ht="18" customHeight="1" x14ac:dyDescent="0.2">
      <c r="A114" s="27" t="str">
        <f t="shared" si="16"/>
        <v>개인</v>
      </c>
      <c r="B114" s="27" t="s">
        <v>1566</v>
      </c>
      <c r="C114" s="27" t="s">
        <v>1554</v>
      </c>
      <c r="D114" s="26">
        <v>1469901371</v>
      </c>
      <c r="E114" s="89">
        <v>10075257</v>
      </c>
      <c r="F114" s="25" t="s">
        <v>389</v>
      </c>
      <c r="G114" s="48" t="s">
        <v>322</v>
      </c>
      <c r="H114" s="53">
        <v>45989</v>
      </c>
      <c r="I114" s="50">
        <v>46003</v>
      </c>
      <c r="J114" s="14">
        <v>330</v>
      </c>
      <c r="K114" s="49" t="s">
        <v>311</v>
      </c>
      <c r="L114" s="12"/>
      <c r="M114" s="13"/>
      <c r="N114" s="12"/>
      <c r="O114" s="13"/>
      <c r="P114" s="12"/>
      <c r="Q114" s="13"/>
      <c r="R114" s="12"/>
      <c r="S114" s="13"/>
      <c r="T114" s="12"/>
      <c r="U114" s="13"/>
      <c r="V114" s="12"/>
      <c r="W114" s="13"/>
      <c r="X114" s="12"/>
      <c r="Y114" s="13"/>
      <c r="Z114" s="12"/>
      <c r="AA114" s="13"/>
      <c r="AB114" s="12"/>
      <c r="AC114" s="13"/>
      <c r="AD114" s="12"/>
      <c r="AE114" s="13"/>
      <c r="AF114" s="12"/>
      <c r="AG114" s="13"/>
      <c r="AH114" s="12"/>
      <c r="AI114" s="13"/>
      <c r="AJ114" s="12"/>
      <c r="AK114" s="13"/>
      <c r="AL114" s="12">
        <v>0</v>
      </c>
      <c r="AM114" s="13">
        <v>0</v>
      </c>
      <c r="AN114" s="12">
        <v>1.984</v>
      </c>
      <c r="AO114" s="13">
        <v>0</v>
      </c>
      <c r="AP114" s="12">
        <v>3.6320000000000001</v>
      </c>
      <c r="AQ114" s="13">
        <v>0</v>
      </c>
      <c r="AR114" s="12">
        <v>4.6559999999999997</v>
      </c>
      <c r="AS114" s="13">
        <v>0</v>
      </c>
      <c r="AT114" s="12">
        <v>4.7880000000000003</v>
      </c>
      <c r="AU114" s="13">
        <v>0</v>
      </c>
      <c r="AV114" s="12">
        <f>IFERROR(VLOOKUP(E114,[1]Sheet4!$A:$D,4,0),0)</f>
        <v>4.2910000000000004</v>
      </c>
      <c r="AW114" s="13">
        <v>5.6159999999999997</v>
      </c>
      <c r="AX114" s="12">
        <v>4.0960000000000001</v>
      </c>
      <c r="AY114" s="39">
        <v>9.4440000000000008</v>
      </c>
      <c r="AZ114" s="12">
        <v>3.012</v>
      </c>
      <c r="BA114" s="39">
        <v>0</v>
      </c>
      <c r="BB114" s="12">
        <v>3.524</v>
      </c>
      <c r="BC114" s="39">
        <v>8.3870000000000005</v>
      </c>
      <c r="BD114" s="12">
        <f t="shared" si="14"/>
        <v>29.983000000000001</v>
      </c>
      <c r="BE114" s="14">
        <f t="shared" si="15"/>
        <v>23.447000000000003</v>
      </c>
      <c r="BF114" s="24">
        <f t="shared" si="21"/>
        <v>0.78200980555648203</v>
      </c>
      <c r="BG114" s="23">
        <f t="shared" si="20"/>
        <v>7.1051515151515157E-2</v>
      </c>
    </row>
    <row r="115" spans="1:59" ht="18" customHeight="1" x14ac:dyDescent="0.2">
      <c r="A115" s="27" t="str">
        <f t="shared" si="16"/>
        <v>개인</v>
      </c>
      <c r="B115" s="27" t="s">
        <v>1556</v>
      </c>
      <c r="C115" s="27" t="s">
        <v>1554</v>
      </c>
      <c r="D115" s="26">
        <v>4102672846</v>
      </c>
      <c r="E115" s="89">
        <v>10038148</v>
      </c>
      <c r="F115" s="25" t="s">
        <v>390</v>
      </c>
      <c r="G115" s="48" t="s">
        <v>322</v>
      </c>
      <c r="H115" s="53">
        <v>45968</v>
      </c>
      <c r="I115" s="50">
        <v>46028</v>
      </c>
      <c r="J115" s="14">
        <v>249.23699999999999</v>
      </c>
      <c r="K115" s="49" t="s">
        <v>311</v>
      </c>
      <c r="L115" s="12"/>
      <c r="M115" s="13"/>
      <c r="N115" s="12"/>
      <c r="O115" s="13"/>
      <c r="P115" s="12"/>
      <c r="Q115" s="13"/>
      <c r="R115" s="12"/>
      <c r="S115" s="13"/>
      <c r="T115" s="12"/>
      <c r="U115" s="13"/>
      <c r="V115" s="12"/>
      <c r="W115" s="13"/>
      <c r="X115" s="12"/>
      <c r="Y115" s="13"/>
      <c r="Z115" s="12"/>
      <c r="AA115" s="13"/>
      <c r="AB115" s="12"/>
      <c r="AC115" s="13"/>
      <c r="AD115" s="12"/>
      <c r="AE115" s="13"/>
      <c r="AF115" s="12"/>
      <c r="AG115" s="13"/>
      <c r="AH115" s="12"/>
      <c r="AI115" s="13"/>
      <c r="AJ115" s="12"/>
      <c r="AK115" s="13"/>
      <c r="AL115" s="12">
        <v>0</v>
      </c>
      <c r="AM115" s="13">
        <v>0</v>
      </c>
      <c r="AN115" s="12">
        <v>1.353</v>
      </c>
      <c r="AO115" s="13">
        <v>0</v>
      </c>
      <c r="AP115" s="12">
        <v>5.7949999999999999</v>
      </c>
      <c r="AQ115" s="13">
        <v>0</v>
      </c>
      <c r="AR115" s="12">
        <v>6.9370000000000003</v>
      </c>
      <c r="AS115" s="13">
        <v>1.353</v>
      </c>
      <c r="AT115" s="12">
        <v>7.7290000000000001</v>
      </c>
      <c r="AU115" s="13">
        <v>12.731999999999999</v>
      </c>
      <c r="AV115" s="12">
        <f>IFERROR(VLOOKUP(E115,[1]Sheet4!$A:$D,4,0),0)</f>
        <v>8.8070000000000004</v>
      </c>
      <c r="AW115" s="13">
        <v>7.7290000000000001</v>
      </c>
      <c r="AX115" s="12">
        <v>9.7720000000000002</v>
      </c>
      <c r="AY115" s="39">
        <v>8.8070000000000004</v>
      </c>
      <c r="AZ115" s="12">
        <v>11.18</v>
      </c>
      <c r="BA115" s="39">
        <v>9.7720000000000002</v>
      </c>
      <c r="BB115" s="12">
        <v>14.722</v>
      </c>
      <c r="BC115" s="39">
        <v>11.18</v>
      </c>
      <c r="BD115" s="12">
        <f t="shared" si="14"/>
        <v>66.295000000000002</v>
      </c>
      <c r="BE115" s="14">
        <f t="shared" si="15"/>
        <v>51.573</v>
      </c>
      <c r="BF115" s="24">
        <f t="shared" si="21"/>
        <v>0.77793197073685794</v>
      </c>
      <c r="BG115" s="23">
        <f t="shared" si="20"/>
        <v>0.20692353061543833</v>
      </c>
    </row>
    <row r="116" spans="1:59" ht="18" customHeight="1" x14ac:dyDescent="0.2">
      <c r="A116" s="27" t="str">
        <f t="shared" si="16"/>
        <v>개인</v>
      </c>
      <c r="B116" s="27" t="s">
        <v>1559</v>
      </c>
      <c r="C116" s="27" t="s">
        <v>1554</v>
      </c>
      <c r="D116" s="26">
        <v>6091320031</v>
      </c>
      <c r="E116" s="89">
        <v>10040990</v>
      </c>
      <c r="F116" s="25" t="s">
        <v>186</v>
      </c>
      <c r="G116" s="48" t="s">
        <v>322</v>
      </c>
      <c r="H116" s="53">
        <v>45924</v>
      </c>
      <c r="I116" s="50">
        <v>45964</v>
      </c>
      <c r="J116" s="14">
        <v>354.88310000000001</v>
      </c>
      <c r="K116" s="49" t="s">
        <v>311</v>
      </c>
      <c r="L116" s="12"/>
      <c r="M116" s="13"/>
      <c r="N116" s="12"/>
      <c r="O116" s="13"/>
      <c r="P116" s="12"/>
      <c r="Q116" s="13"/>
      <c r="R116" s="12"/>
      <c r="S116" s="13"/>
      <c r="T116" s="12"/>
      <c r="U116" s="13"/>
      <c r="V116" s="12"/>
      <c r="W116" s="13"/>
      <c r="X116" s="12"/>
      <c r="Y116" s="13"/>
      <c r="Z116" s="12"/>
      <c r="AA116" s="13"/>
      <c r="AB116" s="12"/>
      <c r="AC116" s="13"/>
      <c r="AD116" s="12"/>
      <c r="AE116" s="13"/>
      <c r="AF116" s="12"/>
      <c r="AG116" s="13"/>
      <c r="AH116" s="12"/>
      <c r="AI116" s="13"/>
      <c r="AJ116" s="12"/>
      <c r="AK116" s="13"/>
      <c r="AL116" s="12">
        <v>0</v>
      </c>
      <c r="AM116" s="13">
        <v>0</v>
      </c>
      <c r="AN116" s="12">
        <v>0.96</v>
      </c>
      <c r="AO116" s="13">
        <v>0</v>
      </c>
      <c r="AP116" s="12">
        <v>2.2400000000000002</v>
      </c>
      <c r="AQ116" s="13">
        <v>0.96</v>
      </c>
      <c r="AR116" s="12">
        <v>3.36</v>
      </c>
      <c r="AS116" s="13">
        <v>2.2400000000000002</v>
      </c>
      <c r="AT116" s="12">
        <v>2.3519999999999999</v>
      </c>
      <c r="AU116" s="13">
        <v>3.36</v>
      </c>
      <c r="AV116" s="12">
        <f>IFERROR(VLOOKUP(E116,[1]Sheet4!$A:$D,4,0),0)</f>
        <v>2.2240000000000002</v>
      </c>
      <c r="AW116" s="13">
        <v>2.3519999999999999</v>
      </c>
      <c r="AX116" s="12">
        <v>2.5680000000000001</v>
      </c>
      <c r="AY116" s="39">
        <v>2.2240000000000002</v>
      </c>
      <c r="AZ116" s="12">
        <v>4.5979999999999999</v>
      </c>
      <c r="BA116" s="39">
        <v>2.5680000000000001</v>
      </c>
      <c r="BB116" s="12">
        <v>7.351</v>
      </c>
      <c r="BC116" s="39">
        <v>4.5979999999999999</v>
      </c>
      <c r="BD116" s="12">
        <f t="shared" si="14"/>
        <v>25.652999999999999</v>
      </c>
      <c r="BE116" s="14">
        <f t="shared" si="15"/>
        <v>18.302</v>
      </c>
      <c r="BF116" s="24">
        <f t="shared" si="21"/>
        <v>0.71344482126846764</v>
      </c>
      <c r="BG116" s="23">
        <f t="shared" si="20"/>
        <v>5.1571911990173663E-2</v>
      </c>
    </row>
    <row r="117" spans="1:59" ht="18" customHeight="1" x14ac:dyDescent="0.2">
      <c r="A117" s="27" t="str">
        <f t="shared" si="16"/>
        <v>법인</v>
      </c>
      <c r="B117" s="27" t="s">
        <v>1582</v>
      </c>
      <c r="C117" s="27" t="s">
        <v>1496</v>
      </c>
      <c r="D117" s="26">
        <v>2088201633</v>
      </c>
      <c r="E117" s="89">
        <v>10006513</v>
      </c>
      <c r="F117" s="25" t="s">
        <v>170</v>
      </c>
      <c r="G117" s="48" t="s">
        <v>322</v>
      </c>
      <c r="H117" s="53">
        <v>45959</v>
      </c>
      <c r="I117" s="50">
        <v>45975</v>
      </c>
      <c r="J117" s="14">
        <v>198</v>
      </c>
      <c r="K117" s="49" t="s">
        <v>311</v>
      </c>
      <c r="L117" s="12"/>
      <c r="M117" s="13"/>
      <c r="N117" s="12"/>
      <c r="O117" s="13"/>
      <c r="P117" s="12"/>
      <c r="Q117" s="13"/>
      <c r="R117" s="12"/>
      <c r="S117" s="13"/>
      <c r="T117" s="12"/>
      <c r="U117" s="13"/>
      <c r="V117" s="12"/>
      <c r="W117" s="13"/>
      <c r="X117" s="12"/>
      <c r="Y117" s="13"/>
      <c r="Z117" s="12"/>
      <c r="AA117" s="13"/>
      <c r="AB117" s="12"/>
      <c r="AC117" s="13"/>
      <c r="AD117" s="12"/>
      <c r="AE117" s="13"/>
      <c r="AF117" s="12"/>
      <c r="AG117" s="13"/>
      <c r="AH117" s="12"/>
      <c r="AI117" s="13"/>
      <c r="AJ117" s="12"/>
      <c r="AK117" s="13"/>
      <c r="AL117" s="12">
        <v>0</v>
      </c>
      <c r="AM117" s="13">
        <v>0</v>
      </c>
      <c r="AN117" s="12">
        <v>0</v>
      </c>
      <c r="AO117" s="13">
        <v>0</v>
      </c>
      <c r="AP117" s="12">
        <v>2.4420000000000002</v>
      </c>
      <c r="AQ117" s="13">
        <v>0</v>
      </c>
      <c r="AR117" s="12">
        <v>2.145</v>
      </c>
      <c r="AS117" s="13">
        <v>0</v>
      </c>
      <c r="AT117" s="12">
        <v>3.5750000000000002</v>
      </c>
      <c r="AU117" s="13">
        <v>4.5869999999999997</v>
      </c>
      <c r="AV117" s="12">
        <f>IFERROR(VLOOKUP(E117,[1]Sheet4!$A:$D,4,0),0)</f>
        <v>2.5089999999999999</v>
      </c>
      <c r="AW117" s="13">
        <v>0</v>
      </c>
      <c r="AX117" s="12">
        <v>2.73</v>
      </c>
      <c r="AY117" s="39">
        <v>6.0839999999999996</v>
      </c>
      <c r="AZ117" s="12">
        <v>3.601</v>
      </c>
      <c r="BA117" s="39">
        <v>2.73</v>
      </c>
      <c r="BB117" s="12">
        <v>5.1479999999999997</v>
      </c>
      <c r="BC117" s="39">
        <v>3.601</v>
      </c>
      <c r="BD117" s="12">
        <f t="shared" si="14"/>
        <v>22.15</v>
      </c>
      <c r="BE117" s="14">
        <f t="shared" si="15"/>
        <v>17.001999999999999</v>
      </c>
      <c r="BF117" s="24">
        <f t="shared" ref="BF117:BF140" si="22">BE117/BD117</f>
        <v>0.76758465011286681</v>
      </c>
      <c r="BG117" s="23">
        <f t="shared" si="20"/>
        <v>8.5868686868686858E-2</v>
      </c>
    </row>
    <row r="118" spans="1:59" ht="18" customHeight="1" x14ac:dyDescent="0.2">
      <c r="A118" s="27" t="str">
        <f t="shared" si="16"/>
        <v>개인</v>
      </c>
      <c r="B118" s="27" t="s">
        <v>1556</v>
      </c>
      <c r="C118" s="27" t="s">
        <v>1554</v>
      </c>
      <c r="D118" s="26">
        <v>6179208917</v>
      </c>
      <c r="E118" s="89">
        <v>10015909</v>
      </c>
      <c r="F118" s="25" t="s">
        <v>419</v>
      </c>
      <c r="G118" s="48" t="s">
        <v>322</v>
      </c>
      <c r="H118" s="53">
        <v>45989</v>
      </c>
      <c r="I118" s="50">
        <v>46035</v>
      </c>
      <c r="J118" s="14">
        <v>983.75914</v>
      </c>
      <c r="K118" s="49" t="s">
        <v>311</v>
      </c>
      <c r="L118" s="12"/>
      <c r="M118" s="13"/>
      <c r="N118" s="12"/>
      <c r="O118" s="13"/>
      <c r="P118" s="12"/>
      <c r="Q118" s="13"/>
      <c r="R118" s="12"/>
      <c r="S118" s="13"/>
      <c r="T118" s="12"/>
      <c r="U118" s="13"/>
      <c r="V118" s="12"/>
      <c r="W118" s="13"/>
      <c r="X118" s="12"/>
      <c r="Y118" s="13"/>
      <c r="Z118" s="12"/>
      <c r="AA118" s="13"/>
      <c r="AB118" s="12"/>
      <c r="AC118" s="13"/>
      <c r="AD118" s="12"/>
      <c r="AE118" s="13"/>
      <c r="AF118" s="12"/>
      <c r="AG118" s="13"/>
      <c r="AH118" s="12"/>
      <c r="AI118" s="13"/>
      <c r="AJ118" s="12"/>
      <c r="AK118" s="13"/>
      <c r="AL118" s="12">
        <v>0</v>
      </c>
      <c r="AM118" s="13">
        <v>0</v>
      </c>
      <c r="AN118" s="12">
        <v>0</v>
      </c>
      <c r="AO118" s="13">
        <v>0</v>
      </c>
      <c r="AP118" s="12">
        <v>8.9440000000000008</v>
      </c>
      <c r="AQ118" s="13">
        <v>0</v>
      </c>
      <c r="AR118" s="12">
        <v>16.132999999999999</v>
      </c>
      <c r="AS118" s="13">
        <v>8.9440000000000008</v>
      </c>
      <c r="AT118" s="12">
        <v>0</v>
      </c>
      <c r="AU118" s="13">
        <v>16.132999999999999</v>
      </c>
      <c r="AV118" s="12">
        <f>IFERROR(VLOOKUP(E118,[1]Sheet4!$A:$D,4,0),0)</f>
        <v>0</v>
      </c>
      <c r="AW118" s="13">
        <v>0</v>
      </c>
      <c r="AX118" s="12">
        <v>0</v>
      </c>
      <c r="AY118" s="151">
        <v>0</v>
      </c>
      <c r="AZ118" s="12">
        <v>0</v>
      </c>
      <c r="BA118" s="39">
        <v>0</v>
      </c>
      <c r="BB118" s="12">
        <v>0</v>
      </c>
      <c r="BC118" s="39">
        <v>0</v>
      </c>
      <c r="BD118" s="12">
        <f t="shared" si="14"/>
        <v>25.076999999999998</v>
      </c>
      <c r="BE118" s="14">
        <f t="shared" si="15"/>
        <v>25.076999999999998</v>
      </c>
      <c r="BF118" s="24">
        <f t="shared" si="22"/>
        <v>1</v>
      </c>
      <c r="BG118" s="23">
        <f t="shared" si="20"/>
        <v>2.5490995692299234E-2</v>
      </c>
    </row>
    <row r="119" spans="1:59" ht="18" customHeight="1" x14ac:dyDescent="0.2">
      <c r="A119" s="27" t="str">
        <f t="shared" si="16"/>
        <v>개인</v>
      </c>
      <c r="B119" s="27" t="s">
        <v>1558</v>
      </c>
      <c r="C119" s="27" t="s">
        <v>1554</v>
      </c>
      <c r="D119" s="26">
        <v>2249051334</v>
      </c>
      <c r="E119" s="89">
        <v>10019113</v>
      </c>
      <c r="F119" s="25" t="s">
        <v>420</v>
      </c>
      <c r="G119" s="48" t="s">
        <v>322</v>
      </c>
      <c r="H119" s="53">
        <v>46008</v>
      </c>
      <c r="I119" s="50">
        <v>46063</v>
      </c>
      <c r="J119" s="14">
        <v>287.37400000000002</v>
      </c>
      <c r="K119" s="49" t="s">
        <v>311</v>
      </c>
      <c r="L119" s="12"/>
      <c r="M119" s="13"/>
      <c r="N119" s="12"/>
      <c r="O119" s="13"/>
      <c r="P119" s="12"/>
      <c r="Q119" s="13"/>
      <c r="R119" s="12"/>
      <c r="S119" s="13"/>
      <c r="T119" s="12"/>
      <c r="U119" s="13"/>
      <c r="V119" s="12"/>
      <c r="W119" s="13"/>
      <c r="X119" s="12"/>
      <c r="Y119" s="13"/>
      <c r="Z119" s="12"/>
      <c r="AA119" s="13"/>
      <c r="AB119" s="12"/>
      <c r="AC119" s="13"/>
      <c r="AD119" s="12"/>
      <c r="AE119" s="13"/>
      <c r="AF119" s="12"/>
      <c r="AG119" s="13"/>
      <c r="AH119" s="12"/>
      <c r="AI119" s="13"/>
      <c r="AJ119" s="12"/>
      <c r="AK119" s="13"/>
      <c r="AL119" s="12">
        <v>0</v>
      </c>
      <c r="AM119" s="13">
        <v>0</v>
      </c>
      <c r="AN119" s="12">
        <v>0</v>
      </c>
      <c r="AO119" s="13">
        <v>0</v>
      </c>
      <c r="AP119" s="12">
        <v>0.94699999999999995</v>
      </c>
      <c r="AQ119" s="13">
        <v>0</v>
      </c>
      <c r="AR119" s="12">
        <v>2.258</v>
      </c>
      <c r="AS119" s="13">
        <v>0.94699999999999995</v>
      </c>
      <c r="AT119" s="12">
        <v>2.2509999999999999</v>
      </c>
      <c r="AU119" s="13">
        <v>0</v>
      </c>
      <c r="AV119" s="12">
        <f>IFERROR(VLOOKUP(E119,[1]Sheet4!$A:$D,4,0),0)</f>
        <v>1.853</v>
      </c>
      <c r="AW119" s="13">
        <v>4.5090000000000003</v>
      </c>
      <c r="AX119" s="12">
        <v>2.4500000000000002</v>
      </c>
      <c r="AY119" s="39">
        <v>1.853</v>
      </c>
      <c r="AZ119" s="12">
        <v>2.117</v>
      </c>
      <c r="BA119" s="39">
        <v>2.4500000000000002</v>
      </c>
      <c r="BB119" s="12">
        <v>2.6160000000000001</v>
      </c>
      <c r="BC119" s="39">
        <v>2.117</v>
      </c>
      <c r="BD119" s="12">
        <f t="shared" si="14"/>
        <v>14.492000000000001</v>
      </c>
      <c r="BE119" s="14">
        <f t="shared" si="15"/>
        <v>11.876000000000001</v>
      </c>
      <c r="BF119" s="24">
        <f t="shared" si="22"/>
        <v>0.81948661330389183</v>
      </c>
      <c r="BG119" s="23">
        <f t="shared" si="20"/>
        <v>4.1325937628317107E-2</v>
      </c>
    </row>
    <row r="120" spans="1:59" ht="18" customHeight="1" x14ac:dyDescent="0.2">
      <c r="A120" s="27" t="str">
        <f t="shared" si="16"/>
        <v>개인</v>
      </c>
      <c r="B120" s="27" t="s">
        <v>1569</v>
      </c>
      <c r="C120" s="27" t="s">
        <v>1554</v>
      </c>
      <c r="D120" s="26">
        <v>4159055955</v>
      </c>
      <c r="E120" s="89">
        <v>10026494</v>
      </c>
      <c r="F120" s="25" t="s">
        <v>421</v>
      </c>
      <c r="G120" s="48" t="s">
        <v>322</v>
      </c>
      <c r="H120" s="53">
        <v>45980</v>
      </c>
      <c r="I120" s="50">
        <v>46042</v>
      </c>
      <c r="J120" s="14">
        <v>516.31819299999995</v>
      </c>
      <c r="K120" s="49" t="s">
        <v>311</v>
      </c>
      <c r="L120" s="12"/>
      <c r="M120" s="13"/>
      <c r="N120" s="12"/>
      <c r="O120" s="13"/>
      <c r="P120" s="12"/>
      <c r="Q120" s="13"/>
      <c r="R120" s="12"/>
      <c r="S120" s="13"/>
      <c r="T120" s="12"/>
      <c r="U120" s="13"/>
      <c r="V120" s="12"/>
      <c r="W120" s="13"/>
      <c r="X120" s="12"/>
      <c r="Y120" s="13"/>
      <c r="Z120" s="12"/>
      <c r="AA120" s="13"/>
      <c r="AB120" s="12"/>
      <c r="AC120" s="13"/>
      <c r="AD120" s="12"/>
      <c r="AE120" s="13"/>
      <c r="AF120" s="12"/>
      <c r="AG120" s="13"/>
      <c r="AH120" s="12"/>
      <c r="AI120" s="13"/>
      <c r="AJ120" s="12"/>
      <c r="AK120" s="13"/>
      <c r="AL120" s="12">
        <v>0</v>
      </c>
      <c r="AM120" s="13">
        <v>0</v>
      </c>
      <c r="AN120" s="12">
        <v>0</v>
      </c>
      <c r="AO120" s="13">
        <v>0</v>
      </c>
      <c r="AP120" s="12">
        <v>6.9980000000000002</v>
      </c>
      <c r="AQ120" s="13">
        <v>0</v>
      </c>
      <c r="AR120" s="12">
        <v>10.976000000000001</v>
      </c>
      <c r="AS120" s="13">
        <v>0</v>
      </c>
      <c r="AT120" s="12">
        <v>9.5060000000000002</v>
      </c>
      <c r="AU120" s="13">
        <v>0</v>
      </c>
      <c r="AV120" s="12">
        <f>IFERROR(VLOOKUP(E120,[1]Sheet4!$A:$D,4,0),0)</f>
        <v>10.439</v>
      </c>
      <c r="AW120" s="13">
        <v>17.974</v>
      </c>
      <c r="AX120" s="12">
        <v>10.608000000000001</v>
      </c>
      <c r="AY120" s="39">
        <v>19.945</v>
      </c>
      <c r="AZ120" s="12">
        <v>28.114999999999998</v>
      </c>
      <c r="BA120" s="39">
        <v>10.608000000000001</v>
      </c>
      <c r="BB120" s="12">
        <v>26.167000000000002</v>
      </c>
      <c r="BC120" s="39">
        <v>28.114999999999998</v>
      </c>
      <c r="BD120" s="12">
        <f t="shared" si="14"/>
        <v>102.809</v>
      </c>
      <c r="BE120" s="14">
        <f t="shared" si="15"/>
        <v>76.641999999999996</v>
      </c>
      <c r="BF120" s="24">
        <f t="shared" si="22"/>
        <v>0.74547948136836262</v>
      </c>
      <c r="BG120" s="23">
        <f t="shared" si="20"/>
        <v>0.14843947209119551</v>
      </c>
    </row>
    <row r="121" spans="1:59" ht="18" customHeight="1" x14ac:dyDescent="0.2">
      <c r="A121" s="27" t="str">
        <f t="shared" si="16"/>
        <v>법인</v>
      </c>
      <c r="B121" s="27" t="s">
        <v>1556</v>
      </c>
      <c r="C121" s="27" t="s">
        <v>1496</v>
      </c>
      <c r="D121" s="26">
        <v>1228213795</v>
      </c>
      <c r="E121" s="89">
        <v>10032387</v>
      </c>
      <c r="F121" s="25" t="s">
        <v>422</v>
      </c>
      <c r="G121" s="48" t="s">
        <v>322</v>
      </c>
      <c r="H121" s="53">
        <v>45985</v>
      </c>
      <c r="I121" s="50">
        <v>46042</v>
      </c>
      <c r="J121" s="14">
        <v>1502.824646</v>
      </c>
      <c r="K121" s="49" t="s">
        <v>311</v>
      </c>
      <c r="L121" s="12"/>
      <c r="M121" s="13"/>
      <c r="N121" s="12"/>
      <c r="O121" s="13"/>
      <c r="P121" s="12"/>
      <c r="Q121" s="13"/>
      <c r="R121" s="12"/>
      <c r="S121" s="13"/>
      <c r="T121" s="12"/>
      <c r="U121" s="13"/>
      <c r="V121" s="12"/>
      <c r="W121" s="13"/>
      <c r="X121" s="12"/>
      <c r="Y121" s="13"/>
      <c r="Z121" s="12"/>
      <c r="AA121" s="13"/>
      <c r="AB121" s="12"/>
      <c r="AC121" s="13"/>
      <c r="AD121" s="12"/>
      <c r="AE121" s="13"/>
      <c r="AF121" s="12"/>
      <c r="AG121" s="13"/>
      <c r="AH121" s="12"/>
      <c r="AI121" s="13"/>
      <c r="AJ121" s="12"/>
      <c r="AK121" s="13"/>
      <c r="AL121" s="12">
        <v>0</v>
      </c>
      <c r="AM121" s="13">
        <v>0</v>
      </c>
      <c r="AN121" s="12">
        <v>0</v>
      </c>
      <c r="AO121" s="13">
        <v>0</v>
      </c>
      <c r="AP121" s="12">
        <v>0.67600000000000005</v>
      </c>
      <c r="AQ121" s="13">
        <v>0</v>
      </c>
      <c r="AR121" s="12">
        <v>11.856</v>
      </c>
      <c r="AS121" s="13">
        <v>0.67600000000000005</v>
      </c>
      <c r="AT121" s="12">
        <v>14.365</v>
      </c>
      <c r="AU121" s="13">
        <v>11.856</v>
      </c>
      <c r="AV121" s="12">
        <f>IFERROR(VLOOKUP(E121,[1]Sheet4!$A:$D,4,0),0)</f>
        <v>11.651</v>
      </c>
      <c r="AW121" s="13">
        <v>14.365</v>
      </c>
      <c r="AX121" s="12">
        <v>11.385</v>
      </c>
      <c r="AY121" s="39">
        <v>11.651</v>
      </c>
      <c r="AZ121" s="12">
        <v>12.568</v>
      </c>
      <c r="BA121" s="39">
        <v>11.385</v>
      </c>
      <c r="BB121" s="12">
        <v>8.4090000000000007</v>
      </c>
      <c r="BC121" s="39">
        <v>12.568</v>
      </c>
      <c r="BD121" s="12">
        <f t="shared" si="14"/>
        <v>70.91</v>
      </c>
      <c r="BE121" s="14">
        <f t="shared" si="15"/>
        <v>62.500999999999998</v>
      </c>
      <c r="BF121" s="24">
        <f t="shared" si="22"/>
        <v>0.88141305880693843</v>
      </c>
      <c r="BG121" s="23">
        <f t="shared" si="20"/>
        <v>4.1589017166012057E-2</v>
      </c>
    </row>
    <row r="122" spans="1:59" ht="18" customHeight="1" x14ac:dyDescent="0.2">
      <c r="A122" s="27" t="str">
        <f t="shared" si="16"/>
        <v>법인</v>
      </c>
      <c r="B122" s="27" t="s">
        <v>1566</v>
      </c>
      <c r="C122" s="27" t="s">
        <v>1496</v>
      </c>
      <c r="D122" s="26">
        <v>1308213383</v>
      </c>
      <c r="E122" s="89">
        <v>10033277</v>
      </c>
      <c r="F122" s="25" t="s">
        <v>423</v>
      </c>
      <c r="G122" s="48" t="s">
        <v>322</v>
      </c>
      <c r="H122" s="53">
        <v>45972</v>
      </c>
      <c r="I122" s="50">
        <v>46035</v>
      </c>
      <c r="J122" s="14">
        <v>490.97750000000002</v>
      </c>
      <c r="K122" s="49" t="s">
        <v>311</v>
      </c>
      <c r="L122" s="12"/>
      <c r="M122" s="13"/>
      <c r="N122" s="12"/>
      <c r="O122" s="13"/>
      <c r="P122" s="12"/>
      <c r="Q122" s="13"/>
      <c r="R122" s="12"/>
      <c r="S122" s="13"/>
      <c r="T122" s="12"/>
      <c r="U122" s="13"/>
      <c r="V122" s="12"/>
      <c r="W122" s="13"/>
      <c r="X122" s="12"/>
      <c r="Y122" s="13"/>
      <c r="Z122" s="12"/>
      <c r="AA122" s="13"/>
      <c r="AB122" s="12"/>
      <c r="AC122" s="13"/>
      <c r="AD122" s="12"/>
      <c r="AE122" s="13"/>
      <c r="AF122" s="12"/>
      <c r="AG122" s="13"/>
      <c r="AH122" s="12"/>
      <c r="AI122" s="13"/>
      <c r="AJ122" s="12"/>
      <c r="AK122" s="13"/>
      <c r="AL122" s="12">
        <v>0</v>
      </c>
      <c r="AM122" s="13">
        <v>0</v>
      </c>
      <c r="AN122" s="12">
        <v>0</v>
      </c>
      <c r="AO122" s="13">
        <v>0</v>
      </c>
      <c r="AP122" s="12">
        <v>13.904</v>
      </c>
      <c r="AQ122" s="13">
        <v>0</v>
      </c>
      <c r="AR122" s="12">
        <v>17.28</v>
      </c>
      <c r="AS122" s="13">
        <v>0</v>
      </c>
      <c r="AT122" s="12">
        <v>17.824000000000002</v>
      </c>
      <c r="AU122" s="13">
        <v>0</v>
      </c>
      <c r="AV122" s="12">
        <f>IFERROR(VLOOKUP(E122,[1]Sheet4!$A:$D,4,0),0)</f>
        <v>17.088000000000001</v>
      </c>
      <c r="AW122" s="13">
        <v>31.184000000000001</v>
      </c>
      <c r="AX122" s="12">
        <v>19.888000000000002</v>
      </c>
      <c r="AY122" s="39">
        <v>17.824000000000002</v>
      </c>
      <c r="AZ122" s="12">
        <v>20.591999999999999</v>
      </c>
      <c r="BA122" s="39">
        <v>17.088000000000001</v>
      </c>
      <c r="BB122" s="12">
        <v>18.271999999999998</v>
      </c>
      <c r="BC122" s="39">
        <v>19.888000000000002</v>
      </c>
      <c r="BD122" s="12">
        <f t="shared" si="14"/>
        <v>124.84800000000001</v>
      </c>
      <c r="BE122" s="14">
        <f t="shared" si="15"/>
        <v>85.984000000000009</v>
      </c>
      <c r="BF122" s="24">
        <f t="shared" si="22"/>
        <v>0.6887094707163911</v>
      </c>
      <c r="BG122" s="23">
        <f t="shared" si="20"/>
        <v>0.17512818815526171</v>
      </c>
    </row>
    <row r="123" spans="1:59" ht="18" customHeight="1" x14ac:dyDescent="0.2">
      <c r="A123" s="27" t="str">
        <f t="shared" si="16"/>
        <v>법인</v>
      </c>
      <c r="B123" s="27" t="s">
        <v>1576</v>
      </c>
      <c r="C123" s="27" t="s">
        <v>1496</v>
      </c>
      <c r="D123" s="26">
        <v>1348207603</v>
      </c>
      <c r="E123" s="89">
        <v>10033614</v>
      </c>
      <c r="F123" s="25" t="s">
        <v>424</v>
      </c>
      <c r="G123" s="48" t="s">
        <v>322</v>
      </c>
      <c r="H123" s="53">
        <v>46007</v>
      </c>
      <c r="I123" s="50">
        <v>46020</v>
      </c>
      <c r="J123" s="14">
        <v>1621.24</v>
      </c>
      <c r="K123" s="49" t="s">
        <v>311</v>
      </c>
      <c r="L123" s="12"/>
      <c r="M123" s="13"/>
      <c r="N123" s="12"/>
      <c r="O123" s="13"/>
      <c r="P123" s="12"/>
      <c r="Q123" s="13"/>
      <c r="R123" s="12"/>
      <c r="S123" s="13"/>
      <c r="T123" s="12"/>
      <c r="U123" s="13"/>
      <c r="V123" s="12"/>
      <c r="W123" s="13"/>
      <c r="X123" s="12"/>
      <c r="Y123" s="13"/>
      <c r="Z123" s="12"/>
      <c r="AA123" s="13"/>
      <c r="AB123" s="12"/>
      <c r="AC123" s="13"/>
      <c r="AD123" s="12"/>
      <c r="AE123" s="13"/>
      <c r="AF123" s="12"/>
      <c r="AG123" s="13"/>
      <c r="AH123" s="12"/>
      <c r="AI123" s="13"/>
      <c r="AJ123" s="12"/>
      <c r="AK123" s="13"/>
      <c r="AL123" s="12">
        <v>0</v>
      </c>
      <c r="AM123" s="13">
        <v>0</v>
      </c>
      <c r="AN123" s="12">
        <v>0</v>
      </c>
      <c r="AO123" s="13">
        <v>0</v>
      </c>
      <c r="AP123" s="12">
        <v>7.7064000000000004</v>
      </c>
      <c r="AQ123" s="13">
        <v>0</v>
      </c>
      <c r="AR123" s="12">
        <v>14.976000000000001</v>
      </c>
      <c r="AS123" s="13">
        <v>0</v>
      </c>
      <c r="AT123" s="12">
        <v>12.09</v>
      </c>
      <c r="AU123" s="13">
        <v>0</v>
      </c>
      <c r="AV123" s="12">
        <f>IFERROR(VLOOKUP(E123,[1]Sheet4!$A:$D,4,0),0)</f>
        <v>26.988</v>
      </c>
      <c r="AW123" s="13">
        <v>7.7064000000000004</v>
      </c>
      <c r="AX123" s="12">
        <v>26.988</v>
      </c>
      <c r="AY123" s="39">
        <v>14.976000000000001</v>
      </c>
      <c r="AZ123" s="12">
        <v>26.2392</v>
      </c>
      <c r="BA123" s="39">
        <v>12.09</v>
      </c>
      <c r="BB123" s="12">
        <v>27.799199999999999</v>
      </c>
      <c r="BC123" s="39">
        <v>26.988</v>
      </c>
      <c r="BD123" s="12">
        <f t="shared" si="14"/>
        <v>142.7868</v>
      </c>
      <c r="BE123" s="14">
        <f t="shared" si="15"/>
        <v>61.760400000000004</v>
      </c>
      <c r="BF123" s="24">
        <f t="shared" si="22"/>
        <v>0.4325357806183765</v>
      </c>
      <c r="BG123" s="23">
        <f t="shared" si="20"/>
        <v>3.8094544916236955E-2</v>
      </c>
    </row>
    <row r="124" spans="1:59" ht="18" customHeight="1" x14ac:dyDescent="0.2">
      <c r="A124" s="27" t="str">
        <f t="shared" si="16"/>
        <v>법인</v>
      </c>
      <c r="B124" s="27" t="s">
        <v>1563</v>
      </c>
      <c r="C124" s="27" t="s">
        <v>1496</v>
      </c>
      <c r="D124" s="26">
        <v>1378209745</v>
      </c>
      <c r="E124" s="89">
        <v>10033888</v>
      </c>
      <c r="F124" s="25" t="s">
        <v>425</v>
      </c>
      <c r="G124" s="48" t="s">
        <v>322</v>
      </c>
      <c r="H124" s="53">
        <v>46009</v>
      </c>
      <c r="I124" s="50">
        <v>46042</v>
      </c>
      <c r="J124" s="14">
        <v>949</v>
      </c>
      <c r="K124" s="49" t="s">
        <v>311</v>
      </c>
      <c r="L124" s="12"/>
      <c r="M124" s="13"/>
      <c r="N124" s="12"/>
      <c r="O124" s="13"/>
      <c r="P124" s="12"/>
      <c r="Q124" s="13"/>
      <c r="R124" s="12"/>
      <c r="S124" s="13"/>
      <c r="T124" s="12"/>
      <c r="U124" s="13"/>
      <c r="V124" s="12"/>
      <c r="W124" s="13"/>
      <c r="X124" s="12"/>
      <c r="Y124" s="13"/>
      <c r="Z124" s="12"/>
      <c r="AA124" s="13"/>
      <c r="AB124" s="12"/>
      <c r="AC124" s="13"/>
      <c r="AD124" s="12"/>
      <c r="AE124" s="13"/>
      <c r="AF124" s="12"/>
      <c r="AG124" s="13"/>
      <c r="AH124" s="12"/>
      <c r="AI124" s="13"/>
      <c r="AJ124" s="12"/>
      <c r="AK124" s="13"/>
      <c r="AL124" s="12">
        <v>0</v>
      </c>
      <c r="AM124" s="13">
        <v>0</v>
      </c>
      <c r="AN124" s="12">
        <v>0</v>
      </c>
      <c r="AO124" s="13">
        <v>0</v>
      </c>
      <c r="AP124" s="12">
        <v>10.593999999999999</v>
      </c>
      <c r="AQ124" s="13">
        <v>0</v>
      </c>
      <c r="AR124" s="12">
        <v>25.524999999999999</v>
      </c>
      <c r="AS124" s="13">
        <v>10.593999999999999</v>
      </c>
      <c r="AT124" s="12">
        <v>31.449000000000002</v>
      </c>
      <c r="AU124" s="13">
        <v>25.524999999999999</v>
      </c>
      <c r="AV124" s="12">
        <f>IFERROR(VLOOKUP(E124,[1]Sheet4!$A:$D,4,0),0)</f>
        <v>30.081</v>
      </c>
      <c r="AW124" s="13">
        <v>31.449000000000002</v>
      </c>
      <c r="AX124" s="12">
        <v>18.353000000000002</v>
      </c>
      <c r="AY124" s="39">
        <v>30.081</v>
      </c>
      <c r="AZ124" s="12">
        <v>17.370999999999999</v>
      </c>
      <c r="BA124" s="39">
        <v>18.353000000000002</v>
      </c>
      <c r="BB124" s="12">
        <v>14.097</v>
      </c>
      <c r="BC124" s="39">
        <v>17.370999999999999</v>
      </c>
      <c r="BD124" s="12">
        <f t="shared" si="14"/>
        <v>147.47000000000003</v>
      </c>
      <c r="BE124" s="14">
        <f t="shared" si="15"/>
        <v>133.37300000000002</v>
      </c>
      <c r="BF124" s="24">
        <f t="shared" si="22"/>
        <v>0.90440767613751949</v>
      </c>
      <c r="BG124" s="23">
        <f t="shared" ref="BG124:BG155" si="23">BE124/J124</f>
        <v>0.1405405690200211</v>
      </c>
    </row>
    <row r="125" spans="1:59" ht="18" customHeight="1" x14ac:dyDescent="0.2">
      <c r="A125" s="27" t="str">
        <f t="shared" si="16"/>
        <v>법인</v>
      </c>
      <c r="B125" s="27" t="s">
        <v>1568</v>
      </c>
      <c r="C125" s="27" t="s">
        <v>1496</v>
      </c>
      <c r="D125" s="26">
        <v>1398200376</v>
      </c>
      <c r="E125" s="89">
        <v>10033992</v>
      </c>
      <c r="F125" s="25" t="s">
        <v>255</v>
      </c>
      <c r="G125" s="48" t="s">
        <v>320</v>
      </c>
      <c r="H125" s="53">
        <v>45988</v>
      </c>
      <c r="I125" s="50">
        <v>46042</v>
      </c>
      <c r="J125" s="14">
        <v>99.882000000000005</v>
      </c>
      <c r="K125" s="49" t="s">
        <v>311</v>
      </c>
      <c r="L125" s="12"/>
      <c r="M125" s="13"/>
      <c r="N125" s="12"/>
      <c r="O125" s="13"/>
      <c r="P125" s="12"/>
      <c r="Q125" s="13"/>
      <c r="R125" s="12"/>
      <c r="S125" s="13"/>
      <c r="T125" s="12"/>
      <c r="U125" s="13"/>
      <c r="V125" s="12"/>
      <c r="W125" s="13"/>
      <c r="X125" s="12"/>
      <c r="Y125" s="13"/>
      <c r="Z125" s="12"/>
      <c r="AA125" s="13"/>
      <c r="AB125" s="12"/>
      <c r="AC125" s="13"/>
      <c r="AD125" s="12"/>
      <c r="AE125" s="13"/>
      <c r="AF125" s="12"/>
      <c r="AG125" s="13"/>
      <c r="AH125" s="12"/>
      <c r="AI125" s="13"/>
      <c r="AJ125" s="12"/>
      <c r="AK125" s="13"/>
      <c r="AL125" s="12">
        <v>0</v>
      </c>
      <c r="AM125" s="13">
        <v>0</v>
      </c>
      <c r="AN125" s="12">
        <v>0</v>
      </c>
      <c r="AO125" s="13">
        <v>0</v>
      </c>
      <c r="AP125" s="12">
        <v>99.881999999999991</v>
      </c>
      <c r="AQ125" s="13">
        <v>0</v>
      </c>
      <c r="AR125" s="12" t="s">
        <v>1496</v>
      </c>
      <c r="AS125" s="13">
        <v>0</v>
      </c>
      <c r="AT125" s="12">
        <v>0</v>
      </c>
      <c r="AU125" s="13">
        <v>0</v>
      </c>
      <c r="AV125" s="12">
        <f>IFERROR(VLOOKUP(E125,[1]Sheet4!$A:$D,4,0),0)</f>
        <v>0</v>
      </c>
      <c r="AW125" s="13">
        <v>0</v>
      </c>
      <c r="AX125" s="12">
        <v>0</v>
      </c>
      <c r="AY125" s="39">
        <v>0</v>
      </c>
      <c r="AZ125" s="12">
        <v>0</v>
      </c>
      <c r="BA125" s="39">
        <v>99.882000000000005</v>
      </c>
      <c r="BB125" s="12">
        <v>0</v>
      </c>
      <c r="BC125" s="39">
        <v>0</v>
      </c>
      <c r="BD125" s="12">
        <f t="shared" si="14"/>
        <v>99.881999999999991</v>
      </c>
      <c r="BE125" s="14">
        <f t="shared" si="15"/>
        <v>99.882000000000005</v>
      </c>
      <c r="BF125" s="24">
        <f t="shared" si="22"/>
        <v>1.0000000000000002</v>
      </c>
      <c r="BG125" s="23">
        <f t="shared" si="23"/>
        <v>1</v>
      </c>
    </row>
    <row r="126" spans="1:59" ht="18" customHeight="1" x14ac:dyDescent="0.2">
      <c r="A126" s="27" t="str">
        <f t="shared" si="16"/>
        <v>법인</v>
      </c>
      <c r="B126" s="27" t="s">
        <v>1577</v>
      </c>
      <c r="C126" s="27" t="s">
        <v>1496</v>
      </c>
      <c r="D126" s="26">
        <v>2738200017</v>
      </c>
      <c r="E126" s="89">
        <v>10035968</v>
      </c>
      <c r="F126" s="25" t="s">
        <v>426</v>
      </c>
      <c r="G126" s="48" t="s">
        <v>322</v>
      </c>
      <c r="H126" s="53">
        <v>45895</v>
      </c>
      <c r="I126" s="50">
        <v>46000</v>
      </c>
      <c r="J126" s="14">
        <v>1856.6058499999999</v>
      </c>
      <c r="K126" s="49" t="s">
        <v>311</v>
      </c>
      <c r="L126" s="12"/>
      <c r="M126" s="13"/>
      <c r="N126" s="12"/>
      <c r="O126" s="13"/>
      <c r="P126" s="12"/>
      <c r="Q126" s="13"/>
      <c r="R126" s="12"/>
      <c r="S126" s="13"/>
      <c r="T126" s="12"/>
      <c r="U126" s="13"/>
      <c r="V126" s="12"/>
      <c r="W126" s="13"/>
      <c r="X126" s="12"/>
      <c r="Y126" s="13"/>
      <c r="Z126" s="12"/>
      <c r="AA126" s="13"/>
      <c r="AB126" s="12"/>
      <c r="AC126" s="13"/>
      <c r="AD126" s="12"/>
      <c r="AE126" s="13"/>
      <c r="AF126" s="12"/>
      <c r="AG126" s="13"/>
      <c r="AH126" s="12"/>
      <c r="AI126" s="13"/>
      <c r="AJ126" s="12"/>
      <c r="AK126" s="13"/>
      <c r="AL126" s="12">
        <v>0</v>
      </c>
      <c r="AM126" s="13">
        <v>0</v>
      </c>
      <c r="AN126" s="12">
        <v>0</v>
      </c>
      <c r="AO126" s="13">
        <v>0</v>
      </c>
      <c r="AP126" s="12">
        <v>9.4710000000000001</v>
      </c>
      <c r="AQ126" s="13">
        <v>0</v>
      </c>
      <c r="AR126" s="12">
        <v>4.0289999999999999</v>
      </c>
      <c r="AS126" s="13">
        <v>0</v>
      </c>
      <c r="AT126" s="12">
        <v>10.692</v>
      </c>
      <c r="AU126" s="13">
        <v>13.5</v>
      </c>
      <c r="AV126" s="12">
        <f>IFERROR(VLOOKUP(E126,[1]Sheet4!$A:$D,4,0),0)</f>
        <v>13.7</v>
      </c>
      <c r="AW126" s="13">
        <v>0</v>
      </c>
      <c r="AX126" s="12">
        <v>26.776</v>
      </c>
      <c r="AY126" s="39">
        <v>10.692</v>
      </c>
      <c r="AZ126" s="12">
        <v>36.764000000000003</v>
      </c>
      <c r="BA126" s="39">
        <v>0</v>
      </c>
      <c r="BB126" s="12">
        <v>34.667000000000002</v>
      </c>
      <c r="BC126" s="39">
        <v>13.7</v>
      </c>
      <c r="BD126" s="12">
        <f t="shared" si="14"/>
        <v>136.09899999999999</v>
      </c>
      <c r="BE126" s="14">
        <f t="shared" si="15"/>
        <v>37.891999999999996</v>
      </c>
      <c r="BF126" s="24">
        <f t="shared" si="22"/>
        <v>0.27841497733267695</v>
      </c>
      <c r="BG126" s="23">
        <f t="shared" si="23"/>
        <v>2.0409286117459985E-2</v>
      </c>
    </row>
    <row r="127" spans="1:59" ht="18" customHeight="1" x14ac:dyDescent="0.2">
      <c r="A127" s="27" t="str">
        <f t="shared" si="16"/>
        <v>법인</v>
      </c>
      <c r="B127" s="27" t="s">
        <v>1555</v>
      </c>
      <c r="C127" s="27" t="s">
        <v>1496</v>
      </c>
      <c r="D127" s="26">
        <v>4038202289</v>
      </c>
      <c r="E127" s="89">
        <v>10037680</v>
      </c>
      <c r="F127" s="25" t="s">
        <v>427</v>
      </c>
      <c r="G127" s="48" t="s">
        <v>322</v>
      </c>
      <c r="H127" s="53">
        <v>45889</v>
      </c>
      <c r="I127" s="50">
        <v>46000</v>
      </c>
      <c r="J127" s="14">
        <v>1553.171</v>
      </c>
      <c r="K127" s="49" t="s">
        <v>311</v>
      </c>
      <c r="L127" s="12"/>
      <c r="M127" s="13"/>
      <c r="N127" s="12"/>
      <c r="O127" s="13"/>
      <c r="P127" s="12"/>
      <c r="Q127" s="13"/>
      <c r="R127" s="12"/>
      <c r="S127" s="13"/>
      <c r="T127" s="12"/>
      <c r="U127" s="13"/>
      <c r="V127" s="12"/>
      <c r="W127" s="13"/>
      <c r="X127" s="12"/>
      <c r="Y127" s="13"/>
      <c r="Z127" s="12"/>
      <c r="AA127" s="13"/>
      <c r="AB127" s="12"/>
      <c r="AC127" s="13"/>
      <c r="AD127" s="12"/>
      <c r="AE127" s="13"/>
      <c r="AF127" s="12"/>
      <c r="AG127" s="13"/>
      <c r="AH127" s="12"/>
      <c r="AI127" s="13"/>
      <c r="AJ127" s="12"/>
      <c r="AK127" s="13"/>
      <c r="AL127" s="12">
        <v>0</v>
      </c>
      <c r="AM127" s="13">
        <v>0</v>
      </c>
      <c r="AN127" s="12">
        <v>0</v>
      </c>
      <c r="AO127" s="13">
        <v>0</v>
      </c>
      <c r="AP127" s="12">
        <v>12.75</v>
      </c>
      <c r="AQ127" s="13">
        <v>0</v>
      </c>
      <c r="AR127" s="12">
        <v>36.81</v>
      </c>
      <c r="AS127" s="13">
        <v>0</v>
      </c>
      <c r="AT127" s="12">
        <v>17.91</v>
      </c>
      <c r="AU127" s="13">
        <v>36.81</v>
      </c>
      <c r="AV127" s="12">
        <f>IFERROR(VLOOKUP(E127,[1]Sheet4!$A:$D,4,0),0)</f>
        <v>10.773999999999999</v>
      </c>
      <c r="AW127" s="13">
        <v>17.91</v>
      </c>
      <c r="AX127" s="12">
        <v>28.731999999999999</v>
      </c>
      <c r="AY127" s="39">
        <v>23.524000000000001</v>
      </c>
      <c r="AZ127" s="12">
        <v>27.783999999999999</v>
      </c>
      <c r="BA127" s="39">
        <v>28.731999999999999</v>
      </c>
      <c r="BB127" s="12">
        <v>30.884</v>
      </c>
      <c r="BC127" s="39">
        <v>27.783999999999999</v>
      </c>
      <c r="BD127" s="12">
        <f t="shared" si="14"/>
        <v>165.64400000000001</v>
      </c>
      <c r="BE127" s="14">
        <f t="shared" si="15"/>
        <v>134.76</v>
      </c>
      <c r="BF127" s="24">
        <f t="shared" si="22"/>
        <v>0.81355195479461972</v>
      </c>
      <c r="BG127" s="23">
        <f t="shared" si="23"/>
        <v>8.6764432248606235E-2</v>
      </c>
    </row>
    <row r="128" spans="1:59" ht="18" customHeight="1" x14ac:dyDescent="0.2">
      <c r="A128" s="27" t="str">
        <f t="shared" si="16"/>
        <v>법인</v>
      </c>
      <c r="B128" s="27" t="s">
        <v>1559</v>
      </c>
      <c r="C128" s="27" t="s">
        <v>1496</v>
      </c>
      <c r="D128" s="26">
        <v>4168211504</v>
      </c>
      <c r="E128" s="89">
        <v>10038513</v>
      </c>
      <c r="F128" s="25" t="s">
        <v>428</v>
      </c>
      <c r="G128" s="48" t="s">
        <v>322</v>
      </c>
      <c r="H128" s="53">
        <v>45912</v>
      </c>
      <c r="I128" s="50">
        <v>46035</v>
      </c>
      <c r="J128" s="14">
        <v>659.97699999999998</v>
      </c>
      <c r="K128" s="49" t="s">
        <v>311</v>
      </c>
      <c r="L128" s="12"/>
      <c r="M128" s="13"/>
      <c r="N128" s="12"/>
      <c r="O128" s="13"/>
      <c r="P128" s="12"/>
      <c r="Q128" s="13"/>
      <c r="R128" s="12"/>
      <c r="S128" s="13"/>
      <c r="T128" s="12"/>
      <c r="U128" s="13"/>
      <c r="V128" s="12"/>
      <c r="W128" s="13"/>
      <c r="X128" s="12"/>
      <c r="Y128" s="13"/>
      <c r="Z128" s="12"/>
      <c r="AA128" s="13"/>
      <c r="AB128" s="12"/>
      <c r="AC128" s="13"/>
      <c r="AD128" s="12"/>
      <c r="AE128" s="13"/>
      <c r="AF128" s="12"/>
      <c r="AG128" s="13"/>
      <c r="AH128" s="12"/>
      <c r="AI128" s="13"/>
      <c r="AJ128" s="12"/>
      <c r="AK128" s="13"/>
      <c r="AL128" s="12">
        <v>0</v>
      </c>
      <c r="AM128" s="13">
        <v>0</v>
      </c>
      <c r="AN128" s="12">
        <v>0</v>
      </c>
      <c r="AO128" s="13">
        <v>0</v>
      </c>
      <c r="AP128" s="12">
        <v>1.274</v>
      </c>
      <c r="AQ128" s="13">
        <v>0</v>
      </c>
      <c r="AR128" s="12">
        <v>5.7039999999999997</v>
      </c>
      <c r="AS128" s="13">
        <v>1.274</v>
      </c>
      <c r="AT128" s="12">
        <v>5.17</v>
      </c>
      <c r="AU128" s="13">
        <v>5.7039999999999997</v>
      </c>
      <c r="AV128" s="12">
        <f>IFERROR(VLOOKUP(E128,[1]Sheet4!$A:$D,4,0),0)</f>
        <v>7.8339999999999996</v>
      </c>
      <c r="AW128" s="13">
        <v>5.17</v>
      </c>
      <c r="AX128" s="12">
        <v>11.616</v>
      </c>
      <c r="AY128" s="39">
        <v>7.8339999999999996</v>
      </c>
      <c r="AZ128" s="12">
        <v>11.004</v>
      </c>
      <c r="BA128" s="151">
        <v>11.616</v>
      </c>
      <c r="BB128" s="12">
        <v>8.0239999999999991</v>
      </c>
      <c r="BC128" s="39">
        <v>11.004</v>
      </c>
      <c r="BD128" s="12">
        <f t="shared" si="14"/>
        <v>50.625999999999998</v>
      </c>
      <c r="BE128" s="14">
        <f t="shared" si="15"/>
        <v>42.601999999999997</v>
      </c>
      <c r="BF128" s="24">
        <f t="shared" si="22"/>
        <v>0.8415043653458697</v>
      </c>
      <c r="BG128" s="23">
        <f t="shared" si="23"/>
        <v>6.4550734343772578E-2</v>
      </c>
    </row>
    <row r="129" spans="1:59" ht="18" customHeight="1" x14ac:dyDescent="0.2">
      <c r="A129" s="27" t="str">
        <f t="shared" si="16"/>
        <v>개인</v>
      </c>
      <c r="B129" s="27" t="s">
        <v>1559</v>
      </c>
      <c r="C129" s="27" t="s">
        <v>1554</v>
      </c>
      <c r="D129" s="26">
        <v>4189602686</v>
      </c>
      <c r="E129" s="89">
        <v>10038671</v>
      </c>
      <c r="F129" s="25" t="s">
        <v>429</v>
      </c>
      <c r="G129" s="48" t="s">
        <v>322</v>
      </c>
      <c r="H129" s="53">
        <v>45995</v>
      </c>
      <c r="I129" s="50">
        <v>46049</v>
      </c>
      <c r="J129" s="14">
        <v>370.80939999999998</v>
      </c>
      <c r="K129" s="49" t="s">
        <v>311</v>
      </c>
      <c r="L129" s="12"/>
      <c r="M129" s="13"/>
      <c r="N129" s="12"/>
      <c r="O129" s="13"/>
      <c r="P129" s="12"/>
      <c r="Q129" s="13"/>
      <c r="R129" s="12"/>
      <c r="S129" s="13"/>
      <c r="T129" s="12"/>
      <c r="U129" s="13"/>
      <c r="V129" s="12"/>
      <c r="W129" s="13"/>
      <c r="X129" s="12"/>
      <c r="Y129" s="13"/>
      <c r="Z129" s="12"/>
      <c r="AA129" s="13"/>
      <c r="AB129" s="12"/>
      <c r="AC129" s="13"/>
      <c r="AD129" s="12"/>
      <c r="AE129" s="13"/>
      <c r="AF129" s="12"/>
      <c r="AG129" s="13"/>
      <c r="AH129" s="12"/>
      <c r="AI129" s="13"/>
      <c r="AJ129" s="12"/>
      <c r="AK129" s="13"/>
      <c r="AL129" s="12">
        <v>0</v>
      </c>
      <c r="AM129" s="13">
        <v>0</v>
      </c>
      <c r="AN129" s="12">
        <v>0</v>
      </c>
      <c r="AO129" s="13">
        <v>0</v>
      </c>
      <c r="AP129" s="12">
        <v>0.93799999999999994</v>
      </c>
      <c r="AQ129" s="13">
        <v>0</v>
      </c>
      <c r="AR129" s="12">
        <v>12.186999999999999</v>
      </c>
      <c r="AS129" s="13">
        <v>0</v>
      </c>
      <c r="AT129" s="12">
        <v>15.087999999999999</v>
      </c>
      <c r="AU129" s="13">
        <v>0</v>
      </c>
      <c r="AV129" s="12">
        <f>IFERROR(VLOOKUP(E129,[1]Sheet4!$A:$D,4,0),0)</f>
        <v>16.696000000000002</v>
      </c>
      <c r="AW129" s="13">
        <v>13.125</v>
      </c>
      <c r="AX129" s="12">
        <v>15.641999999999999</v>
      </c>
      <c r="AY129" s="39">
        <v>15.087999999999999</v>
      </c>
      <c r="AZ129" s="12">
        <v>15.247999999999999</v>
      </c>
      <c r="BA129" s="39">
        <v>16.696000000000002</v>
      </c>
      <c r="BB129" s="12">
        <v>15.066000000000001</v>
      </c>
      <c r="BC129" s="39">
        <v>15.641999999999999</v>
      </c>
      <c r="BD129" s="12">
        <f t="shared" si="14"/>
        <v>90.865000000000009</v>
      </c>
      <c r="BE129" s="14">
        <f t="shared" si="15"/>
        <v>60.551000000000002</v>
      </c>
      <c r="BF129" s="24">
        <f t="shared" si="22"/>
        <v>0.6663841963352225</v>
      </c>
      <c r="BG129" s="23">
        <f t="shared" si="23"/>
        <v>0.16329413439896617</v>
      </c>
    </row>
    <row r="130" spans="1:59" ht="18" customHeight="1" x14ac:dyDescent="0.2">
      <c r="A130" s="27" t="str">
        <f t="shared" si="16"/>
        <v>개인</v>
      </c>
      <c r="B130" s="27" t="s">
        <v>1556</v>
      </c>
      <c r="C130" s="27" t="s">
        <v>1554</v>
      </c>
      <c r="D130" s="26">
        <v>8839200093</v>
      </c>
      <c r="E130" s="89">
        <v>10038792</v>
      </c>
      <c r="F130" s="25" t="s">
        <v>430</v>
      </c>
      <c r="G130" s="48" t="s">
        <v>322</v>
      </c>
      <c r="H130" s="53">
        <v>45838</v>
      </c>
      <c r="I130" s="50">
        <v>46063</v>
      </c>
      <c r="J130" s="14">
        <v>232.14</v>
      </c>
      <c r="K130" s="49" t="s">
        <v>311</v>
      </c>
      <c r="L130" s="12"/>
      <c r="M130" s="13"/>
      <c r="N130" s="12"/>
      <c r="O130" s="13"/>
      <c r="P130" s="12"/>
      <c r="Q130" s="13"/>
      <c r="R130" s="12"/>
      <c r="S130" s="13"/>
      <c r="T130" s="12"/>
      <c r="U130" s="13"/>
      <c r="V130" s="12"/>
      <c r="W130" s="13"/>
      <c r="X130" s="12"/>
      <c r="Y130" s="13"/>
      <c r="Z130" s="12"/>
      <c r="AA130" s="13"/>
      <c r="AB130" s="12"/>
      <c r="AC130" s="13"/>
      <c r="AD130" s="12"/>
      <c r="AE130" s="13"/>
      <c r="AF130" s="12"/>
      <c r="AG130" s="13"/>
      <c r="AH130" s="12"/>
      <c r="AI130" s="13"/>
      <c r="AJ130" s="12"/>
      <c r="AK130" s="13"/>
      <c r="AL130" s="12">
        <v>0</v>
      </c>
      <c r="AM130" s="13">
        <v>0</v>
      </c>
      <c r="AN130" s="12">
        <v>0</v>
      </c>
      <c r="AO130" s="13">
        <v>0</v>
      </c>
      <c r="AP130" s="12">
        <v>1.0629999999999999</v>
      </c>
      <c r="AQ130" s="13">
        <v>0</v>
      </c>
      <c r="AR130" s="12">
        <v>2.641</v>
      </c>
      <c r="AS130" s="13">
        <v>1.0629999999999999</v>
      </c>
      <c r="AT130" s="12">
        <v>2.5449999999999999</v>
      </c>
      <c r="AU130" s="13">
        <v>2.641</v>
      </c>
      <c r="AV130" s="12">
        <f>IFERROR(VLOOKUP(E130,[1]Sheet4!$A:$D,4,0),0)</f>
        <v>1.9830000000000001</v>
      </c>
      <c r="AW130" s="13">
        <v>2.5449999999999999</v>
      </c>
      <c r="AX130" s="12">
        <v>2.056</v>
      </c>
      <c r="AY130" s="39">
        <v>1.9830000000000001</v>
      </c>
      <c r="AZ130" s="12">
        <v>2.1320000000000001</v>
      </c>
      <c r="BA130" s="39">
        <v>2.056</v>
      </c>
      <c r="BB130" s="12">
        <v>2.6120000000000001</v>
      </c>
      <c r="BC130" s="39">
        <v>2.1320000000000001</v>
      </c>
      <c r="BD130" s="12">
        <f t="shared" si="14"/>
        <v>15.032</v>
      </c>
      <c r="BE130" s="14">
        <f t="shared" si="15"/>
        <v>12.42</v>
      </c>
      <c r="BF130" s="24">
        <f t="shared" si="22"/>
        <v>0.82623736029803085</v>
      </c>
      <c r="BG130" s="23">
        <f t="shared" si="23"/>
        <v>5.3502196950116314E-2</v>
      </c>
    </row>
    <row r="131" spans="1:59" ht="18" customHeight="1" x14ac:dyDescent="0.2">
      <c r="A131" s="27" t="str">
        <f t="shared" si="16"/>
        <v>개인</v>
      </c>
      <c r="B131" s="27" t="s">
        <v>1559</v>
      </c>
      <c r="C131" s="27" t="s">
        <v>1554</v>
      </c>
      <c r="D131" s="26">
        <v>6559100341</v>
      </c>
      <c r="E131" s="89">
        <v>10042063</v>
      </c>
      <c r="F131" s="25" t="s">
        <v>431</v>
      </c>
      <c r="G131" s="48" t="s">
        <v>322</v>
      </c>
      <c r="H131" s="53">
        <v>45880</v>
      </c>
      <c r="I131" s="50">
        <v>45993</v>
      </c>
      <c r="J131" s="14">
        <v>222.38900000000001</v>
      </c>
      <c r="K131" s="49" t="s">
        <v>311</v>
      </c>
      <c r="L131" s="12"/>
      <c r="M131" s="13"/>
      <c r="N131" s="12"/>
      <c r="O131" s="13"/>
      <c r="P131" s="12"/>
      <c r="Q131" s="13"/>
      <c r="R131" s="12"/>
      <c r="S131" s="13"/>
      <c r="T131" s="12"/>
      <c r="U131" s="13"/>
      <c r="V131" s="12"/>
      <c r="W131" s="13"/>
      <c r="X131" s="12"/>
      <c r="Y131" s="13"/>
      <c r="Z131" s="12"/>
      <c r="AA131" s="13"/>
      <c r="AB131" s="12"/>
      <c r="AC131" s="13"/>
      <c r="AD131" s="12"/>
      <c r="AE131" s="13"/>
      <c r="AF131" s="12"/>
      <c r="AG131" s="13"/>
      <c r="AH131" s="12"/>
      <c r="AI131" s="13"/>
      <c r="AJ131" s="12"/>
      <c r="AK131" s="13"/>
      <c r="AL131" s="12">
        <v>0</v>
      </c>
      <c r="AM131" s="13">
        <v>0</v>
      </c>
      <c r="AN131" s="12">
        <v>0</v>
      </c>
      <c r="AO131" s="13">
        <v>0</v>
      </c>
      <c r="AP131" s="12">
        <v>1.5</v>
      </c>
      <c r="AQ131" s="13">
        <v>0</v>
      </c>
      <c r="AR131" s="12">
        <v>1.5</v>
      </c>
      <c r="AS131" s="13">
        <v>0</v>
      </c>
      <c r="AT131" s="12">
        <v>1.5</v>
      </c>
      <c r="AU131" s="13">
        <v>0</v>
      </c>
      <c r="AV131" s="12">
        <f>IFERROR(VLOOKUP(E131,[1]Sheet4!$A:$D,4,0),0)</f>
        <v>1.748</v>
      </c>
      <c r="AW131" s="13">
        <v>0</v>
      </c>
      <c r="AX131" s="12">
        <v>1.5</v>
      </c>
      <c r="AY131" s="39">
        <v>0</v>
      </c>
      <c r="AZ131" s="12">
        <v>1.5</v>
      </c>
      <c r="BA131" s="39">
        <v>0</v>
      </c>
      <c r="BB131" s="12">
        <v>1.7210000000000001</v>
      </c>
      <c r="BC131" s="39">
        <v>0</v>
      </c>
      <c r="BD131" s="12">
        <f t="shared" si="14"/>
        <v>10.969000000000001</v>
      </c>
      <c r="BE131" s="14">
        <f t="shared" si="15"/>
        <v>0</v>
      </c>
      <c r="BF131" s="24">
        <f t="shared" si="22"/>
        <v>0</v>
      </c>
      <c r="BG131" s="23">
        <f t="shared" si="23"/>
        <v>0</v>
      </c>
    </row>
    <row r="132" spans="1:59" ht="18" customHeight="1" x14ac:dyDescent="0.2">
      <c r="A132" s="27" t="str">
        <f t="shared" si="16"/>
        <v>법인</v>
      </c>
      <c r="B132" s="27" t="s">
        <v>1563</v>
      </c>
      <c r="C132" s="27" t="s">
        <v>1496</v>
      </c>
      <c r="D132" s="26">
        <v>3048207366</v>
      </c>
      <c r="E132" s="89">
        <v>10050471</v>
      </c>
      <c r="F132" s="25" t="s">
        <v>432</v>
      </c>
      <c r="G132" s="48" t="s">
        <v>322</v>
      </c>
      <c r="H132" s="53">
        <v>45994</v>
      </c>
      <c r="I132" s="50">
        <v>46049</v>
      </c>
      <c r="J132" s="14">
        <v>221.839</v>
      </c>
      <c r="K132" s="49" t="s">
        <v>311</v>
      </c>
      <c r="L132" s="12"/>
      <c r="M132" s="13"/>
      <c r="N132" s="12"/>
      <c r="O132" s="13"/>
      <c r="P132" s="12"/>
      <c r="Q132" s="13"/>
      <c r="R132" s="12"/>
      <c r="S132" s="13"/>
      <c r="T132" s="12"/>
      <c r="U132" s="13"/>
      <c r="V132" s="12"/>
      <c r="W132" s="13"/>
      <c r="X132" s="12"/>
      <c r="Y132" s="13"/>
      <c r="Z132" s="12"/>
      <c r="AA132" s="13"/>
      <c r="AB132" s="12"/>
      <c r="AC132" s="13"/>
      <c r="AD132" s="12"/>
      <c r="AE132" s="13"/>
      <c r="AF132" s="12"/>
      <c r="AG132" s="13"/>
      <c r="AH132" s="12"/>
      <c r="AI132" s="13"/>
      <c r="AJ132" s="12"/>
      <c r="AK132" s="13"/>
      <c r="AL132" s="12">
        <v>0</v>
      </c>
      <c r="AM132" s="13">
        <v>0</v>
      </c>
      <c r="AN132" s="12">
        <v>0</v>
      </c>
      <c r="AO132" s="13">
        <v>0</v>
      </c>
      <c r="AP132" s="12">
        <v>1.6830000000000001</v>
      </c>
      <c r="AQ132" s="13">
        <v>0</v>
      </c>
      <c r="AR132" s="12">
        <v>5.4470000000000001</v>
      </c>
      <c r="AS132" s="13">
        <v>0</v>
      </c>
      <c r="AT132" s="12">
        <v>3.4969999999999999</v>
      </c>
      <c r="AU132" s="13">
        <v>7.13</v>
      </c>
      <c r="AV132" s="12">
        <f>IFERROR(VLOOKUP(E132,[1]Sheet4!$A:$D,4,0),0)</f>
        <v>4.5629999999999997</v>
      </c>
      <c r="AW132" s="13">
        <v>0</v>
      </c>
      <c r="AX132" s="12">
        <v>4.7839999999999998</v>
      </c>
      <c r="AY132" s="39">
        <v>3.4969999999999999</v>
      </c>
      <c r="AZ132" s="12">
        <v>5.0309999999999997</v>
      </c>
      <c r="BA132" s="39">
        <v>4.5629999999999997</v>
      </c>
      <c r="BB132" s="12">
        <v>4.407</v>
      </c>
      <c r="BC132" s="39">
        <v>4.7839999999999998</v>
      </c>
      <c r="BD132" s="12">
        <f t="shared" si="14"/>
        <v>29.411999999999995</v>
      </c>
      <c r="BE132" s="14">
        <f t="shared" si="15"/>
        <v>19.973999999999997</v>
      </c>
      <c r="BF132" s="24">
        <f t="shared" si="22"/>
        <v>0.67911056711546303</v>
      </c>
      <c r="BG132" s="23">
        <f t="shared" si="23"/>
        <v>9.0038270998336611E-2</v>
      </c>
    </row>
    <row r="133" spans="1:59" ht="18" customHeight="1" x14ac:dyDescent="0.2">
      <c r="A133" s="27" t="str">
        <f t="shared" si="16"/>
        <v>개인</v>
      </c>
      <c r="B133" s="27" t="s">
        <v>1555</v>
      </c>
      <c r="C133" s="27" t="s">
        <v>1554</v>
      </c>
      <c r="D133" s="26">
        <v>5789001589</v>
      </c>
      <c r="E133" s="89">
        <v>10067605</v>
      </c>
      <c r="F133" s="25" t="s">
        <v>433</v>
      </c>
      <c r="G133" s="48" t="s">
        <v>322</v>
      </c>
      <c r="H133" s="53">
        <v>45988</v>
      </c>
      <c r="I133" s="50">
        <v>46042</v>
      </c>
      <c r="J133" s="14">
        <v>686.85469699999999</v>
      </c>
      <c r="K133" s="49" t="s">
        <v>311</v>
      </c>
      <c r="L133" s="12"/>
      <c r="M133" s="13"/>
      <c r="N133" s="12"/>
      <c r="O133" s="13"/>
      <c r="P133" s="12"/>
      <c r="Q133" s="13"/>
      <c r="R133" s="12"/>
      <c r="S133" s="13"/>
      <c r="T133" s="12"/>
      <c r="U133" s="13"/>
      <c r="V133" s="12"/>
      <c r="W133" s="13"/>
      <c r="X133" s="12"/>
      <c r="Y133" s="13"/>
      <c r="Z133" s="12"/>
      <c r="AA133" s="13"/>
      <c r="AB133" s="12"/>
      <c r="AC133" s="13"/>
      <c r="AD133" s="12"/>
      <c r="AE133" s="13"/>
      <c r="AF133" s="12"/>
      <c r="AG133" s="13"/>
      <c r="AH133" s="12"/>
      <c r="AI133" s="13"/>
      <c r="AJ133" s="12"/>
      <c r="AK133" s="13"/>
      <c r="AL133" s="12">
        <v>0</v>
      </c>
      <c r="AM133" s="13">
        <v>0</v>
      </c>
      <c r="AN133" s="12">
        <v>0</v>
      </c>
      <c r="AO133" s="13">
        <v>0</v>
      </c>
      <c r="AP133" s="12">
        <v>5.4660000000000002</v>
      </c>
      <c r="AQ133" s="13">
        <v>0</v>
      </c>
      <c r="AR133" s="12">
        <v>11.948</v>
      </c>
      <c r="AS133" s="13">
        <v>0</v>
      </c>
      <c r="AT133" s="12">
        <v>9.5850000000000009</v>
      </c>
      <c r="AU133" s="13">
        <v>0</v>
      </c>
      <c r="AV133" s="12">
        <f>IFERROR(VLOOKUP(E133,[1]Sheet4!$A:$D,4,0),0)</f>
        <v>9.9649999999999999</v>
      </c>
      <c r="AW133" s="13">
        <v>26.998999999999999</v>
      </c>
      <c r="AX133" s="12">
        <v>9.0039999999999996</v>
      </c>
      <c r="AY133" s="39">
        <v>9.9649999999999999</v>
      </c>
      <c r="AZ133" s="12">
        <v>9.2859999999999996</v>
      </c>
      <c r="BA133" s="39">
        <v>9.0039999999999996</v>
      </c>
      <c r="BB133" s="12">
        <v>10.372999999999999</v>
      </c>
      <c r="BC133" s="39">
        <v>9.2859999999999996</v>
      </c>
      <c r="BD133" s="12">
        <f t="shared" si="14"/>
        <v>65.626999999999995</v>
      </c>
      <c r="BE133" s="14">
        <f t="shared" si="15"/>
        <v>55.253999999999998</v>
      </c>
      <c r="BF133" s="24">
        <f t="shared" si="22"/>
        <v>0.84194005516022374</v>
      </c>
      <c r="BG133" s="23">
        <f t="shared" si="23"/>
        <v>8.0444962000456408E-2</v>
      </c>
    </row>
    <row r="134" spans="1:59" ht="18" customHeight="1" x14ac:dyDescent="0.2">
      <c r="A134" s="27" t="str">
        <f t="shared" si="16"/>
        <v>개인</v>
      </c>
      <c r="B134" s="27" t="s">
        <v>1559</v>
      </c>
      <c r="C134" s="27" t="s">
        <v>1554</v>
      </c>
      <c r="D134" s="26">
        <v>2999801310</v>
      </c>
      <c r="E134" s="89">
        <v>10068728</v>
      </c>
      <c r="F134" s="25" t="s">
        <v>434</v>
      </c>
      <c r="G134" s="48" t="s">
        <v>322</v>
      </c>
      <c r="H134" s="53">
        <v>45985</v>
      </c>
      <c r="I134" s="50">
        <v>46042</v>
      </c>
      <c r="J134" s="14">
        <v>862.13728200000003</v>
      </c>
      <c r="K134" s="49" t="s">
        <v>311</v>
      </c>
      <c r="L134" s="12"/>
      <c r="M134" s="13"/>
      <c r="N134" s="12"/>
      <c r="O134" s="13"/>
      <c r="P134" s="12"/>
      <c r="Q134" s="13"/>
      <c r="R134" s="12"/>
      <c r="S134" s="13"/>
      <c r="T134" s="12"/>
      <c r="U134" s="13"/>
      <c r="V134" s="12"/>
      <c r="W134" s="13"/>
      <c r="X134" s="12"/>
      <c r="Y134" s="13"/>
      <c r="Z134" s="12"/>
      <c r="AA134" s="13"/>
      <c r="AB134" s="12"/>
      <c r="AC134" s="13"/>
      <c r="AD134" s="12"/>
      <c r="AE134" s="13"/>
      <c r="AF134" s="12"/>
      <c r="AG134" s="13"/>
      <c r="AH134" s="12"/>
      <c r="AI134" s="13"/>
      <c r="AJ134" s="12"/>
      <c r="AK134" s="13"/>
      <c r="AL134" s="12">
        <v>0</v>
      </c>
      <c r="AM134" s="13">
        <v>0</v>
      </c>
      <c r="AN134" s="12">
        <v>0</v>
      </c>
      <c r="AO134" s="13">
        <v>0</v>
      </c>
      <c r="AP134" s="12">
        <v>10.704000000000001</v>
      </c>
      <c r="AQ134" s="13">
        <v>0</v>
      </c>
      <c r="AR134" s="12">
        <v>16.736000000000001</v>
      </c>
      <c r="AS134" s="13">
        <v>10.704000000000001</v>
      </c>
      <c r="AT134" s="12">
        <v>19.376000000000001</v>
      </c>
      <c r="AU134" s="13">
        <v>0</v>
      </c>
      <c r="AV134" s="12">
        <f>IFERROR(VLOOKUP(E134,[1]Sheet4!$A:$D,4,0),0)</f>
        <v>17.408000000000001</v>
      </c>
      <c r="AW134" s="13">
        <v>36.112000000000002</v>
      </c>
      <c r="AX134" s="12">
        <v>0</v>
      </c>
      <c r="AY134" s="39">
        <v>17.408000000000001</v>
      </c>
      <c r="AZ134" s="12">
        <v>0</v>
      </c>
      <c r="BA134" s="151">
        <v>0</v>
      </c>
      <c r="BB134" s="12">
        <v>0</v>
      </c>
      <c r="BC134" s="39">
        <v>0</v>
      </c>
      <c r="BD134" s="12">
        <f t="shared" ref="BD134:BD197" si="24">SUM(AN134,AL134,AJ134,AH134,AF134,AD134,AB134,Z134,X134,V134,T134,R134,P134,N134,L134,AP134,AR134,AT134,AV134,AX134,AZ134,BB134)</f>
        <v>64.224000000000004</v>
      </c>
      <c r="BE134" s="14">
        <f t="shared" ref="BE134:BE197" si="25">SUM(AM134,AK134,AI134,AG134,AE134,AC134,AA134,Y134,W134,U134,S134,Q134,O134,M134,AO134,AQ134,AS134,AU134,AW134,AY134,BA134,BC134)</f>
        <v>64.224000000000004</v>
      </c>
      <c r="BF134" s="24">
        <f t="shared" si="22"/>
        <v>1</v>
      </c>
      <c r="BG134" s="23">
        <f t="shared" si="23"/>
        <v>7.4493936570069363E-2</v>
      </c>
    </row>
    <row r="135" spans="1:59" ht="18" customHeight="1" x14ac:dyDescent="0.2">
      <c r="A135" s="27" t="str">
        <f t="shared" si="16"/>
        <v>법인</v>
      </c>
      <c r="B135" s="27" t="s">
        <v>1556</v>
      </c>
      <c r="C135" s="27" t="s">
        <v>1496</v>
      </c>
      <c r="D135" s="26">
        <v>4098219449</v>
      </c>
      <c r="E135" s="89">
        <v>10069441</v>
      </c>
      <c r="F135" s="25" t="s">
        <v>435</v>
      </c>
      <c r="G135" s="48" t="s">
        <v>322</v>
      </c>
      <c r="H135" s="53">
        <v>46000</v>
      </c>
      <c r="I135" s="50">
        <v>46056</v>
      </c>
      <c r="J135" s="14">
        <v>590.11506399999996</v>
      </c>
      <c r="K135" s="49" t="s">
        <v>311</v>
      </c>
      <c r="L135" s="12"/>
      <c r="M135" s="13"/>
      <c r="N135" s="12"/>
      <c r="O135" s="13"/>
      <c r="P135" s="12"/>
      <c r="Q135" s="13"/>
      <c r="R135" s="12"/>
      <c r="S135" s="13"/>
      <c r="T135" s="12"/>
      <c r="U135" s="13"/>
      <c r="V135" s="12"/>
      <c r="W135" s="13"/>
      <c r="X135" s="12"/>
      <c r="Y135" s="13"/>
      <c r="Z135" s="12"/>
      <c r="AA135" s="13"/>
      <c r="AB135" s="12"/>
      <c r="AC135" s="13"/>
      <c r="AD135" s="12"/>
      <c r="AE135" s="13"/>
      <c r="AF135" s="12"/>
      <c r="AG135" s="13"/>
      <c r="AH135" s="12"/>
      <c r="AI135" s="13"/>
      <c r="AJ135" s="12"/>
      <c r="AK135" s="13"/>
      <c r="AL135" s="12">
        <v>0</v>
      </c>
      <c r="AM135" s="13">
        <v>0</v>
      </c>
      <c r="AN135" s="12">
        <v>0</v>
      </c>
      <c r="AO135" s="13">
        <v>0</v>
      </c>
      <c r="AP135" s="12">
        <v>3.375</v>
      </c>
      <c r="AQ135" s="13">
        <v>0</v>
      </c>
      <c r="AR135" s="12">
        <v>5.5659999999999998</v>
      </c>
      <c r="AS135" s="13">
        <v>3.375</v>
      </c>
      <c r="AT135" s="12">
        <v>13.723000000000001</v>
      </c>
      <c r="AU135" s="13">
        <v>5.5659999999999998</v>
      </c>
      <c r="AV135" s="12">
        <f>IFERROR(VLOOKUP(E135,[1]Sheet4!$A:$D,4,0),0)</f>
        <v>13.146000000000001</v>
      </c>
      <c r="AW135" s="13">
        <v>13.723000000000001</v>
      </c>
      <c r="AX135" s="12">
        <v>12.346</v>
      </c>
      <c r="AY135" s="39">
        <v>13.146000000000001</v>
      </c>
      <c r="AZ135" s="12">
        <v>13.826000000000001</v>
      </c>
      <c r="BA135" s="39">
        <v>12.346</v>
      </c>
      <c r="BB135" s="12">
        <v>10.79</v>
      </c>
      <c r="BC135" s="39">
        <v>13.826000000000001</v>
      </c>
      <c r="BD135" s="12">
        <f t="shared" si="24"/>
        <v>72.772000000000006</v>
      </c>
      <c r="BE135" s="14">
        <f t="shared" si="25"/>
        <v>61.982000000000006</v>
      </c>
      <c r="BF135" s="24">
        <f t="shared" si="22"/>
        <v>0.85172868685758263</v>
      </c>
      <c r="BG135" s="23">
        <f t="shared" si="23"/>
        <v>0.10503375321393255</v>
      </c>
    </row>
    <row r="136" spans="1:59" ht="18" customHeight="1" x14ac:dyDescent="0.2">
      <c r="A136" s="27" t="str">
        <f t="shared" si="16"/>
        <v>개인</v>
      </c>
      <c r="B136" s="27" t="s">
        <v>1565</v>
      </c>
      <c r="C136" s="27" t="s">
        <v>1554</v>
      </c>
      <c r="D136" s="26">
        <v>8449201739</v>
      </c>
      <c r="E136" s="89">
        <v>10082404</v>
      </c>
      <c r="F136" s="25" t="s">
        <v>436</v>
      </c>
      <c r="G136" s="48" t="s">
        <v>322</v>
      </c>
      <c r="H136" s="53">
        <v>46010</v>
      </c>
      <c r="I136" s="50">
        <v>46063</v>
      </c>
      <c r="J136" s="14">
        <v>710.767875</v>
      </c>
      <c r="K136" s="49" t="s">
        <v>311</v>
      </c>
      <c r="L136" s="12"/>
      <c r="M136" s="13"/>
      <c r="N136" s="12"/>
      <c r="O136" s="13"/>
      <c r="P136" s="12"/>
      <c r="Q136" s="13"/>
      <c r="R136" s="12"/>
      <c r="S136" s="13"/>
      <c r="T136" s="12"/>
      <c r="U136" s="13"/>
      <c r="V136" s="12"/>
      <c r="W136" s="13"/>
      <c r="X136" s="12"/>
      <c r="Y136" s="13"/>
      <c r="Z136" s="12"/>
      <c r="AA136" s="13"/>
      <c r="AB136" s="12"/>
      <c r="AC136" s="13"/>
      <c r="AD136" s="12"/>
      <c r="AE136" s="13"/>
      <c r="AF136" s="12"/>
      <c r="AG136" s="13"/>
      <c r="AH136" s="12"/>
      <c r="AI136" s="13"/>
      <c r="AJ136" s="12"/>
      <c r="AK136" s="13"/>
      <c r="AL136" s="12">
        <v>0</v>
      </c>
      <c r="AM136" s="13">
        <v>0</v>
      </c>
      <c r="AN136" s="12">
        <v>0</v>
      </c>
      <c r="AO136" s="13">
        <v>0</v>
      </c>
      <c r="AP136" s="12">
        <v>0.16</v>
      </c>
      <c r="AQ136" s="13">
        <v>0</v>
      </c>
      <c r="AR136" s="12">
        <v>14.16</v>
      </c>
      <c r="AS136" s="13">
        <v>0.16</v>
      </c>
      <c r="AT136" s="12">
        <v>8.9920000000000009</v>
      </c>
      <c r="AU136" s="13">
        <v>14.16</v>
      </c>
      <c r="AV136" s="12">
        <f>IFERROR(VLOOKUP(E136,[1]Sheet4!$A:$D,4,0),0)</f>
        <v>5.3150000000000004</v>
      </c>
      <c r="AW136" s="13">
        <v>8.9920000000000009</v>
      </c>
      <c r="AX136" s="12">
        <v>5.3639999999999999</v>
      </c>
      <c r="AY136" s="39">
        <v>5.3150000000000004</v>
      </c>
      <c r="AZ136" s="12">
        <v>5.6159999999999997</v>
      </c>
      <c r="BA136" s="39">
        <v>5.3639999999999999</v>
      </c>
      <c r="BB136" s="12">
        <v>4.7050000000000001</v>
      </c>
      <c r="BC136" s="39">
        <v>5.6159999999999997</v>
      </c>
      <c r="BD136" s="12">
        <f t="shared" si="24"/>
        <v>44.311999999999998</v>
      </c>
      <c r="BE136" s="14">
        <f t="shared" si="25"/>
        <v>39.606999999999999</v>
      </c>
      <c r="BF136" s="24">
        <f t="shared" si="22"/>
        <v>0.89382108683877959</v>
      </c>
      <c r="BG136" s="23">
        <f t="shared" si="23"/>
        <v>5.5724240491313706E-2</v>
      </c>
    </row>
    <row r="137" spans="1:59" ht="18" customHeight="1" x14ac:dyDescent="0.2">
      <c r="A137" s="27" t="str">
        <f t="shared" ref="A137:A191" si="26">IF(MID(D137,4,1)="8","법인","개인")</f>
        <v>개인</v>
      </c>
      <c r="B137" s="27" t="s">
        <v>1564</v>
      </c>
      <c r="C137" s="27" t="s">
        <v>1554</v>
      </c>
      <c r="D137" s="26">
        <v>3839202010</v>
      </c>
      <c r="E137" s="89">
        <v>10091292</v>
      </c>
      <c r="F137" s="25" t="s">
        <v>437</v>
      </c>
      <c r="G137" s="48" t="s">
        <v>322</v>
      </c>
      <c r="H137" s="53">
        <v>45979</v>
      </c>
      <c r="I137" s="50">
        <v>46036</v>
      </c>
      <c r="J137" s="14">
        <v>329.70859999999999</v>
      </c>
      <c r="K137" s="49" t="s">
        <v>311</v>
      </c>
      <c r="L137" s="12"/>
      <c r="M137" s="13"/>
      <c r="N137" s="12"/>
      <c r="O137" s="13"/>
      <c r="P137" s="12"/>
      <c r="Q137" s="13"/>
      <c r="R137" s="12"/>
      <c r="S137" s="13"/>
      <c r="T137" s="12"/>
      <c r="U137" s="13"/>
      <c r="V137" s="12"/>
      <c r="W137" s="13"/>
      <c r="X137" s="12"/>
      <c r="Y137" s="13"/>
      <c r="Z137" s="12"/>
      <c r="AA137" s="13"/>
      <c r="AB137" s="12"/>
      <c r="AC137" s="13"/>
      <c r="AD137" s="12"/>
      <c r="AE137" s="13"/>
      <c r="AF137" s="12"/>
      <c r="AG137" s="13"/>
      <c r="AH137" s="12"/>
      <c r="AI137" s="13"/>
      <c r="AJ137" s="12"/>
      <c r="AK137" s="13"/>
      <c r="AL137" s="12">
        <v>0</v>
      </c>
      <c r="AM137" s="13">
        <v>0</v>
      </c>
      <c r="AN137" s="12">
        <v>0</v>
      </c>
      <c r="AO137" s="13">
        <v>0</v>
      </c>
      <c r="AP137" s="12">
        <v>2.0960000000000001</v>
      </c>
      <c r="AQ137" s="13">
        <v>0</v>
      </c>
      <c r="AR137" s="12">
        <v>2.88</v>
      </c>
      <c r="AS137" s="13">
        <v>0</v>
      </c>
      <c r="AT137" s="12">
        <v>2.5920000000000001</v>
      </c>
      <c r="AU137" s="13">
        <v>0</v>
      </c>
      <c r="AV137" s="12">
        <f>IFERROR(VLOOKUP(E137,[1]Sheet4!$A:$D,4,0),0)</f>
        <v>1.952</v>
      </c>
      <c r="AW137" s="13">
        <v>0</v>
      </c>
      <c r="AX137" s="12">
        <v>2.8319999999999999</v>
      </c>
      <c r="AY137" s="39">
        <v>7.5679999999999996</v>
      </c>
      <c r="AZ137" s="12">
        <v>3.0419999999999998</v>
      </c>
      <c r="BA137" s="39">
        <v>1.952</v>
      </c>
      <c r="BB137" s="12">
        <v>2.7010000000000001</v>
      </c>
      <c r="BC137" s="39">
        <v>2.8319999999999999</v>
      </c>
      <c r="BD137" s="12">
        <f t="shared" si="24"/>
        <v>18.094999999999999</v>
      </c>
      <c r="BE137" s="14">
        <f t="shared" si="25"/>
        <v>12.352</v>
      </c>
      <c r="BF137" s="24">
        <f t="shared" si="22"/>
        <v>0.68261950815142314</v>
      </c>
      <c r="BG137" s="23">
        <f t="shared" si="23"/>
        <v>3.746338433392396E-2</v>
      </c>
    </row>
    <row r="138" spans="1:59" ht="18" customHeight="1" x14ac:dyDescent="0.2">
      <c r="A138" s="27" t="str">
        <f t="shared" si="26"/>
        <v>법인</v>
      </c>
      <c r="B138" s="27" t="s">
        <v>1576</v>
      </c>
      <c r="C138" s="27" t="s">
        <v>1496</v>
      </c>
      <c r="D138" s="26">
        <v>7698200425</v>
      </c>
      <c r="E138" s="89">
        <v>10096603</v>
      </c>
      <c r="F138" s="25" t="s">
        <v>438</v>
      </c>
      <c r="G138" s="48" t="s">
        <v>322</v>
      </c>
      <c r="H138" s="53">
        <v>45968</v>
      </c>
      <c r="I138" s="50">
        <v>46028</v>
      </c>
      <c r="J138" s="14">
        <v>2254.6824299999998</v>
      </c>
      <c r="K138" s="49" t="s">
        <v>311</v>
      </c>
      <c r="L138" s="12"/>
      <c r="M138" s="13"/>
      <c r="N138" s="12"/>
      <c r="O138" s="13"/>
      <c r="P138" s="12"/>
      <c r="Q138" s="13"/>
      <c r="R138" s="12"/>
      <c r="S138" s="13"/>
      <c r="T138" s="12"/>
      <c r="U138" s="13"/>
      <c r="V138" s="12"/>
      <c r="W138" s="13"/>
      <c r="X138" s="12"/>
      <c r="Y138" s="13"/>
      <c r="Z138" s="12"/>
      <c r="AA138" s="13"/>
      <c r="AB138" s="12"/>
      <c r="AC138" s="13"/>
      <c r="AD138" s="12"/>
      <c r="AE138" s="13"/>
      <c r="AF138" s="12"/>
      <c r="AG138" s="13"/>
      <c r="AH138" s="12"/>
      <c r="AI138" s="13"/>
      <c r="AJ138" s="12"/>
      <c r="AK138" s="13"/>
      <c r="AL138" s="12">
        <v>0</v>
      </c>
      <c r="AM138" s="13">
        <v>0</v>
      </c>
      <c r="AN138" s="12">
        <v>0</v>
      </c>
      <c r="AO138" s="13">
        <v>0</v>
      </c>
      <c r="AP138" s="12">
        <v>3.4489999999999998</v>
      </c>
      <c r="AQ138" s="13">
        <v>0</v>
      </c>
      <c r="AR138" s="12">
        <v>7.4569999999999999</v>
      </c>
      <c r="AS138" s="13">
        <v>3.4489999999999998</v>
      </c>
      <c r="AT138" s="12">
        <v>11.345000000000001</v>
      </c>
      <c r="AU138" s="13">
        <v>7.4569999999999999</v>
      </c>
      <c r="AV138" s="12">
        <f>IFERROR(VLOOKUP(E138,[1]Sheet4!$A:$D,4,0),0)</f>
        <v>21.436</v>
      </c>
      <c r="AW138" s="13">
        <v>11.345000000000001</v>
      </c>
      <c r="AX138" s="12">
        <v>26.5</v>
      </c>
      <c r="AY138" s="39">
        <v>21.436</v>
      </c>
      <c r="AZ138" s="12">
        <v>27.349</v>
      </c>
      <c r="BA138" s="39">
        <v>26.5</v>
      </c>
      <c r="BB138" s="12">
        <v>32</v>
      </c>
      <c r="BC138" s="39">
        <v>27.349</v>
      </c>
      <c r="BD138" s="12">
        <f t="shared" si="24"/>
        <v>129.536</v>
      </c>
      <c r="BE138" s="14">
        <f t="shared" si="25"/>
        <v>97.536000000000001</v>
      </c>
      <c r="BF138" s="24">
        <f t="shared" si="22"/>
        <v>0.75296442687747034</v>
      </c>
      <c r="BG138" s="23">
        <f t="shared" si="23"/>
        <v>4.3259307254192782E-2</v>
      </c>
    </row>
    <row r="139" spans="1:59" ht="18" customHeight="1" x14ac:dyDescent="0.2">
      <c r="A139" s="27" t="str">
        <f t="shared" si="26"/>
        <v>개인</v>
      </c>
      <c r="B139" s="27" t="s">
        <v>1570</v>
      </c>
      <c r="C139" s="27" t="s">
        <v>1554</v>
      </c>
      <c r="D139" s="26">
        <v>3669801736</v>
      </c>
      <c r="E139" s="89">
        <v>10099847</v>
      </c>
      <c r="F139" s="25" t="s">
        <v>439</v>
      </c>
      <c r="G139" s="48" t="s">
        <v>322</v>
      </c>
      <c r="H139" s="53">
        <v>45999</v>
      </c>
      <c r="I139" s="50">
        <v>46049</v>
      </c>
      <c r="J139" s="14">
        <v>688.65480200000002</v>
      </c>
      <c r="K139" s="49" t="s">
        <v>311</v>
      </c>
      <c r="L139" s="12"/>
      <c r="M139" s="13"/>
      <c r="N139" s="12"/>
      <c r="O139" s="13"/>
      <c r="P139" s="12"/>
      <c r="Q139" s="13"/>
      <c r="R139" s="12"/>
      <c r="S139" s="13"/>
      <c r="T139" s="12"/>
      <c r="U139" s="13"/>
      <c r="V139" s="12"/>
      <c r="W139" s="13"/>
      <c r="X139" s="12"/>
      <c r="Y139" s="13"/>
      <c r="Z139" s="12"/>
      <c r="AA139" s="13"/>
      <c r="AB139" s="12"/>
      <c r="AC139" s="13"/>
      <c r="AD139" s="12"/>
      <c r="AE139" s="13"/>
      <c r="AF139" s="12"/>
      <c r="AG139" s="13"/>
      <c r="AH139" s="12"/>
      <c r="AI139" s="13"/>
      <c r="AJ139" s="12"/>
      <c r="AK139" s="13"/>
      <c r="AL139" s="12">
        <v>0</v>
      </c>
      <c r="AM139" s="13">
        <v>0</v>
      </c>
      <c r="AN139" s="12">
        <v>0</v>
      </c>
      <c r="AO139" s="13">
        <v>0</v>
      </c>
      <c r="AP139" s="12">
        <v>12.128</v>
      </c>
      <c r="AQ139" s="13">
        <v>0</v>
      </c>
      <c r="AR139" s="12">
        <v>19.654</v>
      </c>
      <c r="AS139" s="13">
        <v>0</v>
      </c>
      <c r="AT139" s="12">
        <v>15.919</v>
      </c>
      <c r="AU139" s="13">
        <v>0</v>
      </c>
      <c r="AV139" s="12">
        <f>IFERROR(VLOOKUP(E139,[1]Sheet4!$A:$D,4,0),0)</f>
        <v>19.603000000000002</v>
      </c>
      <c r="AW139" s="13">
        <v>0</v>
      </c>
      <c r="AX139" s="12">
        <v>27.472000000000001</v>
      </c>
      <c r="AY139" s="39">
        <v>12.128</v>
      </c>
      <c r="AZ139" s="12">
        <v>34.058999999999997</v>
      </c>
      <c r="BA139" s="39">
        <v>19.654</v>
      </c>
      <c r="BB139" s="12">
        <v>39.767000000000003</v>
      </c>
      <c r="BC139" s="39">
        <v>15.919</v>
      </c>
      <c r="BD139" s="12">
        <f t="shared" si="24"/>
        <v>168.602</v>
      </c>
      <c r="BE139" s="14">
        <f t="shared" si="25"/>
        <v>47.701000000000001</v>
      </c>
      <c r="BF139" s="24">
        <f t="shared" si="22"/>
        <v>0.28292072454656531</v>
      </c>
      <c r="BG139" s="23">
        <f t="shared" si="23"/>
        <v>6.926692424341796E-2</v>
      </c>
    </row>
    <row r="140" spans="1:59" ht="18" customHeight="1" x14ac:dyDescent="0.2">
      <c r="A140" s="27" t="str">
        <f t="shared" si="26"/>
        <v>개인</v>
      </c>
      <c r="B140" s="27" t="s">
        <v>1559</v>
      </c>
      <c r="C140" s="27" t="s">
        <v>1554</v>
      </c>
      <c r="D140" s="26">
        <v>7339000251</v>
      </c>
      <c r="E140" s="89">
        <v>10105796</v>
      </c>
      <c r="F140" s="25" t="s">
        <v>440</v>
      </c>
      <c r="G140" s="48" t="s">
        <v>320</v>
      </c>
      <c r="H140" s="53">
        <v>46056</v>
      </c>
      <c r="I140" s="50">
        <v>46105</v>
      </c>
      <c r="J140" s="14">
        <v>285</v>
      </c>
      <c r="K140" s="49" t="s">
        <v>311</v>
      </c>
      <c r="L140" s="12"/>
      <c r="M140" s="13"/>
      <c r="N140" s="12"/>
      <c r="O140" s="13"/>
      <c r="P140" s="12"/>
      <c r="Q140" s="13"/>
      <c r="R140" s="12"/>
      <c r="S140" s="13"/>
      <c r="T140" s="12"/>
      <c r="U140" s="13"/>
      <c r="V140" s="12"/>
      <c r="W140" s="13"/>
      <c r="X140" s="12"/>
      <c r="Y140" s="13"/>
      <c r="Z140" s="12"/>
      <c r="AA140" s="13"/>
      <c r="AB140" s="12"/>
      <c r="AC140" s="13"/>
      <c r="AD140" s="12"/>
      <c r="AE140" s="13"/>
      <c r="AF140" s="12"/>
      <c r="AG140" s="13"/>
      <c r="AH140" s="12"/>
      <c r="AI140" s="13"/>
      <c r="AJ140" s="12"/>
      <c r="AK140" s="13"/>
      <c r="AL140" s="12">
        <v>0</v>
      </c>
      <c r="AM140" s="13">
        <v>0</v>
      </c>
      <c r="AN140" s="12">
        <v>0</v>
      </c>
      <c r="AO140" s="13">
        <v>0</v>
      </c>
      <c r="AP140" s="12">
        <v>285</v>
      </c>
      <c r="AQ140" s="13">
        <v>0</v>
      </c>
      <c r="AR140" s="12" t="s">
        <v>1496</v>
      </c>
      <c r="AS140" s="13">
        <v>0</v>
      </c>
      <c r="AT140" s="12">
        <v>0</v>
      </c>
      <c r="AU140" s="13">
        <v>285</v>
      </c>
      <c r="AV140" s="12">
        <f>IFERROR(VLOOKUP(E140,[1]Sheet4!$A:$D,4,0),0)</f>
        <v>0</v>
      </c>
      <c r="AW140" s="13">
        <v>0</v>
      </c>
      <c r="AX140" s="12">
        <v>0</v>
      </c>
      <c r="AY140" s="39">
        <v>0</v>
      </c>
      <c r="AZ140" s="12">
        <v>0</v>
      </c>
      <c r="BA140" s="39">
        <v>0</v>
      </c>
      <c r="BB140" s="12">
        <v>0</v>
      </c>
      <c r="BC140" s="39">
        <v>0</v>
      </c>
      <c r="BD140" s="12">
        <f t="shared" si="24"/>
        <v>285</v>
      </c>
      <c r="BE140" s="14">
        <f t="shared" si="25"/>
        <v>285</v>
      </c>
      <c r="BF140" s="24">
        <f t="shared" si="22"/>
        <v>1</v>
      </c>
      <c r="BG140" s="23">
        <f t="shared" si="23"/>
        <v>1</v>
      </c>
    </row>
    <row r="141" spans="1:59" ht="18" customHeight="1" x14ac:dyDescent="0.2">
      <c r="A141" s="27" t="str">
        <f t="shared" si="26"/>
        <v>개인</v>
      </c>
      <c r="B141" s="27" t="s">
        <v>1558</v>
      </c>
      <c r="C141" s="27" t="s">
        <v>1554</v>
      </c>
      <c r="D141" s="26">
        <v>1179601595</v>
      </c>
      <c r="E141" s="89">
        <v>10032062</v>
      </c>
      <c r="F141" s="25" t="s">
        <v>1437</v>
      </c>
      <c r="G141" s="48" t="s">
        <v>1477</v>
      </c>
      <c r="H141" s="53">
        <v>46013</v>
      </c>
      <c r="I141" s="50">
        <v>46063</v>
      </c>
      <c r="J141" s="14">
        <v>232.33699999999999</v>
      </c>
      <c r="K141" s="49" t="s">
        <v>311</v>
      </c>
      <c r="L141" s="12"/>
      <c r="M141" s="13"/>
      <c r="N141" s="12"/>
      <c r="O141" s="13"/>
      <c r="P141" s="12"/>
      <c r="Q141" s="13"/>
      <c r="R141" s="12"/>
      <c r="S141" s="13"/>
      <c r="T141" s="12"/>
      <c r="U141" s="13"/>
      <c r="V141" s="12"/>
      <c r="W141" s="13"/>
      <c r="X141" s="12"/>
      <c r="Y141" s="13"/>
      <c r="Z141" s="12"/>
      <c r="AA141" s="13"/>
      <c r="AB141" s="12"/>
      <c r="AC141" s="13"/>
      <c r="AD141" s="12"/>
      <c r="AE141" s="13"/>
      <c r="AF141" s="12"/>
      <c r="AG141" s="13"/>
      <c r="AH141" s="12"/>
      <c r="AI141" s="13"/>
      <c r="AJ141" s="12"/>
      <c r="AK141" s="13"/>
      <c r="AL141" s="12"/>
      <c r="AM141" s="13"/>
      <c r="AN141" s="12"/>
      <c r="AO141" s="13"/>
      <c r="AP141" s="12"/>
      <c r="AQ141" s="13"/>
      <c r="AR141" s="12">
        <v>5.1820000000000004</v>
      </c>
      <c r="AS141" s="13">
        <v>0</v>
      </c>
      <c r="AT141" s="12">
        <v>5.16</v>
      </c>
      <c r="AU141" s="13">
        <v>5.1820000000000004</v>
      </c>
      <c r="AV141" s="12">
        <f>IFERROR(VLOOKUP(E141,[1]Sheet4!$A:$D,4,0),0)</f>
        <v>5.1609999999999996</v>
      </c>
      <c r="AW141" s="13">
        <v>5.16</v>
      </c>
      <c r="AX141" s="12">
        <v>5.0960000000000001</v>
      </c>
      <c r="AY141" s="39">
        <v>5.1609999999999996</v>
      </c>
      <c r="AZ141" s="12">
        <v>4.3520000000000003</v>
      </c>
      <c r="BA141" s="39">
        <v>5.0960000000000001</v>
      </c>
      <c r="BB141" s="12">
        <v>4.5960000000000001</v>
      </c>
      <c r="BC141" s="39">
        <v>4.3520000000000003</v>
      </c>
      <c r="BD141" s="12">
        <f t="shared" si="24"/>
        <v>29.547000000000001</v>
      </c>
      <c r="BE141" s="14">
        <f t="shared" si="25"/>
        <v>24.951000000000001</v>
      </c>
      <c r="BF141" s="24">
        <f t="shared" ref="BF141:BF148" si="27">BE141/BD141</f>
        <v>0.84445121332114936</v>
      </c>
      <c r="BG141" s="23">
        <f t="shared" si="23"/>
        <v>0.10739141849985151</v>
      </c>
    </row>
    <row r="142" spans="1:59" ht="18" customHeight="1" x14ac:dyDescent="0.2">
      <c r="A142" s="27" t="str">
        <f t="shared" si="26"/>
        <v>개인</v>
      </c>
      <c r="B142" s="27" t="s">
        <v>1569</v>
      </c>
      <c r="C142" s="27" t="s">
        <v>1554</v>
      </c>
      <c r="D142" s="26">
        <v>1219210232</v>
      </c>
      <c r="E142" s="89">
        <v>10032311</v>
      </c>
      <c r="F142" s="25" t="s">
        <v>1449</v>
      </c>
      <c r="G142" s="48" t="s">
        <v>1477</v>
      </c>
      <c r="H142" s="53">
        <v>46008</v>
      </c>
      <c r="I142" s="50">
        <v>46063</v>
      </c>
      <c r="J142" s="14">
        <v>435.15855699999997</v>
      </c>
      <c r="K142" s="49" t="s">
        <v>311</v>
      </c>
      <c r="L142" s="12"/>
      <c r="M142" s="13"/>
      <c r="N142" s="12"/>
      <c r="O142" s="13"/>
      <c r="P142" s="12"/>
      <c r="Q142" s="13"/>
      <c r="R142" s="12"/>
      <c r="S142" s="13"/>
      <c r="T142" s="12"/>
      <c r="U142" s="13"/>
      <c r="V142" s="12"/>
      <c r="W142" s="13"/>
      <c r="X142" s="12"/>
      <c r="Y142" s="13"/>
      <c r="Z142" s="12"/>
      <c r="AA142" s="13"/>
      <c r="AB142" s="12"/>
      <c r="AC142" s="13"/>
      <c r="AD142" s="12"/>
      <c r="AE142" s="13"/>
      <c r="AF142" s="12"/>
      <c r="AG142" s="13"/>
      <c r="AH142" s="12"/>
      <c r="AI142" s="13"/>
      <c r="AJ142" s="12"/>
      <c r="AK142" s="13"/>
      <c r="AL142" s="12"/>
      <c r="AM142" s="13"/>
      <c r="AN142" s="12"/>
      <c r="AO142" s="13"/>
      <c r="AP142" s="12"/>
      <c r="AQ142" s="13"/>
      <c r="AR142" s="12">
        <v>2.528</v>
      </c>
      <c r="AS142" s="13">
        <v>0</v>
      </c>
      <c r="AT142" s="12">
        <v>4.1920000000000002</v>
      </c>
      <c r="AU142" s="13">
        <v>0</v>
      </c>
      <c r="AV142" s="12">
        <f>IFERROR(VLOOKUP(E142,[1]Sheet4!$A:$D,4,0),0)</f>
        <v>10.16</v>
      </c>
      <c r="AW142" s="13">
        <v>0</v>
      </c>
      <c r="AX142" s="12">
        <v>10.688000000000001</v>
      </c>
      <c r="AY142" s="39">
        <v>2.528</v>
      </c>
      <c r="AZ142" s="12">
        <v>10.528</v>
      </c>
      <c r="BA142" s="39">
        <v>4.1920000000000002</v>
      </c>
      <c r="BB142" s="12">
        <v>9.1519999999999992</v>
      </c>
      <c r="BC142" s="39">
        <v>10.16</v>
      </c>
      <c r="BD142" s="12">
        <f t="shared" si="24"/>
        <v>47.248000000000005</v>
      </c>
      <c r="BE142" s="14">
        <f t="shared" si="25"/>
        <v>16.880000000000003</v>
      </c>
      <c r="BF142" s="24">
        <f t="shared" si="27"/>
        <v>0.35726379952590587</v>
      </c>
      <c r="BG142" s="23">
        <f t="shared" si="23"/>
        <v>3.8790458623567878E-2</v>
      </c>
    </row>
    <row r="143" spans="1:59" ht="18" customHeight="1" x14ac:dyDescent="0.2">
      <c r="A143" s="27" t="str">
        <f t="shared" si="26"/>
        <v>법인</v>
      </c>
      <c r="B143" s="27" t="s">
        <v>1555</v>
      </c>
      <c r="C143" s="27" t="s">
        <v>1496</v>
      </c>
      <c r="D143" s="26">
        <v>1308202173</v>
      </c>
      <c r="E143" s="89">
        <v>10033270</v>
      </c>
      <c r="F143" s="25" t="s">
        <v>1453</v>
      </c>
      <c r="G143" s="48" t="s">
        <v>1477</v>
      </c>
      <c r="H143" s="53">
        <v>46010</v>
      </c>
      <c r="I143" s="50">
        <v>46087</v>
      </c>
      <c r="J143" s="14">
        <v>2445.0254660000001</v>
      </c>
      <c r="K143" s="49" t="s">
        <v>311</v>
      </c>
      <c r="L143" s="12"/>
      <c r="M143" s="13"/>
      <c r="N143" s="12"/>
      <c r="O143" s="13"/>
      <c r="P143" s="12"/>
      <c r="Q143" s="13"/>
      <c r="R143" s="12"/>
      <c r="S143" s="13"/>
      <c r="T143" s="12"/>
      <c r="U143" s="13"/>
      <c r="V143" s="12"/>
      <c r="W143" s="13"/>
      <c r="X143" s="12"/>
      <c r="Y143" s="13"/>
      <c r="Z143" s="12"/>
      <c r="AA143" s="13"/>
      <c r="AB143" s="12"/>
      <c r="AC143" s="13"/>
      <c r="AD143" s="12"/>
      <c r="AE143" s="13"/>
      <c r="AF143" s="12"/>
      <c r="AG143" s="13"/>
      <c r="AH143" s="12"/>
      <c r="AI143" s="13"/>
      <c r="AJ143" s="12"/>
      <c r="AK143" s="13"/>
      <c r="AL143" s="12"/>
      <c r="AM143" s="13"/>
      <c r="AN143" s="12"/>
      <c r="AO143" s="13"/>
      <c r="AP143" s="12"/>
      <c r="AQ143" s="13"/>
      <c r="AR143" s="12">
        <v>50.61</v>
      </c>
      <c r="AS143" s="13">
        <v>0</v>
      </c>
      <c r="AT143" s="12">
        <v>70.906000000000006</v>
      </c>
      <c r="AU143" s="13">
        <v>50.61</v>
      </c>
      <c r="AV143" s="12">
        <f>IFERROR(VLOOKUP(E143,[1]Sheet4!$A:$D,4,0),0)</f>
        <v>62.372</v>
      </c>
      <c r="AW143" s="13">
        <v>70.906000000000006</v>
      </c>
      <c r="AX143" s="12">
        <v>36.195</v>
      </c>
      <c r="AY143" s="39">
        <v>62.372</v>
      </c>
      <c r="AZ143" s="12">
        <v>39.765000000000001</v>
      </c>
      <c r="BA143" s="39">
        <v>36.195</v>
      </c>
      <c r="BB143" s="12">
        <v>30.152999999999999</v>
      </c>
      <c r="BC143" s="39">
        <v>39.765000000000001</v>
      </c>
      <c r="BD143" s="12">
        <f t="shared" si="24"/>
        <v>290.00100000000003</v>
      </c>
      <c r="BE143" s="14">
        <f t="shared" si="25"/>
        <v>259.84800000000001</v>
      </c>
      <c r="BF143" s="24">
        <f t="shared" si="27"/>
        <v>0.89602449646725346</v>
      </c>
      <c r="BG143" s="23">
        <f t="shared" si="23"/>
        <v>0.10627619368934622</v>
      </c>
    </row>
    <row r="144" spans="1:59" ht="18" customHeight="1" x14ac:dyDescent="0.2">
      <c r="A144" s="27" t="str">
        <f t="shared" si="26"/>
        <v>법인</v>
      </c>
      <c r="B144" s="27" t="s">
        <v>1560</v>
      </c>
      <c r="C144" s="27" t="s">
        <v>1496</v>
      </c>
      <c r="D144" s="26">
        <v>4028200712</v>
      </c>
      <c r="E144" s="89">
        <v>10037576</v>
      </c>
      <c r="F144" s="25" t="s">
        <v>1457</v>
      </c>
      <c r="G144" s="48" t="s">
        <v>1477</v>
      </c>
      <c r="H144" s="53">
        <v>46007</v>
      </c>
      <c r="I144" s="50">
        <v>46056</v>
      </c>
      <c r="J144" s="14">
        <v>1799</v>
      </c>
      <c r="K144" s="49" t="s">
        <v>311</v>
      </c>
      <c r="L144" s="12"/>
      <c r="M144" s="13"/>
      <c r="N144" s="12"/>
      <c r="O144" s="13"/>
      <c r="P144" s="12"/>
      <c r="Q144" s="13"/>
      <c r="R144" s="12"/>
      <c r="S144" s="13"/>
      <c r="T144" s="12"/>
      <c r="U144" s="13"/>
      <c r="V144" s="12"/>
      <c r="W144" s="13"/>
      <c r="X144" s="12"/>
      <c r="Y144" s="13"/>
      <c r="Z144" s="12"/>
      <c r="AA144" s="13"/>
      <c r="AB144" s="12"/>
      <c r="AC144" s="13"/>
      <c r="AD144" s="12"/>
      <c r="AE144" s="13"/>
      <c r="AF144" s="12"/>
      <c r="AG144" s="13"/>
      <c r="AH144" s="12"/>
      <c r="AI144" s="13"/>
      <c r="AJ144" s="12"/>
      <c r="AK144" s="13"/>
      <c r="AL144" s="12"/>
      <c r="AM144" s="13"/>
      <c r="AN144" s="12"/>
      <c r="AO144" s="13"/>
      <c r="AP144" s="12"/>
      <c r="AQ144" s="13"/>
      <c r="AR144" s="12">
        <v>27.908999999999999</v>
      </c>
      <c r="AS144" s="13">
        <v>0</v>
      </c>
      <c r="AT144" s="12">
        <v>28.263000000000002</v>
      </c>
      <c r="AU144" s="13">
        <v>0</v>
      </c>
      <c r="AV144" s="12">
        <f>IFERROR(VLOOKUP(E144,[1]Sheet4!$A:$D,4,0),0)</f>
        <v>25.475999999999999</v>
      </c>
      <c r="AW144" s="13">
        <v>56.171999999999997</v>
      </c>
      <c r="AX144" s="12">
        <v>39.83</v>
      </c>
      <c r="AY144" s="39">
        <v>25.475999999999999</v>
      </c>
      <c r="AZ144" s="12">
        <v>51.531999999999996</v>
      </c>
      <c r="BA144" s="39">
        <v>39.83</v>
      </c>
      <c r="BB144" s="12">
        <v>43.313000000000002</v>
      </c>
      <c r="BC144" s="39">
        <v>51.531999999999996</v>
      </c>
      <c r="BD144" s="12">
        <f t="shared" si="24"/>
        <v>216.32299999999998</v>
      </c>
      <c r="BE144" s="14">
        <f t="shared" si="25"/>
        <v>173.01</v>
      </c>
      <c r="BF144" s="24">
        <f t="shared" si="27"/>
        <v>0.79977626049934591</v>
      </c>
      <c r="BG144" s="23">
        <f t="shared" si="23"/>
        <v>9.6170094496942735E-2</v>
      </c>
    </row>
    <row r="145" spans="1:59" ht="18" customHeight="1" x14ac:dyDescent="0.2">
      <c r="A145" s="27" t="str">
        <f t="shared" si="26"/>
        <v>개인</v>
      </c>
      <c r="B145" s="27" t="s">
        <v>1567</v>
      </c>
      <c r="C145" s="27" t="s">
        <v>1554</v>
      </c>
      <c r="D145" s="26">
        <v>3069899368</v>
      </c>
      <c r="E145" s="89">
        <v>10066681</v>
      </c>
      <c r="F145" s="25" t="s">
        <v>1441</v>
      </c>
      <c r="G145" s="48" t="s">
        <v>1477</v>
      </c>
      <c r="H145" s="53">
        <v>45957</v>
      </c>
      <c r="I145" s="50">
        <v>46027</v>
      </c>
      <c r="J145" s="14">
        <v>553.04399999999998</v>
      </c>
      <c r="K145" s="49" t="s">
        <v>311</v>
      </c>
      <c r="L145" s="12"/>
      <c r="M145" s="13"/>
      <c r="N145" s="12"/>
      <c r="O145" s="13"/>
      <c r="P145" s="12"/>
      <c r="Q145" s="13"/>
      <c r="R145" s="12"/>
      <c r="S145" s="13"/>
      <c r="T145" s="12"/>
      <c r="U145" s="13"/>
      <c r="V145" s="12"/>
      <c r="W145" s="13"/>
      <c r="X145" s="12"/>
      <c r="Y145" s="13"/>
      <c r="Z145" s="12"/>
      <c r="AA145" s="13"/>
      <c r="AB145" s="12"/>
      <c r="AC145" s="13"/>
      <c r="AD145" s="12"/>
      <c r="AE145" s="13"/>
      <c r="AF145" s="12"/>
      <c r="AG145" s="13"/>
      <c r="AH145" s="12"/>
      <c r="AI145" s="13"/>
      <c r="AJ145" s="12"/>
      <c r="AK145" s="13"/>
      <c r="AL145" s="12"/>
      <c r="AM145" s="13"/>
      <c r="AN145" s="12"/>
      <c r="AO145" s="13"/>
      <c r="AP145" s="12"/>
      <c r="AQ145" s="13"/>
      <c r="AR145" s="12">
        <v>4</v>
      </c>
      <c r="AS145" s="13">
        <v>0</v>
      </c>
      <c r="AT145" s="12">
        <v>5.4880000000000004</v>
      </c>
      <c r="AU145" s="13">
        <v>4</v>
      </c>
      <c r="AV145" s="12">
        <f>IFERROR(VLOOKUP(E145,[1]Sheet4!$A:$D,4,0),0)</f>
        <v>4.3840000000000003</v>
      </c>
      <c r="AW145" s="13">
        <v>5.4880000000000004</v>
      </c>
      <c r="AX145" s="12">
        <v>5.7759999999999998</v>
      </c>
      <c r="AY145" s="39">
        <v>4.3840000000000003</v>
      </c>
      <c r="AZ145" s="12">
        <v>6.6079999999999997</v>
      </c>
      <c r="BA145" s="39">
        <v>5.7759999999999998</v>
      </c>
      <c r="BB145" s="12">
        <v>6.96</v>
      </c>
      <c r="BC145" s="39">
        <v>6.6079999999999997</v>
      </c>
      <c r="BD145" s="12">
        <f t="shared" si="24"/>
        <v>33.216000000000001</v>
      </c>
      <c r="BE145" s="14">
        <f t="shared" si="25"/>
        <v>26.256</v>
      </c>
      <c r="BF145" s="24">
        <f t="shared" si="27"/>
        <v>0.79046242774566478</v>
      </c>
      <c r="BG145" s="23">
        <f t="shared" si="23"/>
        <v>4.7475426909974618E-2</v>
      </c>
    </row>
    <row r="146" spans="1:59" ht="18" customHeight="1" x14ac:dyDescent="0.2">
      <c r="A146" s="27" t="str">
        <f t="shared" si="26"/>
        <v>개인</v>
      </c>
      <c r="B146" s="27" t="s">
        <v>1570</v>
      </c>
      <c r="C146" s="27" t="s">
        <v>1554</v>
      </c>
      <c r="D146" s="26">
        <v>4109253621</v>
      </c>
      <c r="E146" s="89">
        <v>10071000</v>
      </c>
      <c r="F146" s="25" t="s">
        <v>1445</v>
      </c>
      <c r="G146" s="48" t="s">
        <v>1477</v>
      </c>
      <c r="H146" s="53">
        <v>46035</v>
      </c>
      <c r="I146" s="50">
        <v>46077</v>
      </c>
      <c r="J146" s="14">
        <v>964.66526599999997</v>
      </c>
      <c r="K146" s="49" t="s">
        <v>311</v>
      </c>
      <c r="L146" s="12"/>
      <c r="M146" s="13"/>
      <c r="N146" s="12"/>
      <c r="O146" s="13"/>
      <c r="P146" s="12"/>
      <c r="Q146" s="13"/>
      <c r="R146" s="12"/>
      <c r="S146" s="13"/>
      <c r="T146" s="12"/>
      <c r="U146" s="13"/>
      <c r="V146" s="12"/>
      <c r="W146" s="13"/>
      <c r="X146" s="12"/>
      <c r="Y146" s="13"/>
      <c r="Z146" s="12"/>
      <c r="AA146" s="13"/>
      <c r="AB146" s="12"/>
      <c r="AC146" s="13"/>
      <c r="AD146" s="12"/>
      <c r="AE146" s="13"/>
      <c r="AF146" s="12"/>
      <c r="AG146" s="13"/>
      <c r="AH146" s="12"/>
      <c r="AI146" s="13"/>
      <c r="AJ146" s="12"/>
      <c r="AK146" s="13"/>
      <c r="AL146" s="12"/>
      <c r="AM146" s="13"/>
      <c r="AN146" s="12"/>
      <c r="AO146" s="13"/>
      <c r="AP146" s="12"/>
      <c r="AQ146" s="13"/>
      <c r="AR146" s="12">
        <v>6.24</v>
      </c>
      <c r="AS146" s="13">
        <v>0</v>
      </c>
      <c r="AT146" s="12">
        <v>12.179</v>
      </c>
      <c r="AU146" s="13">
        <v>0</v>
      </c>
      <c r="AV146" s="12">
        <f>IFERROR(VLOOKUP(E146,[1]Sheet4!$A:$D,4,0),0)</f>
        <v>14.987</v>
      </c>
      <c r="AW146" s="13">
        <v>18.419</v>
      </c>
      <c r="AX146" s="12">
        <v>14.544</v>
      </c>
      <c r="AY146" s="39">
        <v>29.530999999999999</v>
      </c>
      <c r="AZ146" s="12">
        <v>12.314</v>
      </c>
      <c r="BA146" s="39">
        <v>12.314</v>
      </c>
      <c r="BB146" s="12">
        <v>10.843</v>
      </c>
      <c r="BC146" s="39">
        <v>10.843</v>
      </c>
      <c r="BD146" s="12">
        <f t="shared" si="24"/>
        <v>71.106999999999999</v>
      </c>
      <c r="BE146" s="14">
        <f t="shared" si="25"/>
        <v>71.106999999999999</v>
      </c>
      <c r="BF146" s="24">
        <f t="shared" si="27"/>
        <v>1</v>
      </c>
      <c r="BG146" s="23">
        <f t="shared" si="23"/>
        <v>7.3711579038028718E-2</v>
      </c>
    </row>
    <row r="147" spans="1:59" ht="18" customHeight="1" x14ac:dyDescent="0.2">
      <c r="A147" s="27" t="str">
        <f t="shared" si="26"/>
        <v>개인</v>
      </c>
      <c r="B147" s="27" t="s">
        <v>1558</v>
      </c>
      <c r="C147" s="27" t="s">
        <v>1554</v>
      </c>
      <c r="D147" s="26">
        <v>8531101603</v>
      </c>
      <c r="E147" s="89">
        <v>10073012</v>
      </c>
      <c r="F147" s="25" t="s">
        <v>1469</v>
      </c>
      <c r="G147" s="48" t="s">
        <v>1477</v>
      </c>
      <c r="H147" s="53">
        <v>46041</v>
      </c>
      <c r="I147" s="50">
        <v>46077</v>
      </c>
      <c r="J147" s="14">
        <v>592.75373300000001</v>
      </c>
      <c r="K147" s="49" t="s">
        <v>311</v>
      </c>
      <c r="L147" s="12"/>
      <c r="M147" s="13"/>
      <c r="N147" s="12"/>
      <c r="O147" s="13"/>
      <c r="P147" s="12"/>
      <c r="Q147" s="13"/>
      <c r="R147" s="12"/>
      <c r="S147" s="13"/>
      <c r="T147" s="12"/>
      <c r="U147" s="13"/>
      <c r="V147" s="12"/>
      <c r="W147" s="13"/>
      <c r="X147" s="12"/>
      <c r="Y147" s="13"/>
      <c r="Z147" s="12"/>
      <c r="AA147" s="13"/>
      <c r="AB147" s="12"/>
      <c r="AC147" s="13"/>
      <c r="AD147" s="12"/>
      <c r="AE147" s="13"/>
      <c r="AF147" s="12"/>
      <c r="AG147" s="13"/>
      <c r="AH147" s="12"/>
      <c r="AI147" s="13"/>
      <c r="AJ147" s="12"/>
      <c r="AK147" s="13"/>
      <c r="AL147" s="12"/>
      <c r="AM147" s="13"/>
      <c r="AN147" s="12"/>
      <c r="AO147" s="13"/>
      <c r="AP147" s="12"/>
      <c r="AQ147" s="13"/>
      <c r="AR147" s="12">
        <v>13.151999999999999</v>
      </c>
      <c r="AS147" s="13">
        <v>0</v>
      </c>
      <c r="AT147" s="12">
        <v>18.738</v>
      </c>
      <c r="AU147" s="13">
        <v>13.151999999999999</v>
      </c>
      <c r="AV147" s="12">
        <f>IFERROR(VLOOKUP(E147,[1]Sheet4!$A:$D,4,0),0)</f>
        <v>8.0609999999999999</v>
      </c>
      <c r="AW147" s="13">
        <v>18.738</v>
      </c>
      <c r="AX147" s="12">
        <v>0</v>
      </c>
      <c r="AY147" s="39">
        <v>8.0609999999999999</v>
      </c>
      <c r="AZ147" s="12">
        <v>23.335000000000001</v>
      </c>
      <c r="BA147" s="39">
        <v>0</v>
      </c>
      <c r="BB147" s="12">
        <v>12.733000000000001</v>
      </c>
      <c r="BC147" s="39">
        <v>9.7780000000000005</v>
      </c>
      <c r="BD147" s="12">
        <f t="shared" si="24"/>
        <v>76.019000000000005</v>
      </c>
      <c r="BE147" s="14">
        <f t="shared" si="25"/>
        <v>49.728999999999999</v>
      </c>
      <c r="BF147" s="24">
        <f t="shared" si="27"/>
        <v>0.65416540601691675</v>
      </c>
      <c r="BG147" s="23">
        <f t="shared" si="23"/>
        <v>8.389487443346054E-2</v>
      </c>
    </row>
    <row r="148" spans="1:59" ht="18" customHeight="1" x14ac:dyDescent="0.2">
      <c r="A148" s="27" t="str">
        <f t="shared" si="26"/>
        <v>개인</v>
      </c>
      <c r="B148" s="27" t="s">
        <v>1567</v>
      </c>
      <c r="C148" s="27" t="s">
        <v>1554</v>
      </c>
      <c r="D148" s="26">
        <v>2819402019</v>
      </c>
      <c r="E148" s="89">
        <v>10089241</v>
      </c>
      <c r="F148" s="25" t="s">
        <v>1451</v>
      </c>
      <c r="G148" s="48" t="s">
        <v>1477</v>
      </c>
      <c r="H148" s="53">
        <v>45968</v>
      </c>
      <c r="I148" s="50">
        <v>46035</v>
      </c>
      <c r="J148" s="14">
        <v>520.08656699999995</v>
      </c>
      <c r="K148" s="49" t="s">
        <v>311</v>
      </c>
      <c r="L148" s="12"/>
      <c r="M148" s="13"/>
      <c r="N148" s="12"/>
      <c r="O148" s="13"/>
      <c r="P148" s="12"/>
      <c r="Q148" s="13"/>
      <c r="R148" s="12"/>
      <c r="S148" s="13"/>
      <c r="T148" s="12"/>
      <c r="U148" s="13"/>
      <c r="V148" s="12"/>
      <c r="W148" s="13"/>
      <c r="X148" s="12"/>
      <c r="Y148" s="13"/>
      <c r="Z148" s="12"/>
      <c r="AA148" s="13"/>
      <c r="AB148" s="12"/>
      <c r="AC148" s="13"/>
      <c r="AD148" s="12"/>
      <c r="AE148" s="13"/>
      <c r="AF148" s="12"/>
      <c r="AG148" s="13"/>
      <c r="AH148" s="12"/>
      <c r="AI148" s="13"/>
      <c r="AJ148" s="12"/>
      <c r="AK148" s="13"/>
      <c r="AL148" s="12"/>
      <c r="AM148" s="13"/>
      <c r="AN148" s="12"/>
      <c r="AO148" s="13"/>
      <c r="AP148" s="12"/>
      <c r="AQ148" s="13"/>
      <c r="AR148" s="12">
        <v>0.35199999999999998</v>
      </c>
      <c r="AS148" s="13">
        <v>0</v>
      </c>
      <c r="AT148" s="12">
        <v>0.128</v>
      </c>
      <c r="AU148" s="13">
        <v>0</v>
      </c>
      <c r="AV148" s="12">
        <f>IFERROR(VLOOKUP(E148,[1]Sheet4!$A:$D,4,0),0)</f>
        <v>0.86799999999999999</v>
      </c>
      <c r="AW148" s="13">
        <v>0</v>
      </c>
      <c r="AX148" s="12">
        <v>0.39</v>
      </c>
      <c r="AY148" s="39">
        <v>0</v>
      </c>
      <c r="AZ148" s="12">
        <v>0.497</v>
      </c>
      <c r="BA148" s="39">
        <v>1.3480000000000001</v>
      </c>
      <c r="BB148" s="12">
        <v>0.19600000000000001</v>
      </c>
      <c r="BC148" s="39">
        <v>0</v>
      </c>
      <c r="BD148" s="12">
        <f t="shared" si="24"/>
        <v>2.431</v>
      </c>
      <c r="BE148" s="14">
        <f t="shared" si="25"/>
        <v>1.3480000000000001</v>
      </c>
      <c r="BF148" s="24">
        <f t="shared" si="27"/>
        <v>0.5545043192102016</v>
      </c>
      <c r="BG148" s="23">
        <f t="shared" si="23"/>
        <v>2.5918762097156805E-3</v>
      </c>
    </row>
    <row r="149" spans="1:59" ht="18" customHeight="1" x14ac:dyDescent="0.2">
      <c r="A149" s="27" t="str">
        <f t="shared" si="26"/>
        <v>법인</v>
      </c>
      <c r="B149" s="27" t="s">
        <v>1556</v>
      </c>
      <c r="C149" s="27" t="s">
        <v>1496</v>
      </c>
      <c r="D149" s="26">
        <v>4018206877</v>
      </c>
      <c r="E149" s="89">
        <v>10015488</v>
      </c>
      <c r="F149" s="25" t="s">
        <v>1508</v>
      </c>
      <c r="G149" s="48" t="s">
        <v>1477</v>
      </c>
      <c r="H149" s="53">
        <v>46021</v>
      </c>
      <c r="I149" s="50">
        <v>46105</v>
      </c>
      <c r="J149" s="14">
        <v>293.67259999999999</v>
      </c>
      <c r="K149" s="49" t="s">
        <v>311</v>
      </c>
      <c r="L149" s="12"/>
      <c r="M149" s="13"/>
      <c r="N149" s="12"/>
      <c r="O149" s="13"/>
      <c r="P149" s="12"/>
      <c r="Q149" s="13"/>
      <c r="R149" s="12"/>
      <c r="S149" s="13"/>
      <c r="T149" s="12"/>
      <c r="U149" s="13"/>
      <c r="V149" s="12"/>
      <c r="W149" s="13"/>
      <c r="X149" s="12"/>
      <c r="Y149" s="13"/>
      <c r="Z149" s="12"/>
      <c r="AA149" s="13"/>
      <c r="AB149" s="12"/>
      <c r="AC149" s="13"/>
      <c r="AD149" s="12"/>
      <c r="AE149" s="13"/>
      <c r="AF149" s="12"/>
      <c r="AG149" s="13"/>
      <c r="AH149" s="12"/>
      <c r="AI149" s="13"/>
      <c r="AJ149" s="12"/>
      <c r="AK149" s="13"/>
      <c r="AL149" s="12"/>
      <c r="AM149" s="13"/>
      <c r="AN149" s="12"/>
      <c r="AO149" s="13"/>
      <c r="AP149" s="12"/>
      <c r="AQ149" s="13"/>
      <c r="AR149" s="12" t="s">
        <v>1496</v>
      </c>
      <c r="AS149" s="13"/>
      <c r="AT149" s="12">
        <f>VLOOKUP(E149,[3]PIVOT!$A:$G,7,0)</f>
        <v>9.92</v>
      </c>
      <c r="AU149" s="13">
        <v>0</v>
      </c>
      <c r="AV149" s="12">
        <f>IFERROR(VLOOKUP(E149,[1]Sheet4!$A:$D,4,0),0)</f>
        <v>10.32</v>
      </c>
      <c r="AW149" s="13">
        <v>9.92</v>
      </c>
      <c r="AX149" s="12">
        <v>10.144</v>
      </c>
      <c r="AY149" s="39">
        <v>10.32</v>
      </c>
      <c r="AZ149" s="12">
        <v>9.8719999999999999</v>
      </c>
      <c r="BA149" s="39">
        <v>10.144</v>
      </c>
      <c r="BB149" s="12">
        <v>10.368</v>
      </c>
      <c r="BC149" s="39">
        <v>9.8719999999999999</v>
      </c>
      <c r="BD149" s="12">
        <f t="shared" si="24"/>
        <v>50.624000000000002</v>
      </c>
      <c r="BE149" s="14">
        <f t="shared" si="25"/>
        <v>40.256</v>
      </c>
      <c r="BF149" s="24">
        <f t="shared" ref="BF149:BF166" si="28">BE149/BD149</f>
        <v>0.79519595448798985</v>
      </c>
      <c r="BG149" s="23">
        <f t="shared" si="23"/>
        <v>0.1370778206751328</v>
      </c>
    </row>
    <row r="150" spans="1:59" ht="18" customHeight="1" x14ac:dyDescent="0.2">
      <c r="A150" s="27" t="str">
        <f t="shared" si="26"/>
        <v>개인</v>
      </c>
      <c r="B150" s="27" t="s">
        <v>1555</v>
      </c>
      <c r="C150" s="27" t="s">
        <v>1554</v>
      </c>
      <c r="D150" s="26">
        <v>1199168258</v>
      </c>
      <c r="E150" s="89">
        <v>10032163</v>
      </c>
      <c r="F150" s="25" t="s">
        <v>1509</v>
      </c>
      <c r="G150" s="48" t="s">
        <v>1477</v>
      </c>
      <c r="H150" s="53">
        <v>46021</v>
      </c>
      <c r="I150" s="50">
        <v>46084</v>
      </c>
      <c r="J150" s="14">
        <v>380.11743000000001</v>
      </c>
      <c r="K150" s="49" t="s">
        <v>311</v>
      </c>
      <c r="L150" s="12"/>
      <c r="M150" s="13"/>
      <c r="N150" s="12"/>
      <c r="O150" s="13"/>
      <c r="P150" s="12"/>
      <c r="Q150" s="13"/>
      <c r="R150" s="12"/>
      <c r="S150" s="13"/>
      <c r="T150" s="12"/>
      <c r="U150" s="13"/>
      <c r="V150" s="12"/>
      <c r="W150" s="13"/>
      <c r="X150" s="12"/>
      <c r="Y150" s="13"/>
      <c r="Z150" s="12"/>
      <c r="AA150" s="13"/>
      <c r="AB150" s="12"/>
      <c r="AC150" s="13"/>
      <c r="AD150" s="12"/>
      <c r="AE150" s="13"/>
      <c r="AF150" s="12"/>
      <c r="AG150" s="13"/>
      <c r="AH150" s="12"/>
      <c r="AI150" s="13"/>
      <c r="AJ150" s="12"/>
      <c r="AK150" s="13"/>
      <c r="AL150" s="12"/>
      <c r="AM150" s="13"/>
      <c r="AN150" s="12"/>
      <c r="AO150" s="13"/>
      <c r="AP150" s="12"/>
      <c r="AQ150" s="13"/>
      <c r="AR150" s="12" t="s">
        <v>1496</v>
      </c>
      <c r="AS150" s="13"/>
      <c r="AT150" s="12">
        <f>VLOOKUP(E150,[3]PIVOT!$A:$G,7,0)</f>
        <v>2.839</v>
      </c>
      <c r="AU150" s="13">
        <v>0</v>
      </c>
      <c r="AV150" s="12">
        <f>IFERROR(VLOOKUP(E150,[1]Sheet4!$A:$D,4,0),0)</f>
        <v>3.7160000000000002</v>
      </c>
      <c r="AW150" s="13">
        <v>0</v>
      </c>
      <c r="AX150" s="12">
        <v>3.149</v>
      </c>
      <c r="AY150" s="39">
        <v>2.839</v>
      </c>
      <c r="AZ150" s="12">
        <v>4.9880000000000004</v>
      </c>
      <c r="BA150" s="39">
        <v>0</v>
      </c>
      <c r="BB150" s="12">
        <v>3.3530000000000002</v>
      </c>
      <c r="BC150" s="39">
        <v>3.7160000000000002</v>
      </c>
      <c r="BD150" s="12">
        <f t="shared" si="24"/>
        <v>18.045000000000002</v>
      </c>
      <c r="BE150" s="14">
        <f t="shared" si="25"/>
        <v>6.5549999999999997</v>
      </c>
      <c r="BF150" s="24">
        <f t="shared" si="28"/>
        <v>0.36325852036575224</v>
      </c>
      <c r="BG150" s="23">
        <f t="shared" si="23"/>
        <v>1.7244670942871521E-2</v>
      </c>
    </row>
    <row r="151" spans="1:59" ht="18" customHeight="1" x14ac:dyDescent="0.2">
      <c r="A151" s="27" t="str">
        <f t="shared" si="26"/>
        <v>법인</v>
      </c>
      <c r="B151" s="27" t="s">
        <v>1569</v>
      </c>
      <c r="C151" s="27" t="s">
        <v>1496</v>
      </c>
      <c r="D151" s="26">
        <v>1278218835</v>
      </c>
      <c r="E151" s="89">
        <v>10032900</v>
      </c>
      <c r="F151" s="25" t="s">
        <v>1510</v>
      </c>
      <c r="G151" s="48" t="s">
        <v>1477</v>
      </c>
      <c r="H151" s="53">
        <v>46066</v>
      </c>
      <c r="I151" s="50">
        <v>46098</v>
      </c>
      <c r="J151" s="14">
        <v>976.92091900000003</v>
      </c>
      <c r="K151" s="49" t="s">
        <v>311</v>
      </c>
      <c r="L151" s="12"/>
      <c r="M151" s="13"/>
      <c r="N151" s="12"/>
      <c r="O151" s="13"/>
      <c r="P151" s="12"/>
      <c r="Q151" s="13"/>
      <c r="R151" s="12"/>
      <c r="S151" s="13"/>
      <c r="T151" s="12"/>
      <c r="U151" s="13"/>
      <c r="V151" s="12"/>
      <c r="W151" s="13"/>
      <c r="X151" s="12"/>
      <c r="Y151" s="13"/>
      <c r="Z151" s="12"/>
      <c r="AA151" s="13"/>
      <c r="AB151" s="12"/>
      <c r="AC151" s="13"/>
      <c r="AD151" s="12"/>
      <c r="AE151" s="13"/>
      <c r="AF151" s="12"/>
      <c r="AG151" s="13"/>
      <c r="AH151" s="12"/>
      <c r="AI151" s="13"/>
      <c r="AJ151" s="12"/>
      <c r="AK151" s="13"/>
      <c r="AL151" s="12"/>
      <c r="AM151" s="13"/>
      <c r="AN151" s="12"/>
      <c r="AO151" s="13"/>
      <c r="AP151" s="12"/>
      <c r="AQ151" s="13"/>
      <c r="AR151" s="12" t="s">
        <v>1496</v>
      </c>
      <c r="AS151" s="13"/>
      <c r="AT151" s="12">
        <f>VLOOKUP(E151,[3]PIVOT!$A:$G,7,0)</f>
        <v>19.516999999999999</v>
      </c>
      <c r="AU151" s="13">
        <v>0</v>
      </c>
      <c r="AV151" s="12">
        <f>IFERROR(VLOOKUP(E151,[1]Sheet4!$A:$D,4,0),0)</f>
        <v>12.515000000000001</v>
      </c>
      <c r="AW151" s="13">
        <v>19.516999999999999</v>
      </c>
      <c r="AX151" s="12">
        <v>18.835999999999999</v>
      </c>
      <c r="AY151" s="39">
        <v>12.515000000000001</v>
      </c>
      <c r="AZ151" s="12">
        <v>17.88</v>
      </c>
      <c r="BA151" s="39">
        <v>18.835999999999999</v>
      </c>
      <c r="BB151" s="12">
        <v>25.359000000000002</v>
      </c>
      <c r="BC151" s="39">
        <v>17.88</v>
      </c>
      <c r="BD151" s="12">
        <f t="shared" si="24"/>
        <v>94.106999999999999</v>
      </c>
      <c r="BE151" s="14">
        <f t="shared" si="25"/>
        <v>68.74799999999999</v>
      </c>
      <c r="BF151" s="24">
        <f t="shared" si="28"/>
        <v>0.7305301412222257</v>
      </c>
      <c r="BG151" s="23">
        <f t="shared" si="23"/>
        <v>7.0372123948755347E-2</v>
      </c>
    </row>
    <row r="152" spans="1:59" ht="18" customHeight="1" x14ac:dyDescent="0.2">
      <c r="A152" s="27" t="str">
        <f t="shared" si="26"/>
        <v>법인</v>
      </c>
      <c r="B152" s="27" t="s">
        <v>1568</v>
      </c>
      <c r="C152" s="27" t="s">
        <v>1496</v>
      </c>
      <c r="D152" s="26">
        <v>1308212287</v>
      </c>
      <c r="E152" s="89">
        <v>10033272</v>
      </c>
      <c r="F152" s="25" t="s">
        <v>263</v>
      </c>
      <c r="G152" s="48" t="s">
        <v>1477</v>
      </c>
      <c r="H152" s="53">
        <v>46007</v>
      </c>
      <c r="I152" s="50">
        <v>46049</v>
      </c>
      <c r="J152" s="14">
        <v>1151.846</v>
      </c>
      <c r="K152" s="49" t="s">
        <v>311</v>
      </c>
      <c r="L152" s="12"/>
      <c r="M152" s="13"/>
      <c r="N152" s="12"/>
      <c r="O152" s="13"/>
      <c r="P152" s="12"/>
      <c r="Q152" s="13"/>
      <c r="R152" s="12"/>
      <c r="S152" s="13"/>
      <c r="T152" s="12"/>
      <c r="U152" s="13"/>
      <c r="V152" s="12"/>
      <c r="W152" s="13"/>
      <c r="X152" s="12"/>
      <c r="Y152" s="13"/>
      <c r="Z152" s="12"/>
      <c r="AA152" s="13"/>
      <c r="AB152" s="12"/>
      <c r="AC152" s="13"/>
      <c r="AD152" s="12"/>
      <c r="AE152" s="13"/>
      <c r="AF152" s="12"/>
      <c r="AG152" s="13"/>
      <c r="AH152" s="12"/>
      <c r="AI152" s="13"/>
      <c r="AJ152" s="12"/>
      <c r="AK152" s="13"/>
      <c r="AL152" s="12"/>
      <c r="AM152" s="13"/>
      <c r="AN152" s="12"/>
      <c r="AO152" s="13"/>
      <c r="AP152" s="12"/>
      <c r="AQ152" s="13"/>
      <c r="AR152" s="12" t="s">
        <v>1496</v>
      </c>
      <c r="AS152" s="13"/>
      <c r="AT152" s="12">
        <f>VLOOKUP(E152,[3]PIVOT!$A:$G,7,0)</f>
        <v>24.794</v>
      </c>
      <c r="AU152" s="13">
        <v>0</v>
      </c>
      <c r="AV152" s="12">
        <f>IFERROR(VLOOKUP(E152,[1]Sheet4!$A:$D,4,0),0)</f>
        <v>23.052</v>
      </c>
      <c r="AW152" s="13">
        <v>24.794</v>
      </c>
      <c r="AX152" s="12">
        <v>22.318999999999999</v>
      </c>
      <c r="AY152" s="39">
        <v>21.652000000000001</v>
      </c>
      <c r="AZ152" s="12">
        <v>22.986000000000001</v>
      </c>
      <c r="BA152" s="39">
        <v>23.719000000000001</v>
      </c>
      <c r="BB152" s="12">
        <v>21.617000000000001</v>
      </c>
      <c r="BC152" s="39">
        <v>22.986000000000001</v>
      </c>
      <c r="BD152" s="12">
        <f t="shared" si="24"/>
        <v>114.76800000000001</v>
      </c>
      <c r="BE152" s="14">
        <f t="shared" si="25"/>
        <v>93.150999999999996</v>
      </c>
      <c r="BF152" s="24">
        <f t="shared" si="28"/>
        <v>0.81164610344346844</v>
      </c>
      <c r="BG152" s="23">
        <f t="shared" si="23"/>
        <v>8.0871053942975016E-2</v>
      </c>
    </row>
    <row r="153" spans="1:59" ht="18" customHeight="1" x14ac:dyDescent="0.2">
      <c r="A153" s="27" t="str">
        <f t="shared" si="26"/>
        <v>법인</v>
      </c>
      <c r="B153" s="27" t="s">
        <v>1571</v>
      </c>
      <c r="C153" s="27" t="s">
        <v>1496</v>
      </c>
      <c r="D153" s="26">
        <v>1328203391</v>
      </c>
      <c r="E153" s="89">
        <v>10033479</v>
      </c>
      <c r="F153" s="25" t="s">
        <v>1511</v>
      </c>
      <c r="G153" s="48" t="s">
        <v>1524</v>
      </c>
      <c r="H153" s="53"/>
      <c r="I153" s="50">
        <v>45504</v>
      </c>
      <c r="J153" s="14">
        <v>97.091260000000005</v>
      </c>
      <c r="K153" s="49" t="s">
        <v>311</v>
      </c>
      <c r="L153" s="12"/>
      <c r="M153" s="13"/>
      <c r="N153" s="12"/>
      <c r="O153" s="13"/>
      <c r="P153" s="12"/>
      <c r="Q153" s="13"/>
      <c r="R153" s="12"/>
      <c r="S153" s="13"/>
      <c r="T153" s="12"/>
      <c r="U153" s="13"/>
      <c r="V153" s="12"/>
      <c r="W153" s="13"/>
      <c r="X153" s="12"/>
      <c r="Y153" s="13"/>
      <c r="Z153" s="12"/>
      <c r="AA153" s="13"/>
      <c r="AB153" s="12"/>
      <c r="AC153" s="13"/>
      <c r="AD153" s="12"/>
      <c r="AE153" s="13"/>
      <c r="AF153" s="12"/>
      <c r="AG153" s="13"/>
      <c r="AH153" s="12"/>
      <c r="AI153" s="13"/>
      <c r="AJ153" s="12"/>
      <c r="AK153" s="13"/>
      <c r="AL153" s="12"/>
      <c r="AM153" s="13"/>
      <c r="AN153" s="12"/>
      <c r="AO153" s="13"/>
      <c r="AP153" s="12"/>
      <c r="AQ153" s="13"/>
      <c r="AR153" s="12">
        <v>0</v>
      </c>
      <c r="AS153" s="13"/>
      <c r="AT153" s="12">
        <f>VLOOKUP(E153,[3]PIVOT!$A:$G,7,0)</f>
        <v>1.968</v>
      </c>
      <c r="AU153" s="13">
        <v>0</v>
      </c>
      <c r="AV153" s="12">
        <f>IFERROR(VLOOKUP(E153,[1]Sheet4!$A:$D,4,0),0)</f>
        <v>2.48</v>
      </c>
      <c r="AW153" s="13">
        <v>1.968</v>
      </c>
      <c r="AX153" s="12">
        <v>2.64</v>
      </c>
      <c r="AY153" s="39">
        <v>2.48</v>
      </c>
      <c r="AZ153" s="12">
        <v>3.7919999999999998</v>
      </c>
      <c r="BA153" s="39">
        <v>2.64</v>
      </c>
      <c r="BB153" s="12">
        <v>4.1440000000000001</v>
      </c>
      <c r="BC153" s="39">
        <v>3.7919999999999998</v>
      </c>
      <c r="BD153" s="12">
        <f t="shared" si="24"/>
        <v>15.024000000000001</v>
      </c>
      <c r="BE153" s="14">
        <f t="shared" si="25"/>
        <v>10.88</v>
      </c>
      <c r="BF153" s="24">
        <f t="shared" si="28"/>
        <v>0.72417465388711399</v>
      </c>
      <c r="BG153" s="23">
        <f t="shared" si="23"/>
        <v>0.11205952008450606</v>
      </c>
    </row>
    <row r="154" spans="1:59" ht="18" customHeight="1" x14ac:dyDescent="0.2">
      <c r="A154" s="27" t="str">
        <f t="shared" si="26"/>
        <v>개인</v>
      </c>
      <c r="B154" s="27" t="s">
        <v>1559</v>
      </c>
      <c r="C154" s="27" t="s">
        <v>1554</v>
      </c>
      <c r="D154" s="26">
        <v>2062884484</v>
      </c>
      <c r="E154" s="89">
        <v>10034707</v>
      </c>
      <c r="F154" s="25" t="s">
        <v>1512</v>
      </c>
      <c r="G154" s="48" t="s">
        <v>1477</v>
      </c>
      <c r="H154" s="53">
        <v>46077</v>
      </c>
      <c r="I154" s="50">
        <v>46112</v>
      </c>
      <c r="J154" s="14">
        <v>419.00594799999999</v>
      </c>
      <c r="K154" s="49" t="s">
        <v>311</v>
      </c>
      <c r="L154" s="12"/>
      <c r="M154" s="13"/>
      <c r="N154" s="12"/>
      <c r="O154" s="13"/>
      <c r="P154" s="12"/>
      <c r="Q154" s="13"/>
      <c r="R154" s="12"/>
      <c r="S154" s="13"/>
      <c r="T154" s="12"/>
      <c r="U154" s="13"/>
      <c r="V154" s="12"/>
      <c r="W154" s="13"/>
      <c r="X154" s="12"/>
      <c r="Y154" s="13"/>
      <c r="Z154" s="12"/>
      <c r="AA154" s="13"/>
      <c r="AB154" s="12"/>
      <c r="AC154" s="13"/>
      <c r="AD154" s="12"/>
      <c r="AE154" s="13"/>
      <c r="AF154" s="12"/>
      <c r="AG154" s="13"/>
      <c r="AH154" s="12"/>
      <c r="AI154" s="13"/>
      <c r="AJ154" s="12"/>
      <c r="AK154" s="13"/>
      <c r="AL154" s="12"/>
      <c r="AM154" s="13"/>
      <c r="AN154" s="12"/>
      <c r="AO154" s="13"/>
      <c r="AP154" s="12"/>
      <c r="AQ154" s="13"/>
      <c r="AR154" s="12" t="s">
        <v>1496</v>
      </c>
      <c r="AS154" s="13"/>
      <c r="AT154" s="12">
        <f>VLOOKUP(E154,[3]PIVOT!$A:$G,7,0)</f>
        <v>13.442</v>
      </c>
      <c r="AU154" s="13">
        <v>0</v>
      </c>
      <c r="AV154" s="12">
        <f>IFERROR(VLOOKUP(E154,[1]Sheet4!$A:$D,4,0),0)</f>
        <v>16.544</v>
      </c>
      <c r="AW154" s="13">
        <v>13.442</v>
      </c>
      <c r="AX154" s="12">
        <v>5.2640000000000002</v>
      </c>
      <c r="AY154" s="39">
        <v>10.272</v>
      </c>
      <c r="AZ154" s="12">
        <v>12.64</v>
      </c>
      <c r="BA154" s="39">
        <v>1.264</v>
      </c>
      <c r="BB154" s="12">
        <v>10.816000000000001</v>
      </c>
      <c r="BC154" s="39">
        <v>22.911999999999999</v>
      </c>
      <c r="BD154" s="12">
        <f t="shared" si="24"/>
        <v>58.706000000000003</v>
      </c>
      <c r="BE154" s="14">
        <f t="shared" si="25"/>
        <v>47.89</v>
      </c>
      <c r="BF154" s="24">
        <f t="shared" si="28"/>
        <v>0.81575988825673695</v>
      </c>
      <c r="BG154" s="23">
        <f t="shared" si="23"/>
        <v>0.11429432023241828</v>
      </c>
    </row>
    <row r="155" spans="1:59" ht="18" customHeight="1" x14ac:dyDescent="0.2">
      <c r="A155" s="27" t="str">
        <f t="shared" si="26"/>
        <v>개인</v>
      </c>
      <c r="B155" s="27" t="s">
        <v>1565</v>
      </c>
      <c r="C155" s="27" t="s">
        <v>1554</v>
      </c>
      <c r="D155" s="26">
        <v>3019174529</v>
      </c>
      <c r="E155" s="89">
        <v>10036166</v>
      </c>
      <c r="F155" s="25" t="s">
        <v>1513</v>
      </c>
      <c r="G155" s="48" t="s">
        <v>1477</v>
      </c>
      <c r="H155" s="53">
        <v>46062</v>
      </c>
      <c r="I155" s="50">
        <v>46105</v>
      </c>
      <c r="J155" s="14">
        <v>414.14292499999999</v>
      </c>
      <c r="K155" s="49" t="s">
        <v>311</v>
      </c>
      <c r="L155" s="12"/>
      <c r="M155" s="13"/>
      <c r="N155" s="12"/>
      <c r="O155" s="13"/>
      <c r="P155" s="12"/>
      <c r="Q155" s="13"/>
      <c r="R155" s="12"/>
      <c r="S155" s="13"/>
      <c r="T155" s="12"/>
      <c r="U155" s="13"/>
      <c r="V155" s="12"/>
      <c r="W155" s="13"/>
      <c r="X155" s="12"/>
      <c r="Y155" s="13"/>
      <c r="Z155" s="12"/>
      <c r="AA155" s="13"/>
      <c r="AB155" s="12"/>
      <c r="AC155" s="13"/>
      <c r="AD155" s="12"/>
      <c r="AE155" s="13"/>
      <c r="AF155" s="12"/>
      <c r="AG155" s="13"/>
      <c r="AH155" s="12"/>
      <c r="AI155" s="13"/>
      <c r="AJ155" s="12"/>
      <c r="AK155" s="13"/>
      <c r="AL155" s="12"/>
      <c r="AM155" s="13"/>
      <c r="AN155" s="12"/>
      <c r="AO155" s="13"/>
      <c r="AP155" s="12"/>
      <c r="AQ155" s="13"/>
      <c r="AR155" s="12" t="s">
        <v>1496</v>
      </c>
      <c r="AS155" s="13"/>
      <c r="AT155" s="12">
        <f>VLOOKUP(E155,[3]PIVOT!$A:$G,7,0)</f>
        <v>10.4</v>
      </c>
      <c r="AU155" s="13">
        <v>0</v>
      </c>
      <c r="AV155" s="12">
        <f>IFERROR(VLOOKUP(E155,[1]Sheet4!$A:$D,4,0),0)</f>
        <v>10.787000000000001</v>
      </c>
      <c r="AW155" s="13">
        <v>0</v>
      </c>
      <c r="AX155" s="12">
        <v>10.4</v>
      </c>
      <c r="AY155" s="39">
        <v>21.187000000000001</v>
      </c>
      <c r="AZ155" s="12">
        <v>10.4</v>
      </c>
      <c r="BA155" s="39">
        <v>10.4</v>
      </c>
      <c r="BB155" s="12">
        <v>10.4</v>
      </c>
      <c r="BC155" s="39">
        <v>10.4</v>
      </c>
      <c r="BD155" s="12">
        <f t="shared" si="24"/>
        <v>52.387</v>
      </c>
      <c r="BE155" s="14">
        <f t="shared" si="25"/>
        <v>41.987000000000002</v>
      </c>
      <c r="BF155" s="24">
        <f t="shared" si="28"/>
        <v>0.80147746578349588</v>
      </c>
      <c r="BG155" s="23">
        <f t="shared" si="23"/>
        <v>0.10138287404040526</v>
      </c>
    </row>
    <row r="156" spans="1:59" ht="18" customHeight="1" x14ac:dyDescent="0.2">
      <c r="A156" s="27" t="str">
        <f t="shared" si="26"/>
        <v>법인</v>
      </c>
      <c r="B156" s="27" t="s">
        <v>1580</v>
      </c>
      <c r="C156" s="27" t="s">
        <v>1496</v>
      </c>
      <c r="D156" s="26">
        <v>4088213350</v>
      </c>
      <c r="E156" s="89">
        <v>10037919</v>
      </c>
      <c r="F156" s="25" t="s">
        <v>1514</v>
      </c>
      <c r="G156" s="48" t="s">
        <v>1477</v>
      </c>
      <c r="H156" s="53">
        <v>46081</v>
      </c>
      <c r="I156" s="50">
        <v>46072</v>
      </c>
      <c r="J156" s="14">
        <v>3882.7746630000001</v>
      </c>
      <c r="K156" s="49" t="s">
        <v>311</v>
      </c>
      <c r="L156" s="12"/>
      <c r="M156" s="13"/>
      <c r="N156" s="12"/>
      <c r="O156" s="13"/>
      <c r="P156" s="12"/>
      <c r="Q156" s="13"/>
      <c r="R156" s="12"/>
      <c r="S156" s="13"/>
      <c r="T156" s="12"/>
      <c r="U156" s="13"/>
      <c r="V156" s="12"/>
      <c r="W156" s="13"/>
      <c r="X156" s="12"/>
      <c r="Y156" s="13"/>
      <c r="Z156" s="12"/>
      <c r="AA156" s="13"/>
      <c r="AB156" s="12"/>
      <c r="AC156" s="13"/>
      <c r="AD156" s="12"/>
      <c r="AE156" s="13"/>
      <c r="AF156" s="12"/>
      <c r="AG156" s="13"/>
      <c r="AH156" s="12"/>
      <c r="AI156" s="13"/>
      <c r="AJ156" s="12"/>
      <c r="AK156" s="13"/>
      <c r="AL156" s="12"/>
      <c r="AM156" s="13"/>
      <c r="AN156" s="12"/>
      <c r="AO156" s="13"/>
      <c r="AP156" s="12"/>
      <c r="AQ156" s="13"/>
      <c r="AR156" s="12">
        <v>0</v>
      </c>
      <c r="AS156" s="13"/>
      <c r="AT156" s="12">
        <f>VLOOKUP(E156,[3]PIVOT!$A:$G,7,0)</f>
        <v>5.1330689999999999</v>
      </c>
      <c r="AU156" s="13">
        <v>0</v>
      </c>
      <c r="AV156" s="12">
        <f>IFERROR(VLOOKUP(E156,[1]Sheet4!$A:$D,4,0),0)</f>
        <v>5.812665</v>
      </c>
      <c r="AW156" s="13">
        <v>5.1330689999999999</v>
      </c>
      <c r="AX156" s="12">
        <v>11.327892</v>
      </c>
      <c r="AY156" s="39">
        <v>5.812665</v>
      </c>
      <c r="AZ156" s="12">
        <v>11.222751000000001</v>
      </c>
      <c r="BA156" s="39">
        <v>11.327892</v>
      </c>
      <c r="BB156" s="12">
        <v>11.646489000000001</v>
      </c>
      <c r="BC156" s="39">
        <v>11.222751000000001</v>
      </c>
      <c r="BD156" s="12">
        <f t="shared" si="24"/>
        <v>45.142866000000005</v>
      </c>
      <c r="BE156" s="14">
        <f t="shared" si="25"/>
        <v>33.496377000000003</v>
      </c>
      <c r="BF156" s="24">
        <f t="shared" si="28"/>
        <v>0.74200820568193426</v>
      </c>
      <c r="BG156" s="23">
        <f t="shared" ref="BG156:BG187" si="29">BE156/J156</f>
        <v>8.6269175801511108E-3</v>
      </c>
    </row>
    <row r="157" spans="1:59" ht="18" customHeight="1" x14ac:dyDescent="0.2">
      <c r="A157" s="27" t="str">
        <f t="shared" si="26"/>
        <v>법인</v>
      </c>
      <c r="B157" s="27" t="s">
        <v>1558</v>
      </c>
      <c r="C157" s="27" t="s">
        <v>1496</v>
      </c>
      <c r="D157" s="26">
        <v>5108204682</v>
      </c>
      <c r="E157" s="89">
        <v>10039694</v>
      </c>
      <c r="F157" s="25" t="s">
        <v>1515</v>
      </c>
      <c r="G157" s="48" t="s">
        <v>1477</v>
      </c>
      <c r="H157" s="53">
        <v>46056</v>
      </c>
      <c r="I157" s="50">
        <v>46105</v>
      </c>
      <c r="J157" s="14">
        <v>402.03813000000002</v>
      </c>
      <c r="K157" s="49" t="s">
        <v>311</v>
      </c>
      <c r="L157" s="12"/>
      <c r="M157" s="13"/>
      <c r="N157" s="12"/>
      <c r="O157" s="13"/>
      <c r="P157" s="12"/>
      <c r="Q157" s="13"/>
      <c r="R157" s="12"/>
      <c r="S157" s="13"/>
      <c r="T157" s="12"/>
      <c r="U157" s="13"/>
      <c r="V157" s="12"/>
      <c r="W157" s="13"/>
      <c r="X157" s="12"/>
      <c r="Y157" s="13"/>
      <c r="Z157" s="12"/>
      <c r="AA157" s="13"/>
      <c r="AB157" s="12"/>
      <c r="AC157" s="13"/>
      <c r="AD157" s="12"/>
      <c r="AE157" s="13"/>
      <c r="AF157" s="12"/>
      <c r="AG157" s="13"/>
      <c r="AH157" s="12"/>
      <c r="AI157" s="13"/>
      <c r="AJ157" s="12"/>
      <c r="AK157" s="13"/>
      <c r="AL157" s="12"/>
      <c r="AM157" s="13"/>
      <c r="AN157" s="12"/>
      <c r="AO157" s="13"/>
      <c r="AP157" s="12"/>
      <c r="AQ157" s="13"/>
      <c r="AR157" s="12" t="s">
        <v>1496</v>
      </c>
      <c r="AS157" s="13"/>
      <c r="AT157" s="12">
        <f>VLOOKUP(E157,[3]PIVOT!$A:$G,7,0)</f>
        <v>1.0880000000000001</v>
      </c>
      <c r="AU157" s="13">
        <v>0</v>
      </c>
      <c r="AV157" s="12">
        <f>IFERROR(VLOOKUP(E157,[1]Sheet4!$A:$D,4,0),0)</f>
        <v>1.2629999999999999</v>
      </c>
      <c r="AW157" s="13">
        <v>0</v>
      </c>
      <c r="AX157" s="12">
        <v>3.7410000000000001</v>
      </c>
      <c r="AY157" s="39">
        <v>2.351</v>
      </c>
      <c r="AZ157" s="12">
        <v>3.7989999999999999</v>
      </c>
      <c r="BA157" s="39">
        <v>3.7410000000000001</v>
      </c>
      <c r="BB157" s="12">
        <v>2.589</v>
      </c>
      <c r="BC157" s="39">
        <v>3.7989999999999999</v>
      </c>
      <c r="BD157" s="12">
        <f t="shared" si="24"/>
        <v>12.48</v>
      </c>
      <c r="BE157" s="14">
        <f t="shared" si="25"/>
        <v>9.891</v>
      </c>
      <c r="BF157" s="24">
        <f t="shared" si="28"/>
        <v>0.79254807692307694</v>
      </c>
      <c r="BG157" s="23">
        <f t="shared" si="29"/>
        <v>2.460214408021448E-2</v>
      </c>
    </row>
    <row r="158" spans="1:59" ht="18" customHeight="1" x14ac:dyDescent="0.2">
      <c r="A158" s="27" t="str">
        <f t="shared" si="26"/>
        <v>법인</v>
      </c>
      <c r="B158" s="27" t="s">
        <v>1566</v>
      </c>
      <c r="C158" s="27" t="s">
        <v>1496</v>
      </c>
      <c r="D158" s="26">
        <v>6178208373</v>
      </c>
      <c r="E158" s="89">
        <v>10041601</v>
      </c>
      <c r="F158" s="25" t="s">
        <v>1493</v>
      </c>
      <c r="G158" s="48" t="s">
        <v>1477</v>
      </c>
      <c r="H158" s="53">
        <v>46084</v>
      </c>
      <c r="I158" s="50">
        <v>46097</v>
      </c>
      <c r="J158" s="14">
        <v>748.70899999999995</v>
      </c>
      <c r="K158" s="49" t="s">
        <v>311</v>
      </c>
      <c r="L158" s="12"/>
      <c r="M158" s="13"/>
      <c r="N158" s="12"/>
      <c r="O158" s="13"/>
      <c r="P158" s="12"/>
      <c r="Q158" s="13"/>
      <c r="R158" s="12"/>
      <c r="S158" s="13"/>
      <c r="T158" s="12"/>
      <c r="U158" s="13"/>
      <c r="V158" s="12"/>
      <c r="W158" s="13"/>
      <c r="X158" s="12"/>
      <c r="Y158" s="13"/>
      <c r="Z158" s="12"/>
      <c r="AA158" s="13"/>
      <c r="AB158" s="12"/>
      <c r="AC158" s="13"/>
      <c r="AD158" s="12"/>
      <c r="AE158" s="13"/>
      <c r="AF158" s="12"/>
      <c r="AG158" s="13"/>
      <c r="AH158" s="12"/>
      <c r="AI158" s="13"/>
      <c r="AJ158" s="12"/>
      <c r="AK158" s="13"/>
      <c r="AL158" s="12"/>
      <c r="AM158" s="13"/>
      <c r="AN158" s="12"/>
      <c r="AO158" s="13"/>
      <c r="AP158" s="12"/>
      <c r="AQ158" s="13"/>
      <c r="AR158" s="12">
        <v>0</v>
      </c>
      <c r="AS158" s="13"/>
      <c r="AT158" s="12">
        <f>VLOOKUP(E158,[3]PIVOT!$A:$G,7,0)</f>
        <v>0.25</v>
      </c>
      <c r="AU158" s="13">
        <v>0</v>
      </c>
      <c r="AV158" s="12">
        <f>IFERROR(VLOOKUP(E158,[1]Sheet4!$A:$D,4,0),0)</f>
        <v>13.843</v>
      </c>
      <c r="AW158" s="13">
        <v>0.25</v>
      </c>
      <c r="AX158" s="12">
        <v>15.162000000000001</v>
      </c>
      <c r="AY158" s="39">
        <v>0</v>
      </c>
      <c r="AZ158" s="12">
        <v>8.3780000000000001</v>
      </c>
      <c r="BA158" s="39">
        <v>0</v>
      </c>
      <c r="BB158" s="12">
        <v>6.6920000000000002</v>
      </c>
      <c r="BC158" s="39">
        <v>0</v>
      </c>
      <c r="BD158" s="12">
        <f t="shared" si="24"/>
        <v>44.325000000000003</v>
      </c>
      <c r="BE158" s="14">
        <f t="shared" si="25"/>
        <v>0.25</v>
      </c>
      <c r="BF158" s="24">
        <f t="shared" si="28"/>
        <v>5.6401579244218835E-3</v>
      </c>
      <c r="BG158" s="23">
        <f t="shared" si="29"/>
        <v>3.3390810047695434E-4</v>
      </c>
    </row>
    <row r="159" spans="1:59" ht="18" customHeight="1" x14ac:dyDescent="0.2">
      <c r="A159" s="27" t="str">
        <f t="shared" si="26"/>
        <v>법인</v>
      </c>
      <c r="B159" s="27" t="s">
        <v>1569</v>
      </c>
      <c r="C159" s="27" t="s">
        <v>1496</v>
      </c>
      <c r="D159" s="26">
        <v>6218204755</v>
      </c>
      <c r="E159" s="89">
        <v>10041832</v>
      </c>
      <c r="F159" s="25" t="s">
        <v>1516</v>
      </c>
      <c r="G159" s="48" t="s">
        <v>1477</v>
      </c>
      <c r="H159" s="53">
        <v>46058</v>
      </c>
      <c r="I159" s="50">
        <v>46105</v>
      </c>
      <c r="J159" s="14">
        <v>526.33620599999995</v>
      </c>
      <c r="K159" s="49" t="s">
        <v>311</v>
      </c>
      <c r="L159" s="12"/>
      <c r="M159" s="13"/>
      <c r="N159" s="12"/>
      <c r="O159" s="13"/>
      <c r="P159" s="12"/>
      <c r="Q159" s="13"/>
      <c r="R159" s="12"/>
      <c r="S159" s="13"/>
      <c r="T159" s="12"/>
      <c r="U159" s="13"/>
      <c r="V159" s="12"/>
      <c r="W159" s="13"/>
      <c r="X159" s="12"/>
      <c r="Y159" s="13"/>
      <c r="Z159" s="12"/>
      <c r="AA159" s="13"/>
      <c r="AB159" s="12"/>
      <c r="AC159" s="13"/>
      <c r="AD159" s="12"/>
      <c r="AE159" s="13"/>
      <c r="AF159" s="12"/>
      <c r="AG159" s="13"/>
      <c r="AH159" s="12"/>
      <c r="AI159" s="13"/>
      <c r="AJ159" s="12"/>
      <c r="AK159" s="13"/>
      <c r="AL159" s="12"/>
      <c r="AM159" s="13"/>
      <c r="AN159" s="12"/>
      <c r="AO159" s="13"/>
      <c r="AP159" s="12"/>
      <c r="AQ159" s="13"/>
      <c r="AR159" s="12">
        <v>0</v>
      </c>
      <c r="AS159" s="13"/>
      <c r="AT159" s="12">
        <f>VLOOKUP(E159,[3]PIVOT!$A:$G,7,0)</f>
        <v>14.112</v>
      </c>
      <c r="AU159" s="13">
        <v>0</v>
      </c>
      <c r="AV159" s="12">
        <f>IFERROR(VLOOKUP(E159,[1]Sheet4!$A:$D,4,0),0)</f>
        <v>22.64</v>
      </c>
      <c r="AW159" s="13">
        <v>14.112</v>
      </c>
      <c r="AX159" s="12">
        <v>21.2</v>
      </c>
      <c r="AY159" s="39">
        <v>22.64</v>
      </c>
      <c r="AZ159" s="12">
        <v>22</v>
      </c>
      <c r="BA159" s="39">
        <v>21.2</v>
      </c>
      <c r="BB159" s="12">
        <v>19.744</v>
      </c>
      <c r="BC159" s="39">
        <v>22</v>
      </c>
      <c r="BD159" s="12">
        <f t="shared" si="24"/>
        <v>99.695999999999998</v>
      </c>
      <c r="BE159" s="14">
        <f t="shared" si="25"/>
        <v>79.951999999999998</v>
      </c>
      <c r="BF159" s="24">
        <f t="shared" si="28"/>
        <v>0.80195795217461086</v>
      </c>
      <c r="BG159" s="23">
        <f t="shared" si="29"/>
        <v>0.15190290747355503</v>
      </c>
    </row>
    <row r="160" spans="1:59" ht="18" customHeight="1" x14ac:dyDescent="0.2">
      <c r="A160" s="27" t="str">
        <f t="shared" si="26"/>
        <v>개인</v>
      </c>
      <c r="B160" s="27" t="s">
        <v>1569</v>
      </c>
      <c r="C160" s="27" t="s">
        <v>1554</v>
      </c>
      <c r="D160" s="26">
        <v>7349700078</v>
      </c>
      <c r="E160" s="89">
        <v>10042527</v>
      </c>
      <c r="F160" s="25" t="s">
        <v>1517</v>
      </c>
      <c r="G160" s="48" t="s">
        <v>1477</v>
      </c>
      <c r="H160" s="53">
        <v>46022</v>
      </c>
      <c r="I160" s="50">
        <v>46084</v>
      </c>
      <c r="J160" s="14">
        <v>514.03909699999997</v>
      </c>
      <c r="K160" s="49" t="s">
        <v>311</v>
      </c>
      <c r="L160" s="12"/>
      <c r="M160" s="13"/>
      <c r="N160" s="12"/>
      <c r="O160" s="13"/>
      <c r="P160" s="12"/>
      <c r="Q160" s="13"/>
      <c r="R160" s="12"/>
      <c r="S160" s="13"/>
      <c r="T160" s="12"/>
      <c r="U160" s="13"/>
      <c r="V160" s="12"/>
      <c r="W160" s="13"/>
      <c r="X160" s="12"/>
      <c r="Y160" s="13"/>
      <c r="Z160" s="12"/>
      <c r="AA160" s="13"/>
      <c r="AB160" s="12"/>
      <c r="AC160" s="13"/>
      <c r="AD160" s="12"/>
      <c r="AE160" s="13"/>
      <c r="AF160" s="12"/>
      <c r="AG160" s="13"/>
      <c r="AH160" s="12"/>
      <c r="AI160" s="13"/>
      <c r="AJ160" s="12"/>
      <c r="AK160" s="13"/>
      <c r="AL160" s="12"/>
      <c r="AM160" s="13"/>
      <c r="AN160" s="12"/>
      <c r="AO160" s="13"/>
      <c r="AP160" s="12"/>
      <c r="AQ160" s="13"/>
      <c r="AR160" s="12" t="s">
        <v>1496</v>
      </c>
      <c r="AS160" s="13"/>
      <c r="AT160" s="12">
        <f>VLOOKUP(E160,[3]PIVOT!$A:$G,7,0)</f>
        <v>12.624000000000001</v>
      </c>
      <c r="AU160" s="13">
        <v>0</v>
      </c>
      <c r="AV160" s="12">
        <f>IFERROR(VLOOKUP(E160,[1]Sheet4!$A:$D,4,0),0)</f>
        <v>9.6</v>
      </c>
      <c r="AW160" s="13">
        <v>12.624000000000001</v>
      </c>
      <c r="AX160" s="12">
        <v>7.93</v>
      </c>
      <c r="AY160" s="39">
        <v>9.6</v>
      </c>
      <c r="AZ160" s="12">
        <v>6.6619999999999999</v>
      </c>
      <c r="BA160" s="39">
        <v>7.93</v>
      </c>
      <c r="BB160" s="12">
        <v>6.64</v>
      </c>
      <c r="BC160" s="39">
        <v>6.6619999999999999</v>
      </c>
      <c r="BD160" s="12">
        <f t="shared" si="24"/>
        <v>43.456000000000003</v>
      </c>
      <c r="BE160" s="14">
        <f t="shared" si="25"/>
        <v>36.816000000000003</v>
      </c>
      <c r="BF160" s="24">
        <f t="shared" si="28"/>
        <v>0.84720176730486008</v>
      </c>
      <c r="BG160" s="23">
        <f t="shared" si="29"/>
        <v>7.1621011348870223E-2</v>
      </c>
    </row>
    <row r="161" spans="1:59" ht="18" customHeight="1" x14ac:dyDescent="0.2">
      <c r="A161" s="27" t="str">
        <f t="shared" si="26"/>
        <v>법인</v>
      </c>
      <c r="B161" s="27" t="s">
        <v>1556</v>
      </c>
      <c r="C161" s="27" t="s">
        <v>1496</v>
      </c>
      <c r="D161" s="26">
        <v>8078200237</v>
      </c>
      <c r="E161" s="89">
        <v>10042934</v>
      </c>
      <c r="F161" s="25" t="s">
        <v>1518</v>
      </c>
      <c r="G161" s="48" t="s">
        <v>1477</v>
      </c>
      <c r="H161" s="53">
        <v>46090</v>
      </c>
      <c r="I161" s="50">
        <v>46094</v>
      </c>
      <c r="J161" s="14">
        <v>261.79761400000001</v>
      </c>
      <c r="K161" s="49" t="s">
        <v>311</v>
      </c>
      <c r="L161" s="12"/>
      <c r="M161" s="13"/>
      <c r="N161" s="12"/>
      <c r="O161" s="13"/>
      <c r="P161" s="12"/>
      <c r="Q161" s="13"/>
      <c r="R161" s="12"/>
      <c r="S161" s="13"/>
      <c r="T161" s="12"/>
      <c r="U161" s="13"/>
      <c r="V161" s="12"/>
      <c r="W161" s="13"/>
      <c r="X161" s="12"/>
      <c r="Y161" s="13"/>
      <c r="Z161" s="12"/>
      <c r="AA161" s="13"/>
      <c r="AB161" s="12"/>
      <c r="AC161" s="13"/>
      <c r="AD161" s="12"/>
      <c r="AE161" s="13"/>
      <c r="AF161" s="12"/>
      <c r="AG161" s="13"/>
      <c r="AH161" s="12"/>
      <c r="AI161" s="13"/>
      <c r="AJ161" s="12"/>
      <c r="AK161" s="13"/>
      <c r="AL161" s="12"/>
      <c r="AM161" s="13"/>
      <c r="AN161" s="12"/>
      <c r="AO161" s="13"/>
      <c r="AP161" s="12"/>
      <c r="AQ161" s="13"/>
      <c r="AR161" s="12" t="s">
        <v>1496</v>
      </c>
      <c r="AS161" s="13"/>
      <c r="AT161" s="12">
        <f>VLOOKUP(E161,[3]PIVOT!$A:$G,7,0)</f>
        <v>0.13500000000000001</v>
      </c>
      <c r="AU161" s="13">
        <v>0</v>
      </c>
      <c r="AV161" s="12">
        <f>IFERROR(VLOOKUP(E161,[1]Sheet4!$A:$D,4,0),0)</f>
        <v>0.435</v>
      </c>
      <c r="AW161" s="13">
        <v>0.13500000000000001</v>
      </c>
      <c r="AX161" s="12">
        <v>1.0720000000000001</v>
      </c>
      <c r="AY161" s="39">
        <v>0.435</v>
      </c>
      <c r="AZ161" s="12">
        <v>1.1830000000000001</v>
      </c>
      <c r="BA161" s="39">
        <v>1.0720000000000001</v>
      </c>
      <c r="BB161" s="12">
        <v>1.0469999999999999</v>
      </c>
      <c r="BC161" s="39">
        <v>1.1830000000000001</v>
      </c>
      <c r="BD161" s="12">
        <f t="shared" si="24"/>
        <v>3.8719999999999999</v>
      </c>
      <c r="BE161" s="14">
        <f t="shared" si="25"/>
        <v>2.8250000000000002</v>
      </c>
      <c r="BF161" s="24">
        <f t="shared" si="28"/>
        <v>0.72959710743801665</v>
      </c>
      <c r="BG161" s="23">
        <f t="shared" si="29"/>
        <v>1.0790778253616934E-2</v>
      </c>
    </row>
    <row r="162" spans="1:59" ht="18" customHeight="1" x14ac:dyDescent="0.2">
      <c r="A162" s="27" t="str">
        <f t="shared" si="26"/>
        <v>개인</v>
      </c>
      <c r="B162" s="27" t="s">
        <v>1564</v>
      </c>
      <c r="C162" s="27" t="s">
        <v>1554</v>
      </c>
      <c r="D162" s="26">
        <v>3019209364</v>
      </c>
      <c r="E162" s="89">
        <v>10046609</v>
      </c>
      <c r="F162" s="25" t="s">
        <v>1519</v>
      </c>
      <c r="G162" s="48" t="s">
        <v>1477</v>
      </c>
      <c r="H162" s="53">
        <v>46063</v>
      </c>
      <c r="I162" s="50">
        <v>46107</v>
      </c>
      <c r="J162" s="14">
        <v>406.78309999999999</v>
      </c>
      <c r="K162" s="49" t="s">
        <v>311</v>
      </c>
      <c r="L162" s="12"/>
      <c r="M162" s="13"/>
      <c r="N162" s="12"/>
      <c r="O162" s="13"/>
      <c r="P162" s="12"/>
      <c r="Q162" s="13"/>
      <c r="R162" s="12"/>
      <c r="S162" s="13"/>
      <c r="T162" s="12"/>
      <c r="U162" s="13"/>
      <c r="V162" s="12"/>
      <c r="W162" s="13"/>
      <c r="X162" s="12"/>
      <c r="Y162" s="13"/>
      <c r="Z162" s="12"/>
      <c r="AA162" s="13"/>
      <c r="AB162" s="12"/>
      <c r="AC162" s="13"/>
      <c r="AD162" s="12"/>
      <c r="AE162" s="13"/>
      <c r="AF162" s="12"/>
      <c r="AG162" s="13"/>
      <c r="AH162" s="12"/>
      <c r="AI162" s="13"/>
      <c r="AJ162" s="12"/>
      <c r="AK162" s="13"/>
      <c r="AL162" s="12"/>
      <c r="AM162" s="13"/>
      <c r="AN162" s="12"/>
      <c r="AO162" s="13"/>
      <c r="AP162" s="12"/>
      <c r="AQ162" s="13"/>
      <c r="AR162" s="12" t="s">
        <v>1496</v>
      </c>
      <c r="AS162" s="13"/>
      <c r="AT162" s="12">
        <f>VLOOKUP(E162,[3]PIVOT!$A:$G,7,0)</f>
        <v>10.4</v>
      </c>
      <c r="AU162" s="13">
        <v>0</v>
      </c>
      <c r="AV162" s="12">
        <f>IFERROR(VLOOKUP(E162,[1]Sheet4!$A:$D,4,0),0)</f>
        <v>10.4</v>
      </c>
      <c r="AW162" s="13">
        <v>10.4</v>
      </c>
      <c r="AX162" s="12">
        <v>10.4</v>
      </c>
      <c r="AY162" s="39">
        <v>10.4</v>
      </c>
      <c r="AZ162" s="12">
        <v>10.4</v>
      </c>
      <c r="BA162" s="39">
        <v>10.4</v>
      </c>
      <c r="BB162" s="12">
        <v>10.4</v>
      </c>
      <c r="BC162" s="39">
        <v>10.4</v>
      </c>
      <c r="BD162" s="12">
        <f t="shared" si="24"/>
        <v>52</v>
      </c>
      <c r="BE162" s="14">
        <f t="shared" si="25"/>
        <v>41.6</v>
      </c>
      <c r="BF162" s="24">
        <f t="shared" si="28"/>
        <v>0.8</v>
      </c>
      <c r="BG162" s="23">
        <f t="shared" si="29"/>
        <v>0.10226580209453147</v>
      </c>
    </row>
    <row r="163" spans="1:59" ht="18" customHeight="1" x14ac:dyDescent="0.2">
      <c r="A163" s="27" t="str">
        <f t="shared" si="26"/>
        <v>개인</v>
      </c>
      <c r="B163" s="27" t="s">
        <v>1558</v>
      </c>
      <c r="C163" s="27" t="s">
        <v>1554</v>
      </c>
      <c r="D163" s="26">
        <v>3929300084</v>
      </c>
      <c r="E163" s="89">
        <v>10050868</v>
      </c>
      <c r="F163" s="25" t="s">
        <v>1520</v>
      </c>
      <c r="G163" s="48" t="s">
        <v>1477</v>
      </c>
      <c r="H163" s="53">
        <v>46091</v>
      </c>
      <c r="I163" s="50">
        <v>46112</v>
      </c>
      <c r="J163" s="14">
        <v>337.45795199999998</v>
      </c>
      <c r="K163" s="49" t="s">
        <v>311</v>
      </c>
      <c r="L163" s="12"/>
      <c r="M163" s="13"/>
      <c r="N163" s="12"/>
      <c r="O163" s="13"/>
      <c r="P163" s="12"/>
      <c r="Q163" s="13"/>
      <c r="R163" s="12"/>
      <c r="S163" s="13"/>
      <c r="T163" s="12"/>
      <c r="U163" s="13"/>
      <c r="V163" s="12"/>
      <c r="W163" s="13"/>
      <c r="X163" s="12"/>
      <c r="Y163" s="13"/>
      <c r="Z163" s="12"/>
      <c r="AA163" s="13"/>
      <c r="AB163" s="12"/>
      <c r="AC163" s="13"/>
      <c r="AD163" s="12"/>
      <c r="AE163" s="13"/>
      <c r="AF163" s="12"/>
      <c r="AG163" s="13"/>
      <c r="AH163" s="12"/>
      <c r="AI163" s="13"/>
      <c r="AJ163" s="12"/>
      <c r="AK163" s="13"/>
      <c r="AL163" s="12"/>
      <c r="AM163" s="13"/>
      <c r="AN163" s="12"/>
      <c r="AO163" s="13"/>
      <c r="AP163" s="12"/>
      <c r="AQ163" s="13"/>
      <c r="AR163" s="12">
        <v>0</v>
      </c>
      <c r="AS163" s="13"/>
      <c r="AT163" s="12">
        <f>VLOOKUP(E163,[3]PIVOT!$A:$G,7,0)</f>
        <v>3.5019999999999998</v>
      </c>
      <c r="AU163" s="13">
        <v>0</v>
      </c>
      <c r="AV163" s="12">
        <f>IFERROR(VLOOKUP(E163,[1]Sheet4!$A:$D,4,0),0)</f>
        <v>6.4039999999999999</v>
      </c>
      <c r="AW163" s="13">
        <v>0</v>
      </c>
      <c r="AX163" s="12">
        <v>6.2439999999999998</v>
      </c>
      <c r="AY163" s="39">
        <v>9.9060000000000006</v>
      </c>
      <c r="AZ163" s="12">
        <v>8.08</v>
      </c>
      <c r="BA163" s="39">
        <v>6.2439999999999998</v>
      </c>
      <c r="BB163" s="12">
        <v>10.192</v>
      </c>
      <c r="BC163" s="39">
        <v>8.08</v>
      </c>
      <c r="BD163" s="12">
        <f t="shared" si="24"/>
        <v>34.421999999999997</v>
      </c>
      <c r="BE163" s="14">
        <f t="shared" si="25"/>
        <v>24.229999999999997</v>
      </c>
      <c r="BF163" s="24">
        <f t="shared" si="28"/>
        <v>0.70391028993085814</v>
      </c>
      <c r="BG163" s="23">
        <f t="shared" si="29"/>
        <v>7.1801538106886859E-2</v>
      </c>
    </row>
    <row r="164" spans="1:59" ht="18" customHeight="1" x14ac:dyDescent="0.2">
      <c r="A164" s="27" t="str">
        <f t="shared" si="26"/>
        <v>개인</v>
      </c>
      <c r="B164" s="27" t="s">
        <v>1566</v>
      </c>
      <c r="C164" s="27" t="s">
        <v>1554</v>
      </c>
      <c r="D164" s="26">
        <v>6739301513</v>
      </c>
      <c r="E164" s="89">
        <v>10084743</v>
      </c>
      <c r="F164" s="25" t="s">
        <v>1521</v>
      </c>
      <c r="G164" s="48" t="s">
        <v>1477</v>
      </c>
      <c r="H164" s="53">
        <v>46036</v>
      </c>
      <c r="I164" s="50">
        <v>46091</v>
      </c>
      <c r="J164" s="14">
        <v>334.02353199999999</v>
      </c>
      <c r="K164" s="49" t="s">
        <v>311</v>
      </c>
      <c r="L164" s="12"/>
      <c r="M164" s="13"/>
      <c r="N164" s="12"/>
      <c r="O164" s="13"/>
      <c r="P164" s="12"/>
      <c r="Q164" s="13"/>
      <c r="R164" s="12"/>
      <c r="S164" s="13"/>
      <c r="T164" s="12"/>
      <c r="U164" s="13"/>
      <c r="V164" s="12"/>
      <c r="W164" s="13"/>
      <c r="X164" s="12"/>
      <c r="Y164" s="13"/>
      <c r="Z164" s="12"/>
      <c r="AA164" s="13"/>
      <c r="AB164" s="12"/>
      <c r="AC164" s="13"/>
      <c r="AD164" s="12"/>
      <c r="AE164" s="13"/>
      <c r="AF164" s="12"/>
      <c r="AG164" s="13"/>
      <c r="AH164" s="12"/>
      <c r="AI164" s="13"/>
      <c r="AJ164" s="12"/>
      <c r="AK164" s="13"/>
      <c r="AL164" s="12"/>
      <c r="AM164" s="13"/>
      <c r="AN164" s="12"/>
      <c r="AO164" s="13"/>
      <c r="AP164" s="12"/>
      <c r="AQ164" s="13"/>
      <c r="AR164" s="12" t="s">
        <v>1496</v>
      </c>
      <c r="AS164" s="13"/>
      <c r="AT164" s="12">
        <f>VLOOKUP(E164,[3]PIVOT!$A:$G,7,0)</f>
        <v>13.013</v>
      </c>
      <c r="AU164" s="13">
        <v>0</v>
      </c>
      <c r="AV164" s="12">
        <f>IFERROR(VLOOKUP(E164,[1]Sheet4!$A:$D,4,0),0)</f>
        <v>11.487</v>
      </c>
      <c r="AW164" s="13">
        <v>13.013</v>
      </c>
      <c r="AX164" s="12">
        <v>10.983000000000001</v>
      </c>
      <c r="AY164" s="39">
        <v>11.487</v>
      </c>
      <c r="AZ164" s="12">
        <v>12.279</v>
      </c>
      <c r="BA164" s="39">
        <v>10.983000000000001</v>
      </c>
      <c r="BB164" s="12">
        <v>10.499000000000001</v>
      </c>
      <c r="BC164" s="39">
        <v>12.279</v>
      </c>
      <c r="BD164" s="12">
        <f t="shared" si="24"/>
        <v>58.261000000000003</v>
      </c>
      <c r="BE164" s="14">
        <f t="shared" si="25"/>
        <v>47.762</v>
      </c>
      <c r="BF164" s="24">
        <f t="shared" si="28"/>
        <v>0.81979368702905886</v>
      </c>
      <c r="BG164" s="23">
        <f t="shared" si="29"/>
        <v>0.14298992563194621</v>
      </c>
    </row>
    <row r="165" spans="1:59" ht="18" customHeight="1" x14ac:dyDescent="0.2">
      <c r="A165" s="27" t="str">
        <f t="shared" si="26"/>
        <v>개인</v>
      </c>
      <c r="B165" s="27" t="s">
        <v>1579</v>
      </c>
      <c r="C165" s="27" t="s">
        <v>1554</v>
      </c>
      <c r="D165" s="26">
        <v>8765600670</v>
      </c>
      <c r="E165" s="89">
        <v>10087161</v>
      </c>
      <c r="F165" s="25" t="s">
        <v>1522</v>
      </c>
      <c r="G165" s="48" t="s">
        <v>1477</v>
      </c>
      <c r="H165" s="53">
        <v>46014</v>
      </c>
      <c r="I165" s="50">
        <v>46078</v>
      </c>
      <c r="J165" s="14">
        <v>239.135897</v>
      </c>
      <c r="K165" s="49" t="s">
        <v>311</v>
      </c>
      <c r="L165" s="12"/>
      <c r="M165" s="13"/>
      <c r="N165" s="12"/>
      <c r="O165" s="13"/>
      <c r="P165" s="12"/>
      <c r="Q165" s="13"/>
      <c r="R165" s="12"/>
      <c r="S165" s="13"/>
      <c r="T165" s="12"/>
      <c r="U165" s="13"/>
      <c r="V165" s="12"/>
      <c r="W165" s="13"/>
      <c r="X165" s="12"/>
      <c r="Y165" s="13"/>
      <c r="Z165" s="12"/>
      <c r="AA165" s="13"/>
      <c r="AB165" s="12"/>
      <c r="AC165" s="13"/>
      <c r="AD165" s="12"/>
      <c r="AE165" s="13"/>
      <c r="AF165" s="12"/>
      <c r="AG165" s="13"/>
      <c r="AH165" s="12"/>
      <c r="AI165" s="13"/>
      <c r="AJ165" s="12"/>
      <c r="AK165" s="13"/>
      <c r="AL165" s="12"/>
      <c r="AM165" s="13"/>
      <c r="AN165" s="12"/>
      <c r="AO165" s="13"/>
      <c r="AP165" s="12"/>
      <c r="AQ165" s="13"/>
      <c r="AR165" s="12" t="s">
        <v>1496</v>
      </c>
      <c r="AS165" s="13"/>
      <c r="AT165" s="12">
        <f>VLOOKUP(E165,[3]PIVOT!$A:$G,7,0)</f>
        <v>1.004</v>
      </c>
      <c r="AU165" s="13">
        <v>0</v>
      </c>
      <c r="AV165" s="12">
        <f>IFERROR(VLOOKUP(E165,[1]Sheet4!$A:$D,4,0),0)</f>
        <v>1.4690000000000001</v>
      </c>
      <c r="AW165" s="13">
        <v>1.004</v>
      </c>
      <c r="AX165" s="12">
        <v>1.865</v>
      </c>
      <c r="AY165" s="39">
        <v>1.4690000000000001</v>
      </c>
      <c r="AZ165" s="12">
        <v>2.569</v>
      </c>
      <c r="BA165" s="39">
        <v>0</v>
      </c>
      <c r="BB165" s="12">
        <v>2.5539999999999998</v>
      </c>
      <c r="BC165" s="39">
        <v>4.4340000000000002</v>
      </c>
      <c r="BD165" s="12">
        <f t="shared" si="24"/>
        <v>9.4610000000000003</v>
      </c>
      <c r="BE165" s="14">
        <f t="shared" si="25"/>
        <v>6.907</v>
      </c>
      <c r="BF165" s="24">
        <f t="shared" si="28"/>
        <v>0.7300496776239298</v>
      </c>
      <c r="BG165" s="23">
        <f t="shared" si="29"/>
        <v>2.8883158432713264E-2</v>
      </c>
    </row>
    <row r="166" spans="1:59" ht="18" customHeight="1" x14ac:dyDescent="0.2">
      <c r="A166" s="27" t="str">
        <f t="shared" si="26"/>
        <v>개인</v>
      </c>
      <c r="B166" s="27" t="s">
        <v>1570</v>
      </c>
      <c r="C166" s="27" t="s">
        <v>1554</v>
      </c>
      <c r="D166" s="26">
        <v>7469101651</v>
      </c>
      <c r="E166" s="89">
        <v>10111228</v>
      </c>
      <c r="F166" s="25" t="s">
        <v>1523</v>
      </c>
      <c r="G166" s="48" t="s">
        <v>1477</v>
      </c>
      <c r="H166" s="53">
        <v>46090</v>
      </c>
      <c r="I166" s="50">
        <v>46119</v>
      </c>
      <c r="J166" s="14">
        <v>839.23954400000002</v>
      </c>
      <c r="K166" s="49" t="s">
        <v>311</v>
      </c>
      <c r="L166" s="12"/>
      <c r="M166" s="13"/>
      <c r="N166" s="12"/>
      <c r="O166" s="13"/>
      <c r="P166" s="12"/>
      <c r="Q166" s="13"/>
      <c r="R166" s="12"/>
      <c r="S166" s="13"/>
      <c r="T166" s="12"/>
      <c r="U166" s="13"/>
      <c r="V166" s="12"/>
      <c r="W166" s="13"/>
      <c r="X166" s="12"/>
      <c r="Y166" s="13"/>
      <c r="Z166" s="12"/>
      <c r="AA166" s="13"/>
      <c r="AB166" s="12"/>
      <c r="AC166" s="13"/>
      <c r="AD166" s="12"/>
      <c r="AE166" s="13"/>
      <c r="AF166" s="12"/>
      <c r="AG166" s="13"/>
      <c r="AH166" s="12"/>
      <c r="AI166" s="13"/>
      <c r="AJ166" s="12"/>
      <c r="AK166" s="13"/>
      <c r="AL166" s="12"/>
      <c r="AM166" s="13"/>
      <c r="AN166" s="12"/>
      <c r="AO166" s="13"/>
      <c r="AP166" s="12"/>
      <c r="AQ166" s="13"/>
      <c r="AR166" s="12">
        <v>0</v>
      </c>
      <c r="AS166" s="13"/>
      <c r="AT166" s="12">
        <f>VLOOKUP(E166,[3]PIVOT!$A:$G,7,0)</f>
        <v>4.5599999999999996</v>
      </c>
      <c r="AU166" s="13">
        <v>0</v>
      </c>
      <c r="AV166" s="12">
        <f>IFERROR(VLOOKUP(E166,[1]Sheet4!$A:$D,4,0),0)</f>
        <v>16.64</v>
      </c>
      <c r="AW166" s="13">
        <v>0</v>
      </c>
      <c r="AX166" s="12">
        <v>19.922999999999998</v>
      </c>
      <c r="AY166" s="39">
        <v>21.2</v>
      </c>
      <c r="AZ166" s="12">
        <v>16.05</v>
      </c>
      <c r="BA166" s="39">
        <v>19.922999999999998</v>
      </c>
      <c r="BB166" s="12">
        <v>22.093</v>
      </c>
      <c r="BC166" s="39">
        <v>16.05</v>
      </c>
      <c r="BD166" s="12">
        <f t="shared" si="24"/>
        <v>79.266000000000005</v>
      </c>
      <c r="BE166" s="14">
        <f t="shared" si="25"/>
        <v>57.173000000000002</v>
      </c>
      <c r="BF166" s="24">
        <f t="shared" si="28"/>
        <v>0.72128024625943021</v>
      </c>
      <c r="BG166" s="23">
        <f t="shared" si="29"/>
        <v>6.812476891579837E-2</v>
      </c>
    </row>
    <row r="167" spans="1:59" ht="18" customHeight="1" x14ac:dyDescent="0.2">
      <c r="A167" s="27" t="str">
        <f t="shared" si="26"/>
        <v>법인</v>
      </c>
      <c r="B167" s="27" t="s">
        <v>1558</v>
      </c>
      <c r="C167" s="27" t="s">
        <v>1496</v>
      </c>
      <c r="D167" s="26">
        <v>1198201274</v>
      </c>
      <c r="E167" s="89">
        <v>10032148</v>
      </c>
      <c r="F167" s="25" t="s">
        <v>1526</v>
      </c>
      <c r="G167" s="48" t="s">
        <v>1477</v>
      </c>
      <c r="H167" s="53">
        <v>46126</v>
      </c>
      <c r="I167" s="50">
        <v>46134</v>
      </c>
      <c r="J167" s="14">
        <v>452.22177699999997</v>
      </c>
      <c r="K167" s="49" t="s">
        <v>311</v>
      </c>
      <c r="L167" s="12"/>
      <c r="M167" s="13"/>
      <c r="N167" s="12"/>
      <c r="O167" s="13"/>
      <c r="P167" s="12"/>
      <c r="Q167" s="13"/>
      <c r="R167" s="12"/>
      <c r="S167" s="13"/>
      <c r="T167" s="12"/>
      <c r="U167" s="13"/>
      <c r="V167" s="12"/>
      <c r="W167" s="13"/>
      <c r="X167" s="12"/>
      <c r="Y167" s="13"/>
      <c r="Z167" s="12"/>
      <c r="AA167" s="13"/>
      <c r="AB167" s="12"/>
      <c r="AC167" s="13"/>
      <c r="AD167" s="12"/>
      <c r="AE167" s="13"/>
      <c r="AF167" s="12"/>
      <c r="AG167" s="13"/>
      <c r="AH167" s="12"/>
      <c r="AI167" s="13"/>
      <c r="AJ167" s="12"/>
      <c r="AK167" s="13"/>
      <c r="AL167" s="12"/>
      <c r="AM167" s="13"/>
      <c r="AN167" s="12"/>
      <c r="AO167" s="13"/>
      <c r="AP167" s="12"/>
      <c r="AQ167" s="13"/>
      <c r="AR167" s="12">
        <v>0</v>
      </c>
      <c r="AS167" s="13"/>
      <c r="AT167" s="12">
        <v>0</v>
      </c>
      <c r="AU167" s="13">
        <v>0</v>
      </c>
      <c r="AV167" s="12">
        <v>7.1890000000000001</v>
      </c>
      <c r="AW167" s="13">
        <v>0</v>
      </c>
      <c r="AX167" s="12">
        <v>12.141999999999999</v>
      </c>
      <c r="AY167" s="39">
        <v>0</v>
      </c>
      <c r="AZ167" s="12">
        <v>9.5419999999999998</v>
      </c>
      <c r="BA167" s="39">
        <v>7.1890000000000001</v>
      </c>
      <c r="BB167" s="12">
        <v>8.2420000000000009</v>
      </c>
      <c r="BC167" s="39">
        <v>12.141999999999999</v>
      </c>
      <c r="BD167" s="12">
        <f t="shared" si="24"/>
        <v>37.114999999999995</v>
      </c>
      <c r="BE167" s="14">
        <f t="shared" si="25"/>
        <v>19.331</v>
      </c>
      <c r="BF167" s="24">
        <f t="shared" ref="BF167:BF181" si="30">BE167/BD167</f>
        <v>0.52084063047285467</v>
      </c>
      <c r="BG167" s="23">
        <f t="shared" si="29"/>
        <v>4.2746725131726684E-2</v>
      </c>
    </row>
    <row r="168" spans="1:59" ht="18" customHeight="1" x14ac:dyDescent="0.2">
      <c r="A168" s="27" t="str">
        <f t="shared" si="26"/>
        <v>법인</v>
      </c>
      <c r="B168" s="27" t="s">
        <v>1559</v>
      </c>
      <c r="C168" s="27" t="s">
        <v>1496</v>
      </c>
      <c r="D168" s="26">
        <v>1288207234</v>
      </c>
      <c r="E168" s="89">
        <v>10033027</v>
      </c>
      <c r="F168" s="25" t="s">
        <v>1527</v>
      </c>
      <c r="G168" s="48" t="s">
        <v>1477</v>
      </c>
      <c r="H168" s="53">
        <v>46021</v>
      </c>
      <c r="I168" s="50">
        <v>46072</v>
      </c>
      <c r="J168" s="14">
        <v>395.75952000000001</v>
      </c>
      <c r="K168" s="49" t="s">
        <v>311</v>
      </c>
      <c r="L168" s="12"/>
      <c r="M168" s="13"/>
      <c r="N168" s="12"/>
      <c r="O168" s="13"/>
      <c r="P168" s="12"/>
      <c r="Q168" s="13"/>
      <c r="R168" s="12"/>
      <c r="S168" s="13"/>
      <c r="T168" s="12"/>
      <c r="U168" s="13"/>
      <c r="V168" s="12"/>
      <c r="W168" s="13"/>
      <c r="X168" s="12"/>
      <c r="Y168" s="13"/>
      <c r="Z168" s="12"/>
      <c r="AA168" s="13"/>
      <c r="AB168" s="12"/>
      <c r="AC168" s="13"/>
      <c r="AD168" s="12"/>
      <c r="AE168" s="13"/>
      <c r="AF168" s="12"/>
      <c r="AG168" s="13"/>
      <c r="AH168" s="12"/>
      <c r="AI168" s="13"/>
      <c r="AJ168" s="12"/>
      <c r="AK168" s="13"/>
      <c r="AL168" s="12"/>
      <c r="AM168" s="13"/>
      <c r="AN168" s="12"/>
      <c r="AO168" s="13"/>
      <c r="AP168" s="12"/>
      <c r="AQ168" s="13"/>
      <c r="AR168" s="12">
        <v>0</v>
      </c>
      <c r="AS168" s="13"/>
      <c r="AT168" s="12">
        <v>0</v>
      </c>
      <c r="AU168" s="13">
        <v>0</v>
      </c>
      <c r="AV168" s="12">
        <v>3.6160000000000001</v>
      </c>
      <c r="AW168" s="13">
        <v>0</v>
      </c>
      <c r="AX168" s="12">
        <v>3.863</v>
      </c>
      <c r="AY168" s="39">
        <v>0</v>
      </c>
      <c r="AZ168" s="12">
        <v>10.542999999999999</v>
      </c>
      <c r="BA168" s="39">
        <v>0</v>
      </c>
      <c r="BB168" s="12">
        <v>9.7620000000000005</v>
      </c>
      <c r="BC168" s="39">
        <v>0</v>
      </c>
      <c r="BD168" s="12">
        <f t="shared" si="24"/>
        <v>27.783999999999999</v>
      </c>
      <c r="BE168" s="14">
        <f t="shared" si="25"/>
        <v>0</v>
      </c>
      <c r="BF168" s="24">
        <f t="shared" si="30"/>
        <v>0</v>
      </c>
      <c r="BG168" s="23">
        <f t="shared" si="29"/>
        <v>0</v>
      </c>
    </row>
    <row r="169" spans="1:59" ht="18" customHeight="1" x14ac:dyDescent="0.2">
      <c r="A169" s="27" t="str">
        <f t="shared" si="26"/>
        <v>개인</v>
      </c>
      <c r="B169" s="27">
        <v>4</v>
      </c>
      <c r="C169" s="148">
        <v>776</v>
      </c>
      <c r="D169" s="26">
        <v>2059954823</v>
      </c>
      <c r="E169" s="89">
        <v>10034681</v>
      </c>
      <c r="F169" s="25" t="s">
        <v>1528</v>
      </c>
      <c r="G169" s="48" t="s">
        <v>1477</v>
      </c>
      <c r="H169" s="53">
        <v>46051</v>
      </c>
      <c r="I169" s="50">
        <v>46098</v>
      </c>
      <c r="J169" s="14">
        <v>1068.606726</v>
      </c>
      <c r="K169" s="49" t="s">
        <v>311</v>
      </c>
      <c r="L169" s="12"/>
      <c r="M169" s="13"/>
      <c r="N169" s="12"/>
      <c r="O169" s="13"/>
      <c r="P169" s="12"/>
      <c r="Q169" s="13"/>
      <c r="R169" s="12"/>
      <c r="S169" s="13"/>
      <c r="T169" s="12"/>
      <c r="U169" s="13"/>
      <c r="V169" s="12"/>
      <c r="W169" s="13"/>
      <c r="X169" s="12"/>
      <c r="Y169" s="13"/>
      <c r="Z169" s="12"/>
      <c r="AA169" s="13"/>
      <c r="AB169" s="12"/>
      <c r="AC169" s="13"/>
      <c r="AD169" s="12"/>
      <c r="AE169" s="13"/>
      <c r="AF169" s="12"/>
      <c r="AG169" s="13"/>
      <c r="AH169" s="12"/>
      <c r="AI169" s="13"/>
      <c r="AJ169" s="12"/>
      <c r="AK169" s="13"/>
      <c r="AL169" s="12"/>
      <c r="AM169" s="13"/>
      <c r="AN169" s="12"/>
      <c r="AO169" s="13"/>
      <c r="AP169" s="12"/>
      <c r="AQ169" s="13"/>
      <c r="AR169" s="12">
        <v>0</v>
      </c>
      <c r="AS169" s="13"/>
      <c r="AT169" s="12">
        <v>0</v>
      </c>
      <c r="AU169" s="13">
        <v>0</v>
      </c>
      <c r="AV169" s="12">
        <v>5.07</v>
      </c>
      <c r="AW169" s="13">
        <v>0</v>
      </c>
      <c r="AX169" s="12">
        <v>9.9250000000000007</v>
      </c>
      <c r="AY169" s="39">
        <v>0</v>
      </c>
      <c r="AZ169" s="12">
        <v>10.323</v>
      </c>
      <c r="BA169" s="39">
        <v>0</v>
      </c>
      <c r="BB169" s="12">
        <v>8.2129999999999992</v>
      </c>
      <c r="BC169" s="39">
        <v>0</v>
      </c>
      <c r="BD169" s="12">
        <f t="shared" si="24"/>
        <v>33.530999999999999</v>
      </c>
      <c r="BE169" s="14">
        <f t="shared" si="25"/>
        <v>0</v>
      </c>
      <c r="BF169" s="24">
        <f t="shared" si="30"/>
        <v>0</v>
      </c>
      <c r="BG169" s="23">
        <f t="shared" si="29"/>
        <v>0</v>
      </c>
    </row>
    <row r="170" spans="1:59" ht="18" customHeight="1" x14ac:dyDescent="0.2">
      <c r="A170" s="27" t="str">
        <f t="shared" si="26"/>
        <v>법인</v>
      </c>
      <c r="B170" s="27" t="s">
        <v>1580</v>
      </c>
      <c r="C170" s="27" t="s">
        <v>1496</v>
      </c>
      <c r="D170" s="26">
        <v>4088208124</v>
      </c>
      <c r="E170" s="89">
        <v>10037916</v>
      </c>
      <c r="F170" s="25" t="s">
        <v>223</v>
      </c>
      <c r="G170" s="48" t="s">
        <v>1477</v>
      </c>
      <c r="H170" s="53">
        <v>46143</v>
      </c>
      <c r="I170" s="50">
        <v>46155</v>
      </c>
      <c r="J170" s="14">
        <v>1857.8897569999999</v>
      </c>
      <c r="K170" s="49" t="s">
        <v>311</v>
      </c>
      <c r="L170" s="12"/>
      <c r="M170" s="13"/>
      <c r="N170" s="12"/>
      <c r="O170" s="13"/>
      <c r="P170" s="12"/>
      <c r="Q170" s="13"/>
      <c r="R170" s="12"/>
      <c r="S170" s="13"/>
      <c r="T170" s="12"/>
      <c r="U170" s="13"/>
      <c r="V170" s="12"/>
      <c r="W170" s="13"/>
      <c r="X170" s="12"/>
      <c r="Y170" s="13"/>
      <c r="Z170" s="12"/>
      <c r="AA170" s="13"/>
      <c r="AB170" s="12"/>
      <c r="AC170" s="13"/>
      <c r="AD170" s="12"/>
      <c r="AE170" s="13"/>
      <c r="AF170" s="12"/>
      <c r="AG170" s="13"/>
      <c r="AH170" s="12"/>
      <c r="AI170" s="13"/>
      <c r="AJ170" s="12"/>
      <c r="AK170" s="13"/>
      <c r="AL170" s="12"/>
      <c r="AM170" s="13"/>
      <c r="AN170" s="12"/>
      <c r="AO170" s="13"/>
      <c r="AP170" s="12"/>
      <c r="AQ170" s="13"/>
      <c r="AR170" s="12">
        <v>0</v>
      </c>
      <c r="AS170" s="13"/>
      <c r="AT170" s="12">
        <v>0</v>
      </c>
      <c r="AU170" s="13">
        <v>0</v>
      </c>
      <c r="AV170" s="12">
        <v>4.2833870000000003</v>
      </c>
      <c r="AW170" s="13">
        <v>0</v>
      </c>
      <c r="AX170" s="12">
        <v>11.846477999999999</v>
      </c>
      <c r="AY170" s="39">
        <v>4.2833870000000003</v>
      </c>
      <c r="AZ170" s="12">
        <v>11.571904999999999</v>
      </c>
      <c r="BA170" s="39">
        <v>11.846477999999999</v>
      </c>
      <c r="BB170" s="12">
        <v>12.317076</v>
      </c>
      <c r="BC170" s="39">
        <v>11.571904999999999</v>
      </c>
      <c r="BD170" s="12">
        <f t="shared" si="24"/>
        <v>40.018845999999996</v>
      </c>
      <c r="BE170" s="14">
        <f t="shared" si="25"/>
        <v>27.701769999999996</v>
      </c>
      <c r="BF170" s="24">
        <f t="shared" si="30"/>
        <v>0.69221811143679657</v>
      </c>
      <c r="BG170" s="23">
        <f t="shared" si="29"/>
        <v>1.4910341098349678E-2</v>
      </c>
    </row>
    <row r="171" spans="1:59" ht="18" customHeight="1" x14ac:dyDescent="0.2">
      <c r="A171" s="27" t="str">
        <f t="shared" si="26"/>
        <v>법인</v>
      </c>
      <c r="B171" s="27" t="s">
        <v>1561</v>
      </c>
      <c r="C171" s="27" t="s">
        <v>1496</v>
      </c>
      <c r="D171" s="26">
        <v>6038203952</v>
      </c>
      <c r="E171" s="89">
        <v>10040523</v>
      </c>
      <c r="F171" s="25" t="s">
        <v>1529</v>
      </c>
      <c r="G171" s="48" t="s">
        <v>1477</v>
      </c>
      <c r="H171" s="53">
        <v>46101</v>
      </c>
      <c r="I171" s="50">
        <v>46105</v>
      </c>
      <c r="J171" s="14">
        <v>2188.5124689999998</v>
      </c>
      <c r="K171" s="49" t="s">
        <v>311</v>
      </c>
      <c r="L171" s="12"/>
      <c r="M171" s="13"/>
      <c r="N171" s="12"/>
      <c r="O171" s="13"/>
      <c r="P171" s="12"/>
      <c r="Q171" s="13"/>
      <c r="R171" s="12"/>
      <c r="S171" s="13"/>
      <c r="T171" s="12"/>
      <c r="U171" s="13"/>
      <c r="V171" s="12"/>
      <c r="W171" s="13"/>
      <c r="X171" s="12"/>
      <c r="Y171" s="13"/>
      <c r="Z171" s="12"/>
      <c r="AA171" s="13"/>
      <c r="AB171" s="12"/>
      <c r="AC171" s="13"/>
      <c r="AD171" s="12"/>
      <c r="AE171" s="13"/>
      <c r="AF171" s="12"/>
      <c r="AG171" s="13"/>
      <c r="AH171" s="12"/>
      <c r="AI171" s="13"/>
      <c r="AJ171" s="12"/>
      <c r="AK171" s="13"/>
      <c r="AL171" s="12"/>
      <c r="AM171" s="13"/>
      <c r="AN171" s="12"/>
      <c r="AO171" s="13"/>
      <c r="AP171" s="12"/>
      <c r="AQ171" s="13"/>
      <c r="AR171" s="12">
        <v>0</v>
      </c>
      <c r="AS171" s="13"/>
      <c r="AT171" s="12">
        <v>0</v>
      </c>
      <c r="AU171" s="13">
        <v>0</v>
      </c>
      <c r="AV171" s="12">
        <v>9.3350000000000009</v>
      </c>
      <c r="AW171" s="13">
        <v>0</v>
      </c>
      <c r="AX171" s="12">
        <v>7.8239999999999998</v>
      </c>
      <c r="AY171" s="39">
        <v>0</v>
      </c>
      <c r="AZ171" s="12">
        <v>12.727</v>
      </c>
      <c r="BA171" s="39">
        <v>0</v>
      </c>
      <c r="BB171" s="12">
        <v>16.71</v>
      </c>
      <c r="BC171" s="39">
        <v>9.3350000000000009</v>
      </c>
      <c r="BD171" s="12">
        <f t="shared" si="24"/>
        <v>46.596000000000004</v>
      </c>
      <c r="BE171" s="14">
        <f t="shared" si="25"/>
        <v>9.3350000000000009</v>
      </c>
      <c r="BF171" s="24">
        <f t="shared" si="30"/>
        <v>0.20033908489999142</v>
      </c>
      <c r="BG171" s="23">
        <f t="shared" si="29"/>
        <v>4.2654543358692657E-3</v>
      </c>
    </row>
    <row r="172" spans="1:59" ht="18" customHeight="1" x14ac:dyDescent="0.2">
      <c r="A172" s="27" t="str">
        <f t="shared" si="26"/>
        <v>법인</v>
      </c>
      <c r="B172" s="27" t="s">
        <v>1566</v>
      </c>
      <c r="C172" s="27" t="s">
        <v>1496</v>
      </c>
      <c r="D172" s="26">
        <v>6058202148</v>
      </c>
      <c r="E172" s="89">
        <v>10040635</v>
      </c>
      <c r="F172" s="25" t="s">
        <v>1491</v>
      </c>
      <c r="G172" s="48" t="s">
        <v>1477</v>
      </c>
      <c r="H172" s="53">
        <v>46073</v>
      </c>
      <c r="I172" s="50">
        <v>46108</v>
      </c>
      <c r="J172" s="14">
        <v>812.93</v>
      </c>
      <c r="K172" s="49" t="s">
        <v>311</v>
      </c>
      <c r="L172" s="12"/>
      <c r="M172" s="13"/>
      <c r="N172" s="12"/>
      <c r="O172" s="13"/>
      <c r="P172" s="12"/>
      <c r="Q172" s="13"/>
      <c r="R172" s="12"/>
      <c r="S172" s="13"/>
      <c r="T172" s="12"/>
      <c r="U172" s="13"/>
      <c r="V172" s="12"/>
      <c r="W172" s="13"/>
      <c r="X172" s="12"/>
      <c r="Y172" s="13"/>
      <c r="Z172" s="12"/>
      <c r="AA172" s="13"/>
      <c r="AB172" s="12"/>
      <c r="AC172" s="13"/>
      <c r="AD172" s="12"/>
      <c r="AE172" s="13"/>
      <c r="AF172" s="12"/>
      <c r="AG172" s="13"/>
      <c r="AH172" s="12"/>
      <c r="AI172" s="13"/>
      <c r="AJ172" s="12"/>
      <c r="AK172" s="13"/>
      <c r="AL172" s="12"/>
      <c r="AM172" s="13"/>
      <c r="AN172" s="12"/>
      <c r="AO172" s="13"/>
      <c r="AP172" s="12"/>
      <c r="AQ172" s="13"/>
      <c r="AR172" s="12">
        <v>0</v>
      </c>
      <c r="AS172" s="13"/>
      <c r="AT172" s="12">
        <v>0</v>
      </c>
      <c r="AU172" s="13">
        <v>0</v>
      </c>
      <c r="AV172" s="12">
        <v>12.814</v>
      </c>
      <c r="AW172" s="13">
        <v>0</v>
      </c>
      <c r="AX172" s="12">
        <v>10.819000000000001</v>
      </c>
      <c r="AY172" s="39">
        <v>0</v>
      </c>
      <c r="AZ172" s="12">
        <v>11.180999999999999</v>
      </c>
      <c r="BA172" s="39">
        <v>0</v>
      </c>
      <c r="BB172" s="12">
        <v>11.125</v>
      </c>
      <c r="BC172" s="39">
        <v>0</v>
      </c>
      <c r="BD172" s="12">
        <f t="shared" si="24"/>
        <v>45.939</v>
      </c>
      <c r="BE172" s="14">
        <f t="shared" si="25"/>
        <v>0</v>
      </c>
      <c r="BF172" s="24">
        <f t="shared" si="30"/>
        <v>0</v>
      </c>
      <c r="BG172" s="23">
        <f t="shared" si="29"/>
        <v>0</v>
      </c>
    </row>
    <row r="173" spans="1:59" ht="18" customHeight="1" x14ac:dyDescent="0.2">
      <c r="A173" s="27" t="str">
        <f t="shared" si="26"/>
        <v>법인</v>
      </c>
      <c r="B173" s="27" t="s">
        <v>1563</v>
      </c>
      <c r="C173" s="27" t="s">
        <v>1496</v>
      </c>
      <c r="D173" s="26">
        <v>6068211790</v>
      </c>
      <c r="E173" s="89">
        <v>10040724</v>
      </c>
      <c r="F173" s="25" t="s">
        <v>1530</v>
      </c>
      <c r="G173" s="48" t="s">
        <v>321</v>
      </c>
      <c r="H173" s="53">
        <v>46175</v>
      </c>
      <c r="I173" s="50">
        <v>46196</v>
      </c>
      <c r="J173" s="14">
        <v>417.89190000000002</v>
      </c>
      <c r="K173" s="49" t="s">
        <v>311</v>
      </c>
      <c r="L173" s="12"/>
      <c r="M173" s="13"/>
      <c r="N173" s="12"/>
      <c r="O173" s="13"/>
      <c r="P173" s="12"/>
      <c r="Q173" s="13"/>
      <c r="R173" s="12"/>
      <c r="S173" s="13"/>
      <c r="T173" s="12"/>
      <c r="U173" s="13"/>
      <c r="V173" s="12"/>
      <c r="W173" s="13"/>
      <c r="X173" s="12"/>
      <c r="Y173" s="13"/>
      <c r="Z173" s="12"/>
      <c r="AA173" s="13"/>
      <c r="AB173" s="12"/>
      <c r="AC173" s="13"/>
      <c r="AD173" s="12"/>
      <c r="AE173" s="13"/>
      <c r="AF173" s="12"/>
      <c r="AG173" s="13"/>
      <c r="AH173" s="12"/>
      <c r="AI173" s="13"/>
      <c r="AJ173" s="12"/>
      <c r="AK173" s="13"/>
      <c r="AL173" s="12"/>
      <c r="AM173" s="13"/>
      <c r="AN173" s="12"/>
      <c r="AO173" s="13"/>
      <c r="AP173" s="12"/>
      <c r="AQ173" s="13"/>
      <c r="AR173" s="12">
        <v>0</v>
      </c>
      <c r="AS173" s="13"/>
      <c r="AT173" s="12">
        <v>0</v>
      </c>
      <c r="AU173" s="13">
        <v>0</v>
      </c>
      <c r="AV173" s="12">
        <v>417.89190000000002</v>
      </c>
      <c r="AW173" s="13">
        <v>0</v>
      </c>
      <c r="AX173" s="12">
        <v>0</v>
      </c>
      <c r="AY173" s="39">
        <v>139.29730000000001</v>
      </c>
      <c r="AZ173" s="12">
        <v>0</v>
      </c>
      <c r="BA173" s="39">
        <v>139.29730000000001</v>
      </c>
      <c r="BB173" s="12">
        <v>0</v>
      </c>
      <c r="BC173" s="39">
        <v>139.29730000000001</v>
      </c>
      <c r="BD173" s="12">
        <f t="shared" si="24"/>
        <v>417.89190000000002</v>
      </c>
      <c r="BE173" s="14">
        <f t="shared" si="25"/>
        <v>417.89190000000002</v>
      </c>
      <c r="BF173" s="24">
        <f t="shared" si="30"/>
        <v>1</v>
      </c>
      <c r="BG173" s="23">
        <f t="shared" si="29"/>
        <v>1</v>
      </c>
    </row>
    <row r="174" spans="1:59" ht="18" customHeight="1" x14ac:dyDescent="0.2">
      <c r="A174" s="27" t="str">
        <f t="shared" si="26"/>
        <v>법인</v>
      </c>
      <c r="B174" s="27" t="s">
        <v>1559</v>
      </c>
      <c r="C174" s="27" t="s">
        <v>1496</v>
      </c>
      <c r="D174" s="26">
        <v>6158210039</v>
      </c>
      <c r="E174" s="89">
        <v>10041416</v>
      </c>
      <c r="F174" s="25" t="s">
        <v>209</v>
      </c>
      <c r="G174" s="48" t="s">
        <v>1477</v>
      </c>
      <c r="H174" s="53">
        <v>46021</v>
      </c>
      <c r="I174" s="50">
        <v>46064</v>
      </c>
      <c r="J174" s="14">
        <v>994.80634999999995</v>
      </c>
      <c r="K174" s="49" t="s">
        <v>311</v>
      </c>
      <c r="L174" s="12"/>
      <c r="M174" s="13"/>
      <c r="N174" s="12"/>
      <c r="O174" s="13"/>
      <c r="P174" s="12"/>
      <c r="Q174" s="13"/>
      <c r="R174" s="12"/>
      <c r="S174" s="13"/>
      <c r="T174" s="12"/>
      <c r="U174" s="13"/>
      <c r="V174" s="12"/>
      <c r="W174" s="13"/>
      <c r="X174" s="12"/>
      <c r="Y174" s="13"/>
      <c r="Z174" s="12"/>
      <c r="AA174" s="13"/>
      <c r="AB174" s="12"/>
      <c r="AC174" s="13"/>
      <c r="AD174" s="12"/>
      <c r="AE174" s="13"/>
      <c r="AF174" s="12"/>
      <c r="AG174" s="13"/>
      <c r="AH174" s="12"/>
      <c r="AI174" s="13"/>
      <c r="AJ174" s="12"/>
      <c r="AK174" s="13"/>
      <c r="AL174" s="12"/>
      <c r="AM174" s="13"/>
      <c r="AN174" s="12"/>
      <c r="AO174" s="13"/>
      <c r="AP174" s="12"/>
      <c r="AQ174" s="13"/>
      <c r="AR174" s="12">
        <v>0</v>
      </c>
      <c r="AS174" s="13"/>
      <c r="AT174" s="12">
        <v>0</v>
      </c>
      <c r="AU174" s="13">
        <v>0</v>
      </c>
      <c r="AV174" s="12">
        <v>14.06</v>
      </c>
      <c r="AW174" s="13">
        <v>0</v>
      </c>
      <c r="AX174" s="12">
        <v>17.562999999999999</v>
      </c>
      <c r="AY174" s="39">
        <v>14.06</v>
      </c>
      <c r="AZ174" s="12">
        <v>13.335000000000001</v>
      </c>
      <c r="BA174" s="39">
        <v>17.562999999999999</v>
      </c>
      <c r="BB174" s="12">
        <v>13.808999999999999</v>
      </c>
      <c r="BC174" s="39">
        <v>13.335000000000001</v>
      </c>
      <c r="BD174" s="12">
        <f t="shared" si="24"/>
        <v>58.766999999999996</v>
      </c>
      <c r="BE174" s="14">
        <f t="shared" si="25"/>
        <v>44.957999999999998</v>
      </c>
      <c r="BF174" s="24">
        <f t="shared" si="30"/>
        <v>0.76502118535913011</v>
      </c>
      <c r="BG174" s="23">
        <f t="shared" si="29"/>
        <v>4.5192715145012899E-2</v>
      </c>
    </row>
    <row r="175" spans="1:59" ht="18" customHeight="1" x14ac:dyDescent="0.2">
      <c r="A175" s="27" t="str">
        <f t="shared" si="26"/>
        <v>개인</v>
      </c>
      <c r="B175" s="27">
        <v>1</v>
      </c>
      <c r="C175" s="148">
        <v>982</v>
      </c>
      <c r="D175" s="26">
        <v>2049371905</v>
      </c>
      <c r="E175" s="89">
        <v>10045059</v>
      </c>
      <c r="F175" s="25" t="s">
        <v>1531</v>
      </c>
      <c r="G175" s="48" t="s">
        <v>1477</v>
      </c>
      <c r="H175" s="53">
        <v>46142</v>
      </c>
      <c r="I175" s="50">
        <v>46161</v>
      </c>
      <c r="J175" s="14">
        <v>346.39888000000002</v>
      </c>
      <c r="K175" s="49" t="s">
        <v>311</v>
      </c>
      <c r="L175" s="12"/>
      <c r="M175" s="13"/>
      <c r="N175" s="12"/>
      <c r="O175" s="13"/>
      <c r="P175" s="12"/>
      <c r="Q175" s="13"/>
      <c r="R175" s="12"/>
      <c r="S175" s="13"/>
      <c r="T175" s="12"/>
      <c r="U175" s="13"/>
      <c r="V175" s="12"/>
      <c r="W175" s="13"/>
      <c r="X175" s="12"/>
      <c r="Y175" s="13"/>
      <c r="Z175" s="12"/>
      <c r="AA175" s="13"/>
      <c r="AB175" s="12"/>
      <c r="AC175" s="13"/>
      <c r="AD175" s="12"/>
      <c r="AE175" s="13"/>
      <c r="AF175" s="12"/>
      <c r="AG175" s="13"/>
      <c r="AH175" s="12"/>
      <c r="AI175" s="13"/>
      <c r="AJ175" s="12"/>
      <c r="AK175" s="13"/>
      <c r="AL175" s="12"/>
      <c r="AM175" s="13"/>
      <c r="AN175" s="12"/>
      <c r="AO175" s="13"/>
      <c r="AP175" s="12"/>
      <c r="AQ175" s="13"/>
      <c r="AR175" s="12">
        <v>0</v>
      </c>
      <c r="AS175" s="13"/>
      <c r="AT175" s="12">
        <v>0</v>
      </c>
      <c r="AU175" s="13">
        <v>0</v>
      </c>
      <c r="AV175" s="12">
        <v>1.744</v>
      </c>
      <c r="AW175" s="13">
        <v>0</v>
      </c>
      <c r="AX175" s="12">
        <v>14.672000000000001</v>
      </c>
      <c r="AY175" s="39">
        <v>1.744</v>
      </c>
      <c r="AZ175" s="12">
        <v>14.08</v>
      </c>
      <c r="BA175" s="39">
        <v>14.672000000000001</v>
      </c>
      <c r="BB175" s="12">
        <v>13.472</v>
      </c>
      <c r="BC175" s="39">
        <v>0</v>
      </c>
      <c r="BD175" s="12">
        <f t="shared" si="24"/>
        <v>43.968000000000004</v>
      </c>
      <c r="BE175" s="14">
        <f t="shared" si="25"/>
        <v>16.416</v>
      </c>
      <c r="BF175" s="24">
        <f t="shared" si="30"/>
        <v>0.37336244541484714</v>
      </c>
      <c r="BG175" s="23">
        <f t="shared" si="29"/>
        <v>4.7390453456431496E-2</v>
      </c>
    </row>
    <row r="176" spans="1:59" ht="18" customHeight="1" x14ac:dyDescent="0.2">
      <c r="A176" s="27" t="str">
        <f t="shared" si="26"/>
        <v>개인</v>
      </c>
      <c r="B176" s="27">
        <v>10</v>
      </c>
      <c r="C176" s="148">
        <v>250</v>
      </c>
      <c r="D176" s="26">
        <v>5213100103</v>
      </c>
      <c r="E176" s="89">
        <v>10061894</v>
      </c>
      <c r="F176" s="25" t="s">
        <v>1532</v>
      </c>
      <c r="G176" s="48" t="s">
        <v>1477</v>
      </c>
      <c r="H176" s="53">
        <v>46128</v>
      </c>
      <c r="I176" s="50">
        <v>46147</v>
      </c>
      <c r="J176" s="14">
        <v>514.23769600000003</v>
      </c>
      <c r="K176" s="49" t="s">
        <v>311</v>
      </c>
      <c r="L176" s="12"/>
      <c r="M176" s="13"/>
      <c r="N176" s="12"/>
      <c r="O176" s="13"/>
      <c r="P176" s="12"/>
      <c r="Q176" s="13"/>
      <c r="R176" s="12"/>
      <c r="S176" s="13"/>
      <c r="T176" s="12"/>
      <c r="U176" s="13"/>
      <c r="V176" s="12"/>
      <c r="W176" s="13"/>
      <c r="X176" s="12"/>
      <c r="Y176" s="13"/>
      <c r="Z176" s="12"/>
      <c r="AA176" s="13"/>
      <c r="AB176" s="12"/>
      <c r="AC176" s="13"/>
      <c r="AD176" s="12"/>
      <c r="AE176" s="13"/>
      <c r="AF176" s="12"/>
      <c r="AG176" s="13"/>
      <c r="AH176" s="12"/>
      <c r="AI176" s="13"/>
      <c r="AJ176" s="12"/>
      <c r="AK176" s="13"/>
      <c r="AL176" s="12"/>
      <c r="AM176" s="13"/>
      <c r="AN176" s="12"/>
      <c r="AO176" s="13"/>
      <c r="AP176" s="12"/>
      <c r="AQ176" s="13"/>
      <c r="AR176" s="12">
        <v>0</v>
      </c>
      <c r="AS176" s="13"/>
      <c r="AT176" s="12">
        <v>0</v>
      </c>
      <c r="AU176" s="13">
        <v>0</v>
      </c>
      <c r="AV176" s="12">
        <v>0.86399999999999999</v>
      </c>
      <c r="AW176" s="13">
        <v>0</v>
      </c>
      <c r="AX176" s="12">
        <v>16.48</v>
      </c>
      <c r="AY176" s="39">
        <v>0</v>
      </c>
      <c r="AZ176" s="12">
        <v>9.0559999999999992</v>
      </c>
      <c r="BA176" s="39">
        <v>0</v>
      </c>
      <c r="BB176" s="12">
        <v>0.224</v>
      </c>
      <c r="BC176" s="39">
        <v>0</v>
      </c>
      <c r="BD176" s="12">
        <f t="shared" si="24"/>
        <v>26.623999999999999</v>
      </c>
      <c r="BE176" s="14">
        <f t="shared" si="25"/>
        <v>0</v>
      </c>
      <c r="BF176" s="24">
        <f t="shared" si="30"/>
        <v>0</v>
      </c>
      <c r="BG176" s="23">
        <f t="shared" si="29"/>
        <v>0</v>
      </c>
    </row>
    <row r="177" spans="1:59" ht="18" customHeight="1" x14ac:dyDescent="0.2">
      <c r="A177" s="27" t="str">
        <f t="shared" si="26"/>
        <v>개인</v>
      </c>
      <c r="B177" s="27">
        <v>3</v>
      </c>
      <c r="C177" s="148">
        <v>887</v>
      </c>
      <c r="D177" s="26">
        <v>1880502389</v>
      </c>
      <c r="E177" s="89">
        <v>10077968</v>
      </c>
      <c r="F177" s="25" t="s">
        <v>1533</v>
      </c>
      <c r="G177" s="48" t="s">
        <v>1477</v>
      </c>
      <c r="H177" s="53">
        <v>46121</v>
      </c>
      <c r="I177" s="50">
        <v>46140</v>
      </c>
      <c r="J177" s="14">
        <v>389.62643700000001</v>
      </c>
      <c r="K177" s="49" t="s">
        <v>311</v>
      </c>
      <c r="L177" s="12"/>
      <c r="M177" s="13"/>
      <c r="N177" s="12"/>
      <c r="O177" s="13"/>
      <c r="P177" s="12"/>
      <c r="Q177" s="13"/>
      <c r="R177" s="12"/>
      <c r="S177" s="13"/>
      <c r="T177" s="12"/>
      <c r="U177" s="13"/>
      <c r="V177" s="12"/>
      <c r="W177" s="13"/>
      <c r="X177" s="12"/>
      <c r="Y177" s="13"/>
      <c r="Z177" s="12"/>
      <c r="AA177" s="13"/>
      <c r="AB177" s="12"/>
      <c r="AC177" s="13"/>
      <c r="AD177" s="12"/>
      <c r="AE177" s="13"/>
      <c r="AF177" s="12"/>
      <c r="AG177" s="13"/>
      <c r="AH177" s="12"/>
      <c r="AI177" s="13"/>
      <c r="AJ177" s="12"/>
      <c r="AK177" s="13"/>
      <c r="AL177" s="12"/>
      <c r="AM177" s="13"/>
      <c r="AN177" s="12"/>
      <c r="AO177" s="13"/>
      <c r="AP177" s="12"/>
      <c r="AQ177" s="13"/>
      <c r="AR177" s="12">
        <v>0</v>
      </c>
      <c r="AS177" s="13"/>
      <c r="AT177" s="12">
        <v>0</v>
      </c>
      <c r="AU177" s="13">
        <v>0</v>
      </c>
      <c r="AV177" s="12">
        <v>6.0999999999999999E-2</v>
      </c>
      <c r="AW177" s="13">
        <v>0</v>
      </c>
      <c r="AX177" s="12">
        <v>6.5259999999999998</v>
      </c>
      <c r="AY177" s="39">
        <v>0</v>
      </c>
      <c r="AZ177" s="12">
        <v>16.64</v>
      </c>
      <c r="BA177" s="39">
        <v>0</v>
      </c>
      <c r="BB177" s="12">
        <v>4.1470000000000002</v>
      </c>
      <c r="BC177" s="39">
        <v>0</v>
      </c>
      <c r="BD177" s="12">
        <f t="shared" si="24"/>
        <v>27.374000000000002</v>
      </c>
      <c r="BE177" s="14">
        <f t="shared" si="25"/>
        <v>0</v>
      </c>
      <c r="BF177" s="24">
        <f t="shared" si="30"/>
        <v>0</v>
      </c>
      <c r="BG177" s="23">
        <f t="shared" si="29"/>
        <v>0</v>
      </c>
    </row>
    <row r="178" spans="1:59" ht="18" customHeight="1" x14ac:dyDescent="0.2">
      <c r="A178" s="27" t="str">
        <f t="shared" si="26"/>
        <v>개인</v>
      </c>
      <c r="B178" s="27">
        <v>2</v>
      </c>
      <c r="C178" s="148">
        <v>926</v>
      </c>
      <c r="D178" s="26">
        <v>2219201090</v>
      </c>
      <c r="E178" s="89">
        <v>10083322</v>
      </c>
      <c r="F178" s="25" t="s">
        <v>1534</v>
      </c>
      <c r="G178" s="48" t="s">
        <v>1477</v>
      </c>
      <c r="H178" s="53">
        <v>46128</v>
      </c>
      <c r="I178" s="50">
        <v>46134</v>
      </c>
      <c r="J178" s="14">
        <v>529.15531199999998</v>
      </c>
      <c r="K178" s="49" t="s">
        <v>311</v>
      </c>
      <c r="L178" s="12"/>
      <c r="M178" s="13"/>
      <c r="N178" s="12"/>
      <c r="O178" s="13"/>
      <c r="P178" s="12"/>
      <c r="Q178" s="13"/>
      <c r="R178" s="12"/>
      <c r="S178" s="13"/>
      <c r="T178" s="12"/>
      <c r="U178" s="13"/>
      <c r="V178" s="12"/>
      <c r="W178" s="13"/>
      <c r="X178" s="12"/>
      <c r="Y178" s="13"/>
      <c r="Z178" s="12"/>
      <c r="AA178" s="13"/>
      <c r="AB178" s="12"/>
      <c r="AC178" s="13"/>
      <c r="AD178" s="12"/>
      <c r="AE178" s="13"/>
      <c r="AF178" s="12"/>
      <c r="AG178" s="13"/>
      <c r="AH178" s="12"/>
      <c r="AI178" s="13"/>
      <c r="AJ178" s="12"/>
      <c r="AK178" s="13"/>
      <c r="AL178" s="12"/>
      <c r="AM178" s="13"/>
      <c r="AN178" s="12"/>
      <c r="AO178" s="13"/>
      <c r="AP178" s="12"/>
      <c r="AQ178" s="13"/>
      <c r="AR178" s="12">
        <v>0</v>
      </c>
      <c r="AS178" s="13"/>
      <c r="AT178" s="12">
        <v>0</v>
      </c>
      <c r="AU178" s="13">
        <v>0</v>
      </c>
      <c r="AV178" s="12">
        <v>4.7060000000000004</v>
      </c>
      <c r="AW178" s="13">
        <v>0</v>
      </c>
      <c r="AX178" s="12">
        <v>13.539</v>
      </c>
      <c r="AY178" s="39">
        <v>4.7060000000000004</v>
      </c>
      <c r="AZ178" s="12">
        <v>37.122999999999998</v>
      </c>
      <c r="BA178" s="39">
        <v>10.72</v>
      </c>
      <c r="BB178" s="12">
        <v>10.896000000000001</v>
      </c>
      <c r="BC178" s="39">
        <v>12.864000000000001</v>
      </c>
      <c r="BD178" s="12">
        <f t="shared" si="24"/>
        <v>66.263999999999996</v>
      </c>
      <c r="BE178" s="14">
        <f t="shared" si="25"/>
        <v>28.290000000000003</v>
      </c>
      <c r="BF178" s="24">
        <f t="shared" si="30"/>
        <v>0.42692864904020289</v>
      </c>
      <c r="BG178" s="23">
        <f t="shared" si="29"/>
        <v>5.346256450317937E-2</v>
      </c>
    </row>
    <row r="179" spans="1:59" ht="18" customHeight="1" x14ac:dyDescent="0.2">
      <c r="A179" s="27" t="str">
        <f t="shared" si="26"/>
        <v>개인</v>
      </c>
      <c r="B179" s="27" t="s">
        <v>1564</v>
      </c>
      <c r="C179" s="27" t="s">
        <v>1554</v>
      </c>
      <c r="D179" s="26">
        <v>3029382098</v>
      </c>
      <c r="E179" s="89">
        <v>10086968</v>
      </c>
      <c r="F179" s="25" t="s">
        <v>1535</v>
      </c>
      <c r="G179" s="48" t="s">
        <v>1477</v>
      </c>
      <c r="H179" s="53">
        <v>45988</v>
      </c>
      <c r="I179" s="50">
        <v>46049</v>
      </c>
      <c r="J179" s="14">
        <v>483.754007</v>
      </c>
      <c r="K179" s="49" t="s">
        <v>311</v>
      </c>
      <c r="L179" s="12"/>
      <c r="M179" s="13"/>
      <c r="N179" s="12"/>
      <c r="O179" s="13"/>
      <c r="P179" s="12"/>
      <c r="Q179" s="13"/>
      <c r="R179" s="12"/>
      <c r="S179" s="13"/>
      <c r="T179" s="12"/>
      <c r="U179" s="13"/>
      <c r="V179" s="12"/>
      <c r="W179" s="13"/>
      <c r="X179" s="12"/>
      <c r="Y179" s="13"/>
      <c r="Z179" s="12"/>
      <c r="AA179" s="13"/>
      <c r="AB179" s="12"/>
      <c r="AC179" s="13"/>
      <c r="AD179" s="12"/>
      <c r="AE179" s="13"/>
      <c r="AF179" s="12"/>
      <c r="AG179" s="13"/>
      <c r="AH179" s="12"/>
      <c r="AI179" s="13"/>
      <c r="AJ179" s="12"/>
      <c r="AK179" s="13"/>
      <c r="AL179" s="12"/>
      <c r="AM179" s="13"/>
      <c r="AN179" s="12"/>
      <c r="AO179" s="13"/>
      <c r="AP179" s="12"/>
      <c r="AQ179" s="13"/>
      <c r="AR179" s="12">
        <v>0</v>
      </c>
      <c r="AS179" s="13"/>
      <c r="AT179" s="12">
        <v>0</v>
      </c>
      <c r="AU179" s="13">
        <v>0</v>
      </c>
      <c r="AV179" s="12">
        <v>2.6880000000000002</v>
      </c>
      <c r="AW179" s="13">
        <v>0</v>
      </c>
      <c r="AX179" s="12">
        <v>3.794</v>
      </c>
      <c r="AY179" s="39">
        <v>2.6880000000000002</v>
      </c>
      <c r="AZ179" s="12">
        <v>4.3150000000000004</v>
      </c>
      <c r="BA179" s="39">
        <v>3.794</v>
      </c>
      <c r="BB179" s="12">
        <v>3.8170000000000002</v>
      </c>
      <c r="BC179" s="39">
        <v>4.3150000000000004</v>
      </c>
      <c r="BD179" s="12">
        <f t="shared" si="24"/>
        <v>14.614000000000001</v>
      </c>
      <c r="BE179" s="14">
        <f t="shared" si="25"/>
        <v>10.797000000000001</v>
      </c>
      <c r="BF179" s="24">
        <f t="shared" si="30"/>
        <v>0.73881209798823044</v>
      </c>
      <c r="BG179" s="23">
        <f t="shared" si="29"/>
        <v>2.2319194970513188E-2</v>
      </c>
    </row>
    <row r="180" spans="1:59" ht="18" customHeight="1" x14ac:dyDescent="0.2">
      <c r="A180" s="27" t="str">
        <f t="shared" si="26"/>
        <v>법인</v>
      </c>
      <c r="B180" s="27" t="s">
        <v>1563</v>
      </c>
      <c r="C180" s="27" t="s">
        <v>1496</v>
      </c>
      <c r="D180" s="26">
        <v>4118213040</v>
      </c>
      <c r="E180" s="89">
        <v>10112263</v>
      </c>
      <c r="F180" s="25" t="s">
        <v>1536</v>
      </c>
      <c r="G180" s="48" t="s">
        <v>1477</v>
      </c>
      <c r="H180" s="53">
        <v>46106</v>
      </c>
      <c r="I180" s="50">
        <v>46119</v>
      </c>
      <c r="J180" s="14">
        <v>423.79433599999999</v>
      </c>
      <c r="K180" s="49" t="s">
        <v>311</v>
      </c>
      <c r="L180" s="12"/>
      <c r="M180" s="13"/>
      <c r="N180" s="12"/>
      <c r="O180" s="13"/>
      <c r="P180" s="12"/>
      <c r="Q180" s="13"/>
      <c r="R180" s="12"/>
      <c r="S180" s="13"/>
      <c r="T180" s="12"/>
      <c r="U180" s="13"/>
      <c r="V180" s="12"/>
      <c r="W180" s="13"/>
      <c r="X180" s="12"/>
      <c r="Y180" s="13"/>
      <c r="Z180" s="12"/>
      <c r="AA180" s="13"/>
      <c r="AB180" s="12"/>
      <c r="AC180" s="13"/>
      <c r="AD180" s="12"/>
      <c r="AE180" s="13"/>
      <c r="AF180" s="12"/>
      <c r="AG180" s="13"/>
      <c r="AH180" s="12"/>
      <c r="AI180" s="13"/>
      <c r="AJ180" s="12"/>
      <c r="AK180" s="13"/>
      <c r="AL180" s="12"/>
      <c r="AM180" s="13"/>
      <c r="AN180" s="12"/>
      <c r="AO180" s="13"/>
      <c r="AP180" s="12"/>
      <c r="AQ180" s="13"/>
      <c r="AR180" s="12">
        <v>0</v>
      </c>
      <c r="AS180" s="13"/>
      <c r="AT180" s="12">
        <v>0</v>
      </c>
      <c r="AU180" s="13">
        <v>0</v>
      </c>
      <c r="AV180" s="12">
        <v>7.8</v>
      </c>
      <c r="AW180" s="13">
        <v>0</v>
      </c>
      <c r="AX180" s="12">
        <v>9.1</v>
      </c>
      <c r="AY180" s="39">
        <v>0</v>
      </c>
      <c r="AZ180" s="12">
        <v>8.64</v>
      </c>
      <c r="BA180" s="39">
        <v>16.440000000000001</v>
      </c>
      <c r="BB180" s="12">
        <v>8.18</v>
      </c>
      <c r="BC180" s="39">
        <v>8.64</v>
      </c>
      <c r="BD180" s="12">
        <f t="shared" si="24"/>
        <v>33.72</v>
      </c>
      <c r="BE180" s="14">
        <f t="shared" si="25"/>
        <v>25.080000000000002</v>
      </c>
      <c r="BF180" s="24">
        <f t="shared" si="30"/>
        <v>0.74377224199288261</v>
      </c>
      <c r="BG180" s="23">
        <f t="shared" si="29"/>
        <v>5.9179648875722593E-2</v>
      </c>
    </row>
    <row r="181" spans="1:59" ht="18" customHeight="1" x14ac:dyDescent="0.2">
      <c r="A181" s="27" t="str">
        <f t="shared" si="26"/>
        <v>법인</v>
      </c>
      <c r="B181" s="27" t="s">
        <v>1565</v>
      </c>
      <c r="C181" s="27" t="s">
        <v>1496</v>
      </c>
      <c r="D181" s="26">
        <v>5808200671</v>
      </c>
      <c r="E181" s="89">
        <v>10112774</v>
      </c>
      <c r="F181" s="25" t="s">
        <v>1537</v>
      </c>
      <c r="G181" s="48" t="s">
        <v>1477</v>
      </c>
      <c r="H181" s="53">
        <v>45989</v>
      </c>
      <c r="I181" s="50">
        <v>46035</v>
      </c>
      <c r="J181" s="14">
        <v>983.75914</v>
      </c>
      <c r="K181" s="49" t="s">
        <v>311</v>
      </c>
      <c r="L181" s="12"/>
      <c r="M181" s="13"/>
      <c r="N181" s="12"/>
      <c r="O181" s="13"/>
      <c r="P181" s="12"/>
      <c r="Q181" s="13"/>
      <c r="R181" s="12"/>
      <c r="S181" s="13"/>
      <c r="T181" s="12"/>
      <c r="U181" s="13"/>
      <c r="V181" s="12"/>
      <c r="W181" s="13"/>
      <c r="X181" s="12"/>
      <c r="Y181" s="13"/>
      <c r="Z181" s="12"/>
      <c r="AA181" s="13"/>
      <c r="AB181" s="12"/>
      <c r="AC181" s="13"/>
      <c r="AD181" s="12"/>
      <c r="AE181" s="13"/>
      <c r="AF181" s="12"/>
      <c r="AG181" s="13"/>
      <c r="AH181" s="12"/>
      <c r="AI181" s="13"/>
      <c r="AJ181" s="12"/>
      <c r="AK181" s="13"/>
      <c r="AL181" s="12"/>
      <c r="AM181" s="13"/>
      <c r="AN181" s="12"/>
      <c r="AO181" s="13"/>
      <c r="AP181" s="12"/>
      <c r="AQ181" s="13"/>
      <c r="AR181" s="12">
        <v>0</v>
      </c>
      <c r="AS181" s="13"/>
      <c r="AT181" s="12">
        <v>0</v>
      </c>
      <c r="AU181" s="13">
        <v>0</v>
      </c>
      <c r="AV181" s="12">
        <v>9.1859999999999999</v>
      </c>
      <c r="AW181" s="13">
        <v>0</v>
      </c>
      <c r="AX181" s="12">
        <v>2.7730000000000001</v>
      </c>
      <c r="AY181" s="151">
        <v>9.1859999999999999</v>
      </c>
      <c r="AZ181" s="12">
        <v>6.024</v>
      </c>
      <c r="BA181" s="39">
        <v>2.7730000000000001</v>
      </c>
      <c r="BB181" s="12">
        <v>11.085000000000001</v>
      </c>
      <c r="BC181" s="39">
        <v>6.024</v>
      </c>
      <c r="BD181" s="12">
        <f t="shared" si="24"/>
        <v>29.068000000000001</v>
      </c>
      <c r="BE181" s="14">
        <f t="shared" si="25"/>
        <v>17.983000000000001</v>
      </c>
      <c r="BF181" s="24">
        <f t="shared" si="30"/>
        <v>0.61865281409109674</v>
      </c>
      <c r="BG181" s="23">
        <f t="shared" si="29"/>
        <v>1.8279880987941824E-2</v>
      </c>
    </row>
    <row r="182" spans="1:59" ht="18" customHeight="1" x14ac:dyDescent="0.2">
      <c r="A182" s="27" t="str">
        <f t="shared" si="26"/>
        <v>개인</v>
      </c>
      <c r="B182" s="27">
        <v>1</v>
      </c>
      <c r="C182" s="148">
        <v>993</v>
      </c>
      <c r="D182" s="26">
        <v>1289247837</v>
      </c>
      <c r="E182" s="89">
        <v>10006922</v>
      </c>
      <c r="F182" s="25" t="s">
        <v>1539</v>
      </c>
      <c r="G182" s="48" t="s">
        <v>1477</v>
      </c>
      <c r="H182" s="53">
        <v>46153</v>
      </c>
      <c r="I182" s="50">
        <v>46185</v>
      </c>
      <c r="J182" s="14">
        <v>340.18818599999997</v>
      </c>
      <c r="K182" s="49" t="s">
        <v>311</v>
      </c>
      <c r="L182" s="12"/>
      <c r="M182" s="13"/>
      <c r="N182" s="12"/>
      <c r="O182" s="13"/>
      <c r="P182" s="12"/>
      <c r="Q182" s="13"/>
      <c r="R182" s="12"/>
      <c r="S182" s="13"/>
      <c r="T182" s="12"/>
      <c r="U182" s="13"/>
      <c r="V182" s="12"/>
      <c r="W182" s="13"/>
      <c r="X182" s="12"/>
      <c r="Y182" s="13"/>
      <c r="Z182" s="12"/>
      <c r="AA182" s="13"/>
      <c r="AB182" s="12"/>
      <c r="AC182" s="13"/>
      <c r="AD182" s="12"/>
      <c r="AE182" s="13"/>
      <c r="AF182" s="12"/>
      <c r="AG182" s="13"/>
      <c r="AH182" s="12"/>
      <c r="AI182" s="13"/>
      <c r="AJ182" s="12"/>
      <c r="AK182" s="13"/>
      <c r="AL182" s="12"/>
      <c r="AM182" s="13"/>
      <c r="AN182" s="12"/>
      <c r="AO182" s="13"/>
      <c r="AP182" s="12"/>
      <c r="AQ182" s="13"/>
      <c r="AR182" s="12">
        <v>0</v>
      </c>
      <c r="AS182" s="13"/>
      <c r="AT182" s="12">
        <v>0</v>
      </c>
      <c r="AU182" s="13">
        <v>0</v>
      </c>
      <c r="AV182" s="12">
        <v>0</v>
      </c>
      <c r="AW182" s="13">
        <v>0</v>
      </c>
      <c r="AX182" s="12">
        <f>VLOOKUP(E182,[4]Sheet1!$L:$O,4,0)</f>
        <v>0.46400000000000002</v>
      </c>
      <c r="AY182" s="39">
        <v>0</v>
      </c>
      <c r="AZ182" s="12">
        <v>2.4</v>
      </c>
      <c r="BA182" s="39">
        <v>0.46400000000000002</v>
      </c>
      <c r="BB182" s="12">
        <v>1.9039999999999999</v>
      </c>
      <c r="BC182" s="39">
        <v>0</v>
      </c>
      <c r="BD182" s="12">
        <f t="shared" si="24"/>
        <v>4.7679999999999998</v>
      </c>
      <c r="BE182" s="14">
        <f t="shared" si="25"/>
        <v>0.46400000000000002</v>
      </c>
      <c r="BF182" s="24">
        <f t="shared" ref="BF182:BF191" si="31">BE182/BD182</f>
        <v>9.731543624161075E-2</v>
      </c>
      <c r="BG182" s="23">
        <f t="shared" si="29"/>
        <v>1.3639509515477415E-3</v>
      </c>
    </row>
    <row r="183" spans="1:59" ht="18" customHeight="1" x14ac:dyDescent="0.2">
      <c r="A183" s="27" t="str">
        <f t="shared" si="26"/>
        <v>법인</v>
      </c>
      <c r="B183" s="27" t="s">
        <v>1577</v>
      </c>
      <c r="C183" s="27" t="s">
        <v>1496</v>
      </c>
      <c r="D183" s="26">
        <v>2068201898</v>
      </c>
      <c r="E183" s="89">
        <v>10034735</v>
      </c>
      <c r="F183" s="25" t="s">
        <v>1540</v>
      </c>
      <c r="G183" s="48" t="s">
        <v>1477</v>
      </c>
      <c r="H183" s="53">
        <v>46048</v>
      </c>
      <c r="I183" s="50">
        <v>46084</v>
      </c>
      <c r="J183" s="14">
        <v>2683.2282399999999</v>
      </c>
      <c r="K183" s="49" t="s">
        <v>311</v>
      </c>
      <c r="L183" s="12"/>
      <c r="M183" s="13"/>
      <c r="N183" s="12"/>
      <c r="O183" s="13"/>
      <c r="P183" s="12"/>
      <c r="Q183" s="13"/>
      <c r="R183" s="12"/>
      <c r="S183" s="13"/>
      <c r="T183" s="12"/>
      <c r="U183" s="13"/>
      <c r="V183" s="12"/>
      <c r="W183" s="13"/>
      <c r="X183" s="12"/>
      <c r="Y183" s="13"/>
      <c r="Z183" s="12"/>
      <c r="AA183" s="13"/>
      <c r="AB183" s="12"/>
      <c r="AC183" s="13"/>
      <c r="AD183" s="12"/>
      <c r="AE183" s="13"/>
      <c r="AF183" s="12"/>
      <c r="AG183" s="13"/>
      <c r="AH183" s="12"/>
      <c r="AI183" s="13"/>
      <c r="AJ183" s="12"/>
      <c r="AK183" s="13"/>
      <c r="AL183" s="12"/>
      <c r="AM183" s="13"/>
      <c r="AN183" s="12"/>
      <c r="AO183" s="13"/>
      <c r="AP183" s="12"/>
      <c r="AQ183" s="13"/>
      <c r="AR183" s="12">
        <v>0</v>
      </c>
      <c r="AS183" s="13"/>
      <c r="AT183" s="12">
        <v>0</v>
      </c>
      <c r="AU183" s="13">
        <v>0</v>
      </c>
      <c r="AV183" s="12">
        <v>0</v>
      </c>
      <c r="AW183" s="13">
        <v>0</v>
      </c>
      <c r="AX183" s="12">
        <f>VLOOKUP(E183,[4]Sheet1!$L:$O,4,0)</f>
        <v>3.8519999999999999</v>
      </c>
      <c r="AY183" s="39">
        <v>0</v>
      </c>
      <c r="AZ183" s="12">
        <v>12.430999999999999</v>
      </c>
      <c r="BA183" s="39">
        <v>3.8519999999999999</v>
      </c>
      <c r="BB183" s="12">
        <v>14.227000000000002</v>
      </c>
      <c r="BC183" s="39">
        <v>12.430999999999999</v>
      </c>
      <c r="BD183" s="12">
        <f t="shared" si="24"/>
        <v>30.509999999999998</v>
      </c>
      <c r="BE183" s="14">
        <f t="shared" si="25"/>
        <v>16.282999999999998</v>
      </c>
      <c r="BF183" s="24">
        <f t="shared" si="31"/>
        <v>0.53369387086201237</v>
      </c>
      <c r="BG183" s="23">
        <f t="shared" si="29"/>
        <v>6.0684364293959571E-3</v>
      </c>
    </row>
    <row r="184" spans="1:59" ht="18" customHeight="1" x14ac:dyDescent="0.2">
      <c r="A184" s="27" t="str">
        <f t="shared" si="26"/>
        <v>개인</v>
      </c>
      <c r="B184" s="27">
        <v>2</v>
      </c>
      <c r="C184" s="148">
        <v>928</v>
      </c>
      <c r="D184" s="26">
        <v>4109197127</v>
      </c>
      <c r="E184" s="89">
        <v>10038241</v>
      </c>
      <c r="F184" s="25" t="s">
        <v>1541</v>
      </c>
      <c r="G184" s="48" t="s">
        <v>1477</v>
      </c>
      <c r="H184" s="53">
        <v>46148</v>
      </c>
      <c r="I184" s="50">
        <v>46168</v>
      </c>
      <c r="J184" s="14">
        <v>165.40742399999999</v>
      </c>
      <c r="K184" s="49" t="s">
        <v>311</v>
      </c>
      <c r="L184" s="12"/>
      <c r="M184" s="13"/>
      <c r="N184" s="12"/>
      <c r="O184" s="13"/>
      <c r="P184" s="12"/>
      <c r="Q184" s="13"/>
      <c r="R184" s="12"/>
      <c r="S184" s="13"/>
      <c r="T184" s="12"/>
      <c r="U184" s="13"/>
      <c r="V184" s="12"/>
      <c r="W184" s="13"/>
      <c r="X184" s="12"/>
      <c r="Y184" s="13"/>
      <c r="Z184" s="12"/>
      <c r="AA184" s="13"/>
      <c r="AB184" s="12"/>
      <c r="AC184" s="13"/>
      <c r="AD184" s="12"/>
      <c r="AE184" s="13"/>
      <c r="AF184" s="12"/>
      <c r="AG184" s="13"/>
      <c r="AH184" s="12"/>
      <c r="AI184" s="13"/>
      <c r="AJ184" s="12"/>
      <c r="AK184" s="13"/>
      <c r="AL184" s="12"/>
      <c r="AM184" s="13"/>
      <c r="AN184" s="12"/>
      <c r="AO184" s="13"/>
      <c r="AP184" s="12"/>
      <c r="AQ184" s="13"/>
      <c r="AR184" s="12">
        <v>0</v>
      </c>
      <c r="AS184" s="13"/>
      <c r="AT184" s="12">
        <v>0</v>
      </c>
      <c r="AU184" s="13">
        <v>0</v>
      </c>
      <c r="AV184" s="12">
        <v>0</v>
      </c>
      <c r="AW184" s="13">
        <v>0</v>
      </c>
      <c r="AX184" s="12">
        <f>VLOOKUP(E184,[4]Sheet1!$L:$O,4,0)</f>
        <v>3.677</v>
      </c>
      <c r="AY184" s="39">
        <v>0</v>
      </c>
      <c r="AZ184" s="12">
        <v>5.72</v>
      </c>
      <c r="BA184" s="39">
        <v>0</v>
      </c>
      <c r="BB184" s="12">
        <v>6.0839999999999996</v>
      </c>
      <c r="BC184" s="39">
        <v>9.3970000000000002</v>
      </c>
      <c r="BD184" s="12">
        <f t="shared" si="24"/>
        <v>15.481</v>
      </c>
      <c r="BE184" s="14">
        <f t="shared" si="25"/>
        <v>9.3970000000000002</v>
      </c>
      <c r="BF184" s="24">
        <f t="shared" si="31"/>
        <v>0.60700213164524253</v>
      </c>
      <c r="BG184" s="23">
        <f t="shared" si="29"/>
        <v>5.6811234784721637E-2</v>
      </c>
    </row>
    <row r="185" spans="1:59" ht="18" customHeight="1" x14ac:dyDescent="0.2">
      <c r="A185" s="27" t="str">
        <f t="shared" si="26"/>
        <v>법인</v>
      </c>
      <c r="B185" s="27" t="s">
        <v>1563</v>
      </c>
      <c r="C185" s="27" t="s">
        <v>1496</v>
      </c>
      <c r="D185" s="26">
        <v>5158206462</v>
      </c>
      <c r="E185" s="89">
        <v>10039976</v>
      </c>
      <c r="F185" s="25" t="s">
        <v>1542</v>
      </c>
      <c r="G185" s="48" t="s">
        <v>1477</v>
      </c>
      <c r="H185" s="53">
        <v>46149</v>
      </c>
      <c r="I185" s="50">
        <v>46168</v>
      </c>
      <c r="J185" s="14">
        <v>897.39754500000004</v>
      </c>
      <c r="K185" s="49" t="s">
        <v>311</v>
      </c>
      <c r="L185" s="12"/>
      <c r="M185" s="13"/>
      <c r="N185" s="12"/>
      <c r="O185" s="13"/>
      <c r="P185" s="12"/>
      <c r="Q185" s="13"/>
      <c r="R185" s="12"/>
      <c r="S185" s="13"/>
      <c r="T185" s="12"/>
      <c r="U185" s="13"/>
      <c r="V185" s="12"/>
      <c r="W185" s="13"/>
      <c r="X185" s="12"/>
      <c r="Y185" s="13"/>
      <c r="Z185" s="12"/>
      <c r="AA185" s="13"/>
      <c r="AB185" s="12"/>
      <c r="AC185" s="13"/>
      <c r="AD185" s="12"/>
      <c r="AE185" s="13"/>
      <c r="AF185" s="12"/>
      <c r="AG185" s="13"/>
      <c r="AH185" s="12"/>
      <c r="AI185" s="13"/>
      <c r="AJ185" s="12"/>
      <c r="AK185" s="13"/>
      <c r="AL185" s="12"/>
      <c r="AM185" s="13"/>
      <c r="AN185" s="12"/>
      <c r="AO185" s="13"/>
      <c r="AP185" s="12"/>
      <c r="AQ185" s="13"/>
      <c r="AR185" s="12">
        <v>0</v>
      </c>
      <c r="AS185" s="13"/>
      <c r="AT185" s="12">
        <v>0</v>
      </c>
      <c r="AU185" s="13">
        <v>0</v>
      </c>
      <c r="AV185" s="12">
        <v>0</v>
      </c>
      <c r="AW185" s="13">
        <v>0</v>
      </c>
      <c r="AX185" s="12">
        <f>VLOOKUP(E185,[4]Sheet1!$L:$O,4,0)</f>
        <v>6.16</v>
      </c>
      <c r="AY185" s="39">
        <v>0</v>
      </c>
      <c r="AZ185" s="12">
        <v>17.123999999999999</v>
      </c>
      <c r="BA185" s="39">
        <v>6.16</v>
      </c>
      <c r="BB185" s="12">
        <v>15.664</v>
      </c>
      <c r="BC185" s="39">
        <v>17.123999999999999</v>
      </c>
      <c r="BD185" s="12">
        <f t="shared" si="24"/>
        <v>38.948</v>
      </c>
      <c r="BE185" s="14">
        <f t="shared" si="25"/>
        <v>23.283999999999999</v>
      </c>
      <c r="BF185" s="24">
        <f t="shared" si="31"/>
        <v>0.59782273800965391</v>
      </c>
      <c r="BG185" s="23">
        <f t="shared" si="29"/>
        <v>2.5946137394436485E-2</v>
      </c>
    </row>
    <row r="186" spans="1:59" ht="18" customHeight="1" x14ac:dyDescent="0.2">
      <c r="A186" s="27" t="str">
        <f t="shared" si="26"/>
        <v>개인</v>
      </c>
      <c r="B186" s="27" t="s">
        <v>1564</v>
      </c>
      <c r="C186" s="27" t="s">
        <v>1554</v>
      </c>
      <c r="D186" s="26">
        <v>5439900350</v>
      </c>
      <c r="E186" s="89">
        <v>10040113</v>
      </c>
      <c r="F186" s="25" t="s">
        <v>1543</v>
      </c>
      <c r="G186" s="48" t="s">
        <v>320</v>
      </c>
      <c r="H186" s="53">
        <v>46203</v>
      </c>
      <c r="I186" s="50">
        <v>46224</v>
      </c>
      <c r="J186" s="14">
        <v>192.88140000000001</v>
      </c>
      <c r="K186" s="49" t="s">
        <v>311</v>
      </c>
      <c r="L186" s="12"/>
      <c r="M186" s="13"/>
      <c r="N186" s="12"/>
      <c r="O186" s="13"/>
      <c r="P186" s="12"/>
      <c r="Q186" s="13"/>
      <c r="R186" s="12"/>
      <c r="S186" s="13"/>
      <c r="T186" s="12"/>
      <c r="U186" s="13"/>
      <c r="V186" s="12"/>
      <c r="W186" s="13"/>
      <c r="X186" s="12"/>
      <c r="Y186" s="13"/>
      <c r="Z186" s="12"/>
      <c r="AA186" s="13"/>
      <c r="AB186" s="12"/>
      <c r="AC186" s="13"/>
      <c r="AD186" s="12"/>
      <c r="AE186" s="13"/>
      <c r="AF186" s="12"/>
      <c r="AG186" s="13"/>
      <c r="AH186" s="12"/>
      <c r="AI186" s="13"/>
      <c r="AJ186" s="12"/>
      <c r="AK186" s="13"/>
      <c r="AL186" s="12"/>
      <c r="AM186" s="13"/>
      <c r="AN186" s="12"/>
      <c r="AO186" s="13"/>
      <c r="AP186" s="12"/>
      <c r="AQ186" s="13"/>
      <c r="AR186" s="12">
        <v>0</v>
      </c>
      <c r="AS186" s="13"/>
      <c r="AT186" s="12">
        <v>0</v>
      </c>
      <c r="AU186" s="13">
        <v>0</v>
      </c>
      <c r="AV186" s="12">
        <v>0</v>
      </c>
      <c r="AW186" s="13">
        <v>0</v>
      </c>
      <c r="AX186" s="12">
        <f>VLOOKUP(E186,[4]Sheet1!$L:$O,4,0)</f>
        <v>192.88140000000001</v>
      </c>
      <c r="AY186" s="39">
        <v>0</v>
      </c>
      <c r="AZ186" s="12">
        <v>0</v>
      </c>
      <c r="BA186" s="39">
        <v>150</v>
      </c>
      <c r="BB186" s="12">
        <v>0</v>
      </c>
      <c r="BC186" s="39">
        <v>42.881399999999999</v>
      </c>
      <c r="BD186" s="12">
        <f t="shared" si="24"/>
        <v>192.88140000000001</v>
      </c>
      <c r="BE186" s="14">
        <f t="shared" si="25"/>
        <v>192.88139999999999</v>
      </c>
      <c r="BF186" s="24">
        <f t="shared" si="31"/>
        <v>0.99999999999999989</v>
      </c>
      <c r="BG186" s="23">
        <f t="shared" si="29"/>
        <v>0.99999999999999989</v>
      </c>
    </row>
    <row r="187" spans="1:59" ht="18" customHeight="1" x14ac:dyDescent="0.2">
      <c r="A187" s="27" t="str">
        <f t="shared" si="26"/>
        <v>개인</v>
      </c>
      <c r="B187" s="27">
        <v>2</v>
      </c>
      <c r="C187" s="148">
        <v>916</v>
      </c>
      <c r="D187" s="26">
        <v>4239501417</v>
      </c>
      <c r="E187" s="89">
        <v>10072686</v>
      </c>
      <c r="F187" s="25" t="s">
        <v>1544</v>
      </c>
      <c r="G187" s="48" t="s">
        <v>1477</v>
      </c>
      <c r="H187" s="53">
        <v>46153</v>
      </c>
      <c r="I187" s="50">
        <v>46168</v>
      </c>
      <c r="J187" s="14">
        <v>395.63093500000002</v>
      </c>
      <c r="K187" s="49" t="s">
        <v>311</v>
      </c>
      <c r="L187" s="12"/>
      <c r="M187" s="13"/>
      <c r="N187" s="12"/>
      <c r="O187" s="13"/>
      <c r="P187" s="12"/>
      <c r="Q187" s="13"/>
      <c r="R187" s="12"/>
      <c r="S187" s="13"/>
      <c r="T187" s="12"/>
      <c r="U187" s="13"/>
      <c r="V187" s="12"/>
      <c r="W187" s="13"/>
      <c r="X187" s="12"/>
      <c r="Y187" s="13"/>
      <c r="Z187" s="12"/>
      <c r="AA187" s="13"/>
      <c r="AB187" s="12"/>
      <c r="AC187" s="13"/>
      <c r="AD187" s="12"/>
      <c r="AE187" s="13"/>
      <c r="AF187" s="12"/>
      <c r="AG187" s="13"/>
      <c r="AH187" s="12"/>
      <c r="AI187" s="13"/>
      <c r="AJ187" s="12"/>
      <c r="AK187" s="13"/>
      <c r="AL187" s="12"/>
      <c r="AM187" s="13"/>
      <c r="AN187" s="12"/>
      <c r="AO187" s="13"/>
      <c r="AP187" s="12"/>
      <c r="AQ187" s="13"/>
      <c r="AR187" s="12">
        <v>0</v>
      </c>
      <c r="AS187" s="13"/>
      <c r="AT187" s="12">
        <v>0</v>
      </c>
      <c r="AU187" s="13">
        <v>0</v>
      </c>
      <c r="AV187" s="12">
        <v>0</v>
      </c>
      <c r="AW187" s="13">
        <v>0</v>
      </c>
      <c r="AX187" s="12">
        <f>VLOOKUP(E187,[4]Sheet1!$L:$O,4,0)</f>
        <v>2.8479999999999999</v>
      </c>
      <c r="AY187" s="39">
        <v>0</v>
      </c>
      <c r="AZ187" s="12">
        <v>6.3680000000000003</v>
      </c>
      <c r="BA187" s="39">
        <v>2.8479999999999999</v>
      </c>
      <c r="BB187" s="12">
        <v>7.1520000000000001</v>
      </c>
      <c r="BC187" s="39">
        <v>6.3680000000000003</v>
      </c>
      <c r="BD187" s="12">
        <f t="shared" si="24"/>
        <v>16.368000000000002</v>
      </c>
      <c r="BE187" s="14">
        <f t="shared" si="25"/>
        <v>9.2160000000000011</v>
      </c>
      <c r="BF187" s="24">
        <f t="shared" si="31"/>
        <v>0.56304985337243396</v>
      </c>
      <c r="BG187" s="23">
        <f t="shared" si="29"/>
        <v>2.3294437276498613E-2</v>
      </c>
    </row>
    <row r="188" spans="1:59" ht="18" customHeight="1" x14ac:dyDescent="0.2">
      <c r="A188" s="27" t="str">
        <f t="shared" si="26"/>
        <v>개인</v>
      </c>
      <c r="B188" s="27" t="s">
        <v>1564</v>
      </c>
      <c r="C188" s="27" t="s">
        <v>1554</v>
      </c>
      <c r="D188" s="26">
        <v>6949001993</v>
      </c>
      <c r="E188" s="89">
        <v>10087386</v>
      </c>
      <c r="F188" s="25" t="s">
        <v>1545</v>
      </c>
      <c r="G188" s="48" t="s">
        <v>319</v>
      </c>
      <c r="H188" s="53">
        <v>46128</v>
      </c>
      <c r="I188" s="50">
        <v>46154</v>
      </c>
      <c r="J188" s="14">
        <v>253.50054</v>
      </c>
      <c r="K188" s="49" t="s">
        <v>311</v>
      </c>
      <c r="L188" s="12"/>
      <c r="M188" s="13"/>
      <c r="N188" s="12"/>
      <c r="O188" s="13"/>
      <c r="P188" s="12"/>
      <c r="Q188" s="13"/>
      <c r="R188" s="12"/>
      <c r="S188" s="13"/>
      <c r="T188" s="12"/>
      <c r="U188" s="13"/>
      <c r="V188" s="12"/>
      <c r="W188" s="13"/>
      <c r="X188" s="12"/>
      <c r="Y188" s="13"/>
      <c r="Z188" s="12"/>
      <c r="AA188" s="13"/>
      <c r="AB188" s="12"/>
      <c r="AC188" s="13"/>
      <c r="AD188" s="12"/>
      <c r="AE188" s="13"/>
      <c r="AF188" s="12"/>
      <c r="AG188" s="13"/>
      <c r="AH188" s="12"/>
      <c r="AI188" s="13"/>
      <c r="AJ188" s="12"/>
      <c r="AK188" s="13"/>
      <c r="AL188" s="12"/>
      <c r="AM188" s="13"/>
      <c r="AN188" s="12"/>
      <c r="AO188" s="13"/>
      <c r="AP188" s="12"/>
      <c r="AQ188" s="13"/>
      <c r="AR188" s="12">
        <v>0</v>
      </c>
      <c r="AS188" s="13"/>
      <c r="AT188" s="12">
        <v>0</v>
      </c>
      <c r="AU188" s="13">
        <v>0</v>
      </c>
      <c r="AV188" s="12">
        <v>0</v>
      </c>
      <c r="AW188" s="13">
        <v>0</v>
      </c>
      <c r="AX188" s="12">
        <f>VLOOKUP(E188,[4]Sheet1!$L:$O,4,0)</f>
        <v>253.50054</v>
      </c>
      <c r="AY188" s="39">
        <v>253.50054</v>
      </c>
      <c r="AZ188" s="12">
        <v>0</v>
      </c>
      <c r="BA188" s="39">
        <v>0</v>
      </c>
      <c r="BB188" s="12">
        <v>0</v>
      </c>
      <c r="BC188" s="39">
        <v>0</v>
      </c>
      <c r="BD188" s="12">
        <f t="shared" si="24"/>
        <v>253.50054</v>
      </c>
      <c r="BE188" s="14">
        <f t="shared" si="25"/>
        <v>253.50054</v>
      </c>
      <c r="BF188" s="24">
        <f t="shared" si="31"/>
        <v>1</v>
      </c>
      <c r="BG188" s="23">
        <f t="shared" ref="BG188:BG207" si="32">BE188/J188</f>
        <v>1</v>
      </c>
    </row>
    <row r="189" spans="1:59" ht="18" customHeight="1" x14ac:dyDescent="0.2">
      <c r="A189" s="27" t="str">
        <f t="shared" si="26"/>
        <v>개인</v>
      </c>
      <c r="B189" s="27">
        <v>2</v>
      </c>
      <c r="C189" s="148">
        <v>915</v>
      </c>
      <c r="D189" s="26">
        <v>3329402447</v>
      </c>
      <c r="E189" s="89">
        <v>10112509</v>
      </c>
      <c r="F189" s="25" t="s">
        <v>1546</v>
      </c>
      <c r="G189" s="48" t="s">
        <v>1477</v>
      </c>
      <c r="H189" s="53">
        <v>46139</v>
      </c>
      <c r="I189" s="50">
        <v>46154</v>
      </c>
      <c r="J189" s="14">
        <v>619.10241799999994</v>
      </c>
      <c r="K189" s="49" t="s">
        <v>311</v>
      </c>
      <c r="L189" s="12"/>
      <c r="M189" s="13"/>
      <c r="N189" s="12"/>
      <c r="O189" s="13"/>
      <c r="P189" s="12"/>
      <c r="Q189" s="13"/>
      <c r="R189" s="12"/>
      <c r="S189" s="13"/>
      <c r="T189" s="12"/>
      <c r="U189" s="13"/>
      <c r="V189" s="12"/>
      <c r="W189" s="13"/>
      <c r="X189" s="12"/>
      <c r="Y189" s="13"/>
      <c r="Z189" s="12"/>
      <c r="AA189" s="13"/>
      <c r="AB189" s="12"/>
      <c r="AC189" s="13"/>
      <c r="AD189" s="12"/>
      <c r="AE189" s="13"/>
      <c r="AF189" s="12"/>
      <c r="AG189" s="13"/>
      <c r="AH189" s="12"/>
      <c r="AI189" s="13"/>
      <c r="AJ189" s="12"/>
      <c r="AK189" s="13"/>
      <c r="AL189" s="12"/>
      <c r="AM189" s="13"/>
      <c r="AN189" s="12"/>
      <c r="AO189" s="13"/>
      <c r="AP189" s="12"/>
      <c r="AQ189" s="13"/>
      <c r="AR189" s="12">
        <v>0</v>
      </c>
      <c r="AS189" s="13"/>
      <c r="AT189" s="12">
        <v>0</v>
      </c>
      <c r="AU189" s="13">
        <v>0</v>
      </c>
      <c r="AV189" s="12">
        <v>0</v>
      </c>
      <c r="AW189" s="13">
        <v>0</v>
      </c>
      <c r="AX189" s="12">
        <f>VLOOKUP(E189,[4]Sheet1!$L:$O,4,0)</f>
        <v>4.093</v>
      </c>
      <c r="AY189" s="39">
        <v>0</v>
      </c>
      <c r="AZ189" s="12">
        <v>4.7839999999999998</v>
      </c>
      <c r="BA189" s="39">
        <v>0</v>
      </c>
      <c r="BB189" s="12">
        <v>4.2830000000000004</v>
      </c>
      <c r="BC189" s="39">
        <v>4.093</v>
      </c>
      <c r="BD189" s="12">
        <f t="shared" si="24"/>
        <v>13.16</v>
      </c>
      <c r="BE189" s="14">
        <f t="shared" si="25"/>
        <v>4.093</v>
      </c>
      <c r="BF189" s="24">
        <f t="shared" si="31"/>
        <v>0.31101823708206688</v>
      </c>
      <c r="BG189" s="23">
        <f t="shared" si="32"/>
        <v>6.6111839996076394E-3</v>
      </c>
    </row>
    <row r="190" spans="1:59" ht="18" customHeight="1" x14ac:dyDescent="0.2">
      <c r="A190" s="27" t="str">
        <f t="shared" si="26"/>
        <v>법인</v>
      </c>
      <c r="B190" s="27" t="s">
        <v>1580</v>
      </c>
      <c r="C190" s="27" t="s">
        <v>1496</v>
      </c>
      <c r="D190" s="26">
        <v>2058206304</v>
      </c>
      <c r="E190" s="89">
        <v>10112765</v>
      </c>
      <c r="F190" s="25" t="s">
        <v>1547</v>
      </c>
      <c r="G190" s="48" t="s">
        <v>1477</v>
      </c>
      <c r="H190" s="53">
        <v>45810</v>
      </c>
      <c r="I190" s="50">
        <v>45881</v>
      </c>
      <c r="J190" s="14">
        <v>436.76600000000002</v>
      </c>
      <c r="K190" s="49" t="s">
        <v>311</v>
      </c>
      <c r="L190" s="12"/>
      <c r="M190" s="13"/>
      <c r="N190" s="12"/>
      <c r="O190" s="13"/>
      <c r="P190" s="12"/>
      <c r="Q190" s="13"/>
      <c r="R190" s="12"/>
      <c r="S190" s="13"/>
      <c r="T190" s="12"/>
      <c r="U190" s="13"/>
      <c r="V190" s="12"/>
      <c r="W190" s="13"/>
      <c r="X190" s="12"/>
      <c r="Y190" s="13"/>
      <c r="Z190" s="12"/>
      <c r="AA190" s="13"/>
      <c r="AB190" s="12"/>
      <c r="AC190" s="13"/>
      <c r="AD190" s="12"/>
      <c r="AE190" s="13"/>
      <c r="AF190" s="12"/>
      <c r="AG190" s="13"/>
      <c r="AH190" s="12"/>
      <c r="AI190" s="13"/>
      <c r="AJ190" s="12"/>
      <c r="AK190" s="13"/>
      <c r="AL190" s="12"/>
      <c r="AM190" s="13"/>
      <c r="AN190" s="12"/>
      <c r="AO190" s="13"/>
      <c r="AP190" s="12"/>
      <c r="AQ190" s="13"/>
      <c r="AR190" s="12">
        <v>0</v>
      </c>
      <c r="AS190" s="13"/>
      <c r="AT190" s="12">
        <v>0</v>
      </c>
      <c r="AU190" s="13">
        <v>0</v>
      </c>
      <c r="AV190" s="12">
        <v>0</v>
      </c>
      <c r="AW190" s="13">
        <v>0</v>
      </c>
      <c r="AX190" s="12">
        <f>VLOOKUP(E190,[4]Sheet1!$L:$O,4,0)</f>
        <v>71.927000000000007</v>
      </c>
      <c r="AY190" s="39">
        <v>0</v>
      </c>
      <c r="AZ190" s="12">
        <v>75.658000000000001</v>
      </c>
      <c r="BA190" s="39">
        <v>0</v>
      </c>
      <c r="BB190" s="12">
        <v>18.626999999999999</v>
      </c>
      <c r="BC190" s="39">
        <v>0</v>
      </c>
      <c r="BD190" s="12">
        <f t="shared" si="24"/>
        <v>166.21200000000002</v>
      </c>
      <c r="BE190" s="14">
        <f t="shared" si="25"/>
        <v>0</v>
      </c>
      <c r="BF190" s="24">
        <f t="shared" si="31"/>
        <v>0</v>
      </c>
      <c r="BG190" s="23">
        <f t="shared" si="32"/>
        <v>0</v>
      </c>
    </row>
    <row r="191" spans="1:59" ht="18" customHeight="1" x14ac:dyDescent="0.2">
      <c r="A191" s="27" t="str">
        <f t="shared" si="26"/>
        <v>개인</v>
      </c>
      <c r="B191" s="27" t="s">
        <v>1579</v>
      </c>
      <c r="C191" s="27" t="s">
        <v>1554</v>
      </c>
      <c r="D191" s="26">
        <v>6373901529</v>
      </c>
      <c r="E191" s="89">
        <v>10114610</v>
      </c>
      <c r="F191" s="25" t="s">
        <v>434</v>
      </c>
      <c r="G191" s="48" t="s">
        <v>1477</v>
      </c>
      <c r="H191" s="53">
        <v>45985</v>
      </c>
      <c r="I191" s="50">
        <v>46042</v>
      </c>
      <c r="J191" s="14">
        <v>862.13728200000003</v>
      </c>
      <c r="K191" s="49" t="s">
        <v>311</v>
      </c>
      <c r="L191" s="12"/>
      <c r="M191" s="13"/>
      <c r="N191" s="12"/>
      <c r="O191" s="13"/>
      <c r="P191" s="12"/>
      <c r="Q191" s="13"/>
      <c r="R191" s="12"/>
      <c r="S191" s="13"/>
      <c r="T191" s="12"/>
      <c r="U191" s="13"/>
      <c r="V191" s="12"/>
      <c r="W191" s="13"/>
      <c r="X191" s="12"/>
      <c r="Y191" s="13"/>
      <c r="Z191" s="12"/>
      <c r="AA191" s="13"/>
      <c r="AB191" s="12"/>
      <c r="AC191" s="13"/>
      <c r="AD191" s="12"/>
      <c r="AE191" s="13"/>
      <c r="AF191" s="12"/>
      <c r="AG191" s="13"/>
      <c r="AH191" s="12"/>
      <c r="AI191" s="13"/>
      <c r="AJ191" s="12"/>
      <c r="AK191" s="13"/>
      <c r="AL191" s="12"/>
      <c r="AM191" s="13"/>
      <c r="AN191" s="12"/>
      <c r="AO191" s="13"/>
      <c r="AP191" s="12"/>
      <c r="AQ191" s="13"/>
      <c r="AR191" s="12">
        <v>0</v>
      </c>
      <c r="AS191" s="13"/>
      <c r="AT191" s="12">
        <v>0</v>
      </c>
      <c r="AU191" s="13">
        <v>0</v>
      </c>
      <c r="AV191" s="12">
        <v>0</v>
      </c>
      <c r="AW191" s="13">
        <v>0</v>
      </c>
      <c r="AX191" s="12">
        <f>VLOOKUP(E191,[4]Sheet1!$L:$O,4,0)</f>
        <v>18.608000000000001</v>
      </c>
      <c r="AY191" s="39">
        <v>0</v>
      </c>
      <c r="AZ191" s="12">
        <v>17.504000000000001</v>
      </c>
      <c r="BA191" s="151">
        <v>18.608000000000001</v>
      </c>
      <c r="BB191" s="12">
        <v>18.015999999999998</v>
      </c>
      <c r="BC191" s="39">
        <v>27.404</v>
      </c>
      <c r="BD191" s="12">
        <f t="shared" si="24"/>
        <v>54.128</v>
      </c>
      <c r="BE191" s="14">
        <f t="shared" si="25"/>
        <v>46.012</v>
      </c>
      <c r="BF191" s="24">
        <f t="shared" si="31"/>
        <v>0.85005911912503695</v>
      </c>
      <c r="BG191" s="23">
        <f t="shared" si="32"/>
        <v>5.3369690605724204E-2</v>
      </c>
    </row>
    <row r="192" spans="1:59" ht="18" customHeight="1" x14ac:dyDescent="0.2">
      <c r="A192" s="27" t="str">
        <f t="shared" ref="A192" si="33">IF(MID(D192,4,1)="8","법인","개인")</f>
        <v>개인</v>
      </c>
      <c r="B192" s="27" t="s">
        <v>1594</v>
      </c>
      <c r="C192" s="27" t="s">
        <v>1554</v>
      </c>
      <c r="D192" s="26">
        <v>8159201842</v>
      </c>
      <c r="E192" s="89">
        <v>10090690</v>
      </c>
      <c r="F192" s="25" t="s">
        <v>1585</v>
      </c>
      <c r="G192" s="48" t="s">
        <v>320</v>
      </c>
      <c r="H192" s="53">
        <v>46219</v>
      </c>
      <c r="I192" s="50">
        <v>46245</v>
      </c>
      <c r="J192" s="14">
        <v>350</v>
      </c>
      <c r="K192" s="49" t="s">
        <v>311</v>
      </c>
      <c r="L192" s="12"/>
      <c r="M192" s="13"/>
      <c r="N192" s="12"/>
      <c r="O192" s="13"/>
      <c r="P192" s="12"/>
      <c r="Q192" s="13"/>
      <c r="R192" s="12"/>
      <c r="S192" s="13"/>
      <c r="T192" s="12"/>
      <c r="U192" s="13"/>
      <c r="V192" s="12"/>
      <c r="W192" s="13"/>
      <c r="X192" s="12"/>
      <c r="Y192" s="13"/>
      <c r="Z192" s="12"/>
      <c r="AA192" s="13"/>
      <c r="AB192" s="12"/>
      <c r="AC192" s="13"/>
      <c r="AD192" s="12"/>
      <c r="AE192" s="13"/>
      <c r="AF192" s="12"/>
      <c r="AG192" s="13"/>
      <c r="AH192" s="12"/>
      <c r="AI192" s="13"/>
      <c r="AJ192" s="12"/>
      <c r="AK192" s="13"/>
      <c r="AL192" s="12"/>
      <c r="AM192" s="13"/>
      <c r="AN192" s="12"/>
      <c r="AO192" s="13"/>
      <c r="AP192" s="12"/>
      <c r="AQ192" s="13"/>
      <c r="AR192" s="12">
        <v>0</v>
      </c>
      <c r="AS192" s="13"/>
      <c r="AT192" s="12">
        <v>0</v>
      </c>
      <c r="AU192" s="13">
        <v>0</v>
      </c>
      <c r="AV192" s="12">
        <v>0</v>
      </c>
      <c r="AW192" s="13">
        <v>0</v>
      </c>
      <c r="AX192" s="12">
        <v>0</v>
      </c>
      <c r="AY192" s="13">
        <v>0</v>
      </c>
      <c r="AZ192" s="12">
        <v>0</v>
      </c>
      <c r="BA192" s="39">
        <v>350</v>
      </c>
      <c r="BB192" s="12">
        <v>350</v>
      </c>
      <c r="BC192" s="39">
        <v>0</v>
      </c>
      <c r="BD192" s="12">
        <f t="shared" si="24"/>
        <v>350</v>
      </c>
      <c r="BE192" s="14">
        <f t="shared" si="25"/>
        <v>350</v>
      </c>
      <c r="BF192" s="24">
        <f t="shared" ref="BF192" si="34">BE192/BD192</f>
        <v>1</v>
      </c>
      <c r="BG192" s="23">
        <f t="shared" si="32"/>
        <v>1</v>
      </c>
    </row>
    <row r="193" spans="1:59" ht="18" customHeight="1" x14ac:dyDescent="0.2">
      <c r="A193" s="27" t="str">
        <f t="shared" ref="A193:A205" si="35">IF(MID(D193,4,1)="8","법인","개인")</f>
        <v>개인</v>
      </c>
      <c r="B193" s="27" t="s">
        <v>1595</v>
      </c>
      <c r="C193" s="27"/>
      <c r="D193" s="26">
        <v>1309604542</v>
      </c>
      <c r="E193" s="89">
        <v>10033319</v>
      </c>
      <c r="F193" s="25" t="s">
        <v>1587</v>
      </c>
      <c r="G193" s="48" t="s">
        <v>1477</v>
      </c>
      <c r="H193" s="53">
        <v>46148</v>
      </c>
      <c r="I193" s="50">
        <v>46175</v>
      </c>
      <c r="J193" s="14">
        <v>402.684575</v>
      </c>
      <c r="K193" s="49" t="s">
        <v>311</v>
      </c>
      <c r="L193" s="12"/>
      <c r="M193" s="13"/>
      <c r="N193" s="12"/>
      <c r="O193" s="13"/>
      <c r="P193" s="12"/>
      <c r="Q193" s="13"/>
      <c r="R193" s="12"/>
      <c r="S193" s="13"/>
      <c r="T193" s="12"/>
      <c r="U193" s="13"/>
      <c r="V193" s="12"/>
      <c r="W193" s="13"/>
      <c r="X193" s="12"/>
      <c r="Y193" s="13"/>
      <c r="Z193" s="12"/>
      <c r="AA193" s="13"/>
      <c r="AB193" s="12"/>
      <c r="AC193" s="13"/>
      <c r="AD193" s="12"/>
      <c r="AE193" s="13"/>
      <c r="AF193" s="12"/>
      <c r="AG193" s="13"/>
      <c r="AH193" s="12"/>
      <c r="AI193" s="13"/>
      <c r="AJ193" s="12"/>
      <c r="AK193" s="13"/>
      <c r="AL193" s="12"/>
      <c r="AM193" s="13"/>
      <c r="AN193" s="12"/>
      <c r="AO193" s="13"/>
      <c r="AP193" s="12"/>
      <c r="AQ193" s="13"/>
      <c r="AR193" s="12">
        <v>0</v>
      </c>
      <c r="AS193" s="13"/>
      <c r="AT193" s="12">
        <v>0</v>
      </c>
      <c r="AU193" s="13">
        <v>0</v>
      </c>
      <c r="AV193" s="12">
        <v>0</v>
      </c>
      <c r="AW193" s="13">
        <v>0</v>
      </c>
      <c r="AX193" s="12">
        <v>0</v>
      </c>
      <c r="AY193" s="13">
        <v>0</v>
      </c>
      <c r="AZ193" s="12">
        <v>9.7279999999999998</v>
      </c>
      <c r="BA193" s="39">
        <v>0</v>
      </c>
      <c r="BB193" s="12">
        <v>8.7080000000000002</v>
      </c>
      <c r="BC193" s="39">
        <v>9.7279999999999998</v>
      </c>
      <c r="BD193" s="12">
        <f t="shared" si="24"/>
        <v>18.436</v>
      </c>
      <c r="BE193" s="14">
        <f t="shared" si="25"/>
        <v>9.7279999999999998</v>
      </c>
      <c r="BF193" s="24">
        <f t="shared" ref="BF193:BF199" si="36">BE193/BD193</f>
        <v>0.52766326752006942</v>
      </c>
      <c r="BG193" s="23">
        <f t="shared" si="32"/>
        <v>2.4157865992259574E-2</v>
      </c>
    </row>
    <row r="194" spans="1:59" ht="18" customHeight="1" x14ac:dyDescent="0.2">
      <c r="A194" s="27" t="str">
        <f t="shared" si="35"/>
        <v>법인</v>
      </c>
      <c r="B194" s="27" t="s">
        <v>1488</v>
      </c>
      <c r="C194" s="27"/>
      <c r="D194" s="26">
        <v>4168210636</v>
      </c>
      <c r="E194" s="89">
        <v>10038511</v>
      </c>
      <c r="F194" s="25" t="s">
        <v>1588</v>
      </c>
      <c r="G194" s="48" t="s">
        <v>1477</v>
      </c>
      <c r="H194" s="53">
        <v>46184</v>
      </c>
      <c r="I194" s="50">
        <v>46203</v>
      </c>
      <c r="J194" s="14">
        <v>378.12016</v>
      </c>
      <c r="K194" s="49" t="s">
        <v>311</v>
      </c>
      <c r="L194" s="12"/>
      <c r="M194" s="13"/>
      <c r="N194" s="12"/>
      <c r="O194" s="13"/>
      <c r="P194" s="12"/>
      <c r="Q194" s="13"/>
      <c r="R194" s="12"/>
      <c r="S194" s="13"/>
      <c r="T194" s="12"/>
      <c r="U194" s="13"/>
      <c r="V194" s="12"/>
      <c r="W194" s="13"/>
      <c r="X194" s="12"/>
      <c r="Y194" s="13"/>
      <c r="Z194" s="12"/>
      <c r="AA194" s="13"/>
      <c r="AB194" s="12"/>
      <c r="AC194" s="13"/>
      <c r="AD194" s="12"/>
      <c r="AE194" s="13"/>
      <c r="AF194" s="12"/>
      <c r="AG194" s="13"/>
      <c r="AH194" s="12"/>
      <c r="AI194" s="13"/>
      <c r="AJ194" s="12"/>
      <c r="AK194" s="13"/>
      <c r="AL194" s="12"/>
      <c r="AM194" s="13"/>
      <c r="AN194" s="12"/>
      <c r="AO194" s="13"/>
      <c r="AP194" s="12"/>
      <c r="AQ194" s="13"/>
      <c r="AR194" s="12">
        <v>0</v>
      </c>
      <c r="AS194" s="13"/>
      <c r="AT194" s="12">
        <v>0</v>
      </c>
      <c r="AU194" s="13">
        <v>0</v>
      </c>
      <c r="AV194" s="12">
        <v>0</v>
      </c>
      <c r="AW194" s="13">
        <v>0</v>
      </c>
      <c r="AX194" s="12">
        <v>0</v>
      </c>
      <c r="AY194" s="13">
        <v>0</v>
      </c>
      <c r="AZ194" s="12">
        <v>1.3083</v>
      </c>
      <c r="BA194" s="39">
        <v>0</v>
      </c>
      <c r="BB194" s="12">
        <v>7.6896000000000004</v>
      </c>
      <c r="BC194" s="39">
        <v>0</v>
      </c>
      <c r="BD194" s="12">
        <f t="shared" si="24"/>
        <v>8.9979000000000013</v>
      </c>
      <c r="BE194" s="14">
        <f t="shared" si="25"/>
        <v>0</v>
      </c>
      <c r="BF194" s="24">
        <f t="shared" si="36"/>
        <v>0</v>
      </c>
      <c r="BG194" s="23">
        <f t="shared" si="32"/>
        <v>0</v>
      </c>
    </row>
    <row r="195" spans="1:59" ht="18" customHeight="1" x14ac:dyDescent="0.2">
      <c r="A195" s="27" t="str">
        <f t="shared" si="35"/>
        <v>개인</v>
      </c>
      <c r="B195" s="27" t="s">
        <v>1575</v>
      </c>
      <c r="C195" s="27"/>
      <c r="D195" s="26">
        <v>5149067705</v>
      </c>
      <c r="E195" s="89">
        <v>10039922</v>
      </c>
      <c r="F195" s="25" t="s">
        <v>1589</v>
      </c>
      <c r="G195" s="48" t="s">
        <v>1477</v>
      </c>
      <c r="H195" s="53">
        <v>46170</v>
      </c>
      <c r="I195" s="50">
        <v>46196</v>
      </c>
      <c r="J195" s="14">
        <v>390.77387499999998</v>
      </c>
      <c r="K195" s="49" t="s">
        <v>311</v>
      </c>
      <c r="L195" s="12"/>
      <c r="M195" s="13"/>
      <c r="N195" s="12"/>
      <c r="O195" s="13"/>
      <c r="P195" s="12"/>
      <c r="Q195" s="13"/>
      <c r="R195" s="12"/>
      <c r="S195" s="13"/>
      <c r="T195" s="12"/>
      <c r="U195" s="13"/>
      <c r="V195" s="12"/>
      <c r="W195" s="13"/>
      <c r="X195" s="12"/>
      <c r="Y195" s="13"/>
      <c r="Z195" s="12"/>
      <c r="AA195" s="13"/>
      <c r="AB195" s="12"/>
      <c r="AC195" s="13"/>
      <c r="AD195" s="12"/>
      <c r="AE195" s="13"/>
      <c r="AF195" s="12"/>
      <c r="AG195" s="13"/>
      <c r="AH195" s="12"/>
      <c r="AI195" s="13"/>
      <c r="AJ195" s="12"/>
      <c r="AK195" s="13"/>
      <c r="AL195" s="12"/>
      <c r="AM195" s="13"/>
      <c r="AN195" s="12"/>
      <c r="AO195" s="13"/>
      <c r="AP195" s="12"/>
      <c r="AQ195" s="13"/>
      <c r="AR195" s="12">
        <v>0</v>
      </c>
      <c r="AS195" s="13"/>
      <c r="AT195" s="12">
        <v>0</v>
      </c>
      <c r="AU195" s="13">
        <v>0</v>
      </c>
      <c r="AV195" s="12">
        <v>0</v>
      </c>
      <c r="AW195" s="13">
        <v>0</v>
      </c>
      <c r="AX195" s="12">
        <v>0</v>
      </c>
      <c r="AY195" s="13">
        <v>0</v>
      </c>
      <c r="AZ195" s="12">
        <v>6.2960000000000003</v>
      </c>
      <c r="BA195" s="39">
        <v>0</v>
      </c>
      <c r="BB195" s="12">
        <v>10.183</v>
      </c>
      <c r="BC195" s="39">
        <v>0</v>
      </c>
      <c r="BD195" s="12">
        <f t="shared" si="24"/>
        <v>16.478999999999999</v>
      </c>
      <c r="BE195" s="14">
        <f t="shared" si="25"/>
        <v>0</v>
      </c>
      <c r="BF195" s="24">
        <f t="shared" si="36"/>
        <v>0</v>
      </c>
      <c r="BG195" s="23">
        <f t="shared" si="32"/>
        <v>0</v>
      </c>
    </row>
    <row r="196" spans="1:59" ht="18" customHeight="1" x14ac:dyDescent="0.2">
      <c r="A196" s="27" t="str">
        <f t="shared" si="35"/>
        <v>법인</v>
      </c>
      <c r="B196" s="27" t="s">
        <v>1488</v>
      </c>
      <c r="C196" s="27"/>
      <c r="D196" s="26">
        <v>6138205753</v>
      </c>
      <c r="E196" s="89">
        <v>10041314</v>
      </c>
      <c r="F196" s="25" t="s">
        <v>1590</v>
      </c>
      <c r="G196" s="48" t="s">
        <v>320</v>
      </c>
      <c r="H196" s="53">
        <v>46238</v>
      </c>
      <c r="I196" s="50">
        <v>46245</v>
      </c>
      <c r="J196" s="14">
        <v>240</v>
      </c>
      <c r="K196" s="49" t="s">
        <v>311</v>
      </c>
      <c r="L196" s="12"/>
      <c r="M196" s="13"/>
      <c r="N196" s="12"/>
      <c r="O196" s="13"/>
      <c r="P196" s="12"/>
      <c r="Q196" s="13"/>
      <c r="R196" s="12"/>
      <c r="S196" s="13"/>
      <c r="T196" s="12"/>
      <c r="U196" s="13"/>
      <c r="V196" s="12"/>
      <c r="W196" s="13"/>
      <c r="X196" s="12"/>
      <c r="Y196" s="13"/>
      <c r="Z196" s="12"/>
      <c r="AA196" s="13"/>
      <c r="AB196" s="12"/>
      <c r="AC196" s="13"/>
      <c r="AD196" s="12"/>
      <c r="AE196" s="13"/>
      <c r="AF196" s="12"/>
      <c r="AG196" s="13"/>
      <c r="AH196" s="12"/>
      <c r="AI196" s="13"/>
      <c r="AJ196" s="12"/>
      <c r="AK196" s="13"/>
      <c r="AL196" s="12"/>
      <c r="AM196" s="13"/>
      <c r="AN196" s="12"/>
      <c r="AO196" s="13"/>
      <c r="AP196" s="12"/>
      <c r="AQ196" s="13"/>
      <c r="AR196" s="12">
        <v>0</v>
      </c>
      <c r="AS196" s="13"/>
      <c r="AT196" s="12">
        <v>0</v>
      </c>
      <c r="AU196" s="13">
        <v>0</v>
      </c>
      <c r="AV196" s="12">
        <v>0</v>
      </c>
      <c r="AW196" s="13">
        <v>0</v>
      </c>
      <c r="AX196" s="12">
        <v>0</v>
      </c>
      <c r="AY196" s="13">
        <v>0</v>
      </c>
      <c r="AZ196" s="12">
        <v>48</v>
      </c>
      <c r="BA196" s="39">
        <v>0</v>
      </c>
      <c r="BB196" s="12">
        <v>48</v>
      </c>
      <c r="BC196" s="39">
        <v>48</v>
      </c>
      <c r="BD196" s="12">
        <f t="shared" si="24"/>
        <v>96</v>
      </c>
      <c r="BE196" s="14">
        <f t="shared" si="25"/>
        <v>48</v>
      </c>
      <c r="BF196" s="24">
        <f t="shared" si="36"/>
        <v>0.5</v>
      </c>
      <c r="BG196" s="23">
        <f t="shared" si="32"/>
        <v>0.2</v>
      </c>
    </row>
    <row r="197" spans="1:59" ht="18" customHeight="1" x14ac:dyDescent="0.2">
      <c r="A197" s="27" t="str">
        <f t="shared" si="35"/>
        <v>개인</v>
      </c>
      <c r="B197" s="27" t="s">
        <v>1488</v>
      </c>
      <c r="C197" s="27"/>
      <c r="D197" s="26">
        <v>7269200198</v>
      </c>
      <c r="E197" s="89">
        <v>10042480</v>
      </c>
      <c r="F197" s="25" t="s">
        <v>1591</v>
      </c>
      <c r="G197" s="48" t="s">
        <v>1477</v>
      </c>
      <c r="H197" s="53">
        <v>46164</v>
      </c>
      <c r="I197" s="50">
        <v>46189</v>
      </c>
      <c r="J197" s="14">
        <v>335.33446600000002</v>
      </c>
      <c r="K197" s="49" t="s">
        <v>311</v>
      </c>
      <c r="L197" s="12"/>
      <c r="M197" s="13"/>
      <c r="N197" s="12"/>
      <c r="O197" s="13"/>
      <c r="P197" s="12"/>
      <c r="Q197" s="13"/>
      <c r="R197" s="12"/>
      <c r="S197" s="13"/>
      <c r="T197" s="12"/>
      <c r="U197" s="13"/>
      <c r="V197" s="12"/>
      <c r="W197" s="13"/>
      <c r="X197" s="12"/>
      <c r="Y197" s="13"/>
      <c r="Z197" s="12"/>
      <c r="AA197" s="13"/>
      <c r="AB197" s="12"/>
      <c r="AC197" s="13"/>
      <c r="AD197" s="12"/>
      <c r="AE197" s="13"/>
      <c r="AF197" s="12"/>
      <c r="AG197" s="13"/>
      <c r="AH197" s="12"/>
      <c r="AI197" s="13"/>
      <c r="AJ197" s="12"/>
      <c r="AK197" s="13"/>
      <c r="AL197" s="12"/>
      <c r="AM197" s="13"/>
      <c r="AN197" s="12"/>
      <c r="AO197" s="13"/>
      <c r="AP197" s="12"/>
      <c r="AQ197" s="13"/>
      <c r="AR197" s="12">
        <v>0</v>
      </c>
      <c r="AS197" s="13"/>
      <c r="AT197" s="12">
        <v>0</v>
      </c>
      <c r="AU197" s="13">
        <v>0</v>
      </c>
      <c r="AV197" s="12">
        <v>0</v>
      </c>
      <c r="AW197" s="13">
        <v>0</v>
      </c>
      <c r="AX197" s="12">
        <v>0</v>
      </c>
      <c r="AY197" s="13">
        <v>0</v>
      </c>
      <c r="AZ197" s="12">
        <v>2.4159999999999999</v>
      </c>
      <c r="BA197" s="39">
        <v>0</v>
      </c>
      <c r="BB197" s="12">
        <v>2.992</v>
      </c>
      <c r="BC197" s="39">
        <v>2.4159999999999999</v>
      </c>
      <c r="BD197" s="12">
        <f t="shared" si="24"/>
        <v>5.4079999999999995</v>
      </c>
      <c r="BE197" s="14">
        <f t="shared" si="25"/>
        <v>2.4159999999999999</v>
      </c>
      <c r="BF197" s="24">
        <f t="shared" si="36"/>
        <v>0.44674556213017752</v>
      </c>
      <c r="BG197" s="23">
        <f t="shared" si="32"/>
        <v>7.2047470360532516E-3</v>
      </c>
    </row>
    <row r="198" spans="1:59" ht="18" customHeight="1" x14ac:dyDescent="0.2">
      <c r="A198" s="27" t="str">
        <f t="shared" si="35"/>
        <v>개인</v>
      </c>
      <c r="B198" s="27" t="s">
        <v>1596</v>
      </c>
      <c r="C198" s="27"/>
      <c r="D198" s="26">
        <v>1299276368</v>
      </c>
      <c r="E198" s="89">
        <v>10048962</v>
      </c>
      <c r="F198" s="25" t="s">
        <v>1592</v>
      </c>
      <c r="G198" s="48" t="s">
        <v>1477</v>
      </c>
      <c r="H198" s="53">
        <v>46073</v>
      </c>
      <c r="I198" s="50">
        <v>46112</v>
      </c>
      <c r="J198" s="14">
        <v>494.587379</v>
      </c>
      <c r="K198" s="49" t="s">
        <v>311</v>
      </c>
      <c r="L198" s="12"/>
      <c r="M198" s="13"/>
      <c r="N198" s="12"/>
      <c r="O198" s="13"/>
      <c r="P198" s="12"/>
      <c r="Q198" s="13"/>
      <c r="R198" s="12"/>
      <c r="S198" s="13"/>
      <c r="T198" s="12"/>
      <c r="U198" s="13"/>
      <c r="V198" s="12"/>
      <c r="W198" s="13"/>
      <c r="X198" s="12"/>
      <c r="Y198" s="13"/>
      <c r="Z198" s="12"/>
      <c r="AA198" s="13"/>
      <c r="AB198" s="12"/>
      <c r="AC198" s="13"/>
      <c r="AD198" s="12"/>
      <c r="AE198" s="13"/>
      <c r="AF198" s="12"/>
      <c r="AG198" s="13"/>
      <c r="AH198" s="12"/>
      <c r="AI198" s="13"/>
      <c r="AJ198" s="12"/>
      <c r="AK198" s="13"/>
      <c r="AL198" s="12"/>
      <c r="AM198" s="13"/>
      <c r="AN198" s="12"/>
      <c r="AO198" s="13"/>
      <c r="AP198" s="12"/>
      <c r="AQ198" s="13"/>
      <c r="AR198" s="12">
        <v>0</v>
      </c>
      <c r="AS198" s="13"/>
      <c r="AT198" s="12">
        <v>0</v>
      </c>
      <c r="AU198" s="13">
        <v>0</v>
      </c>
      <c r="AV198" s="12">
        <v>0</v>
      </c>
      <c r="AW198" s="13">
        <v>0</v>
      </c>
      <c r="AX198" s="12">
        <v>0</v>
      </c>
      <c r="AY198" s="13">
        <v>0</v>
      </c>
      <c r="AZ198" s="12">
        <v>1.1200000000000001</v>
      </c>
      <c r="BA198" s="39">
        <v>0</v>
      </c>
      <c r="BB198" s="12">
        <v>1.2</v>
      </c>
      <c r="BC198" s="39">
        <v>2.3199999999999998</v>
      </c>
      <c r="BD198" s="12">
        <f t="shared" ref="BD198:BD206" si="37">SUM(AN198,AL198,AJ198,AH198,AF198,AD198,AB198,Z198,X198,V198,T198,R198,P198,N198,L198,AP198,AR198,AT198,AV198,AX198,AZ198,BB198)</f>
        <v>2.3200000000000003</v>
      </c>
      <c r="BE198" s="14">
        <f t="shared" ref="BE198:BE199" si="38">SUM(AM198,AK198,AI198,AG198,AE198,AC198,AA198,Y198,W198,U198,S198,Q198,O198,M198,AO198,AQ198,AS198,AU198,AW198,AY198,BA198,BC198)</f>
        <v>2.3199999999999998</v>
      </c>
      <c r="BF198" s="24">
        <f t="shared" si="36"/>
        <v>0.99999999999999978</v>
      </c>
      <c r="BG198" s="23">
        <f t="shared" si="32"/>
        <v>4.6907788158500503E-3</v>
      </c>
    </row>
    <row r="199" spans="1:59" ht="18" customHeight="1" x14ac:dyDescent="0.2">
      <c r="A199" s="27" t="str">
        <f t="shared" si="35"/>
        <v>개인</v>
      </c>
      <c r="B199" s="27" t="s">
        <v>1488</v>
      </c>
      <c r="C199" s="27"/>
      <c r="D199" s="26">
        <v>3129053129</v>
      </c>
      <c r="E199" s="89">
        <v>10050630</v>
      </c>
      <c r="F199" s="25" t="s">
        <v>1593</v>
      </c>
      <c r="G199" s="48" t="s">
        <v>1477</v>
      </c>
      <c r="H199" s="53">
        <v>46140</v>
      </c>
      <c r="I199" s="50">
        <v>46161</v>
      </c>
      <c r="J199" s="14">
        <v>520.07473500000003</v>
      </c>
      <c r="K199" s="49" t="s">
        <v>311</v>
      </c>
      <c r="L199" s="12"/>
      <c r="M199" s="13"/>
      <c r="N199" s="12"/>
      <c r="O199" s="13"/>
      <c r="P199" s="12"/>
      <c r="Q199" s="13"/>
      <c r="R199" s="12"/>
      <c r="S199" s="13"/>
      <c r="T199" s="12"/>
      <c r="U199" s="13"/>
      <c r="V199" s="12"/>
      <c r="W199" s="13"/>
      <c r="X199" s="12"/>
      <c r="Y199" s="13"/>
      <c r="Z199" s="12"/>
      <c r="AA199" s="13"/>
      <c r="AB199" s="12"/>
      <c r="AC199" s="13"/>
      <c r="AD199" s="12"/>
      <c r="AE199" s="13"/>
      <c r="AF199" s="12"/>
      <c r="AG199" s="13"/>
      <c r="AH199" s="12"/>
      <c r="AI199" s="13"/>
      <c r="AJ199" s="12"/>
      <c r="AK199" s="13"/>
      <c r="AL199" s="12"/>
      <c r="AM199" s="13"/>
      <c r="AN199" s="12"/>
      <c r="AO199" s="13"/>
      <c r="AP199" s="12"/>
      <c r="AQ199" s="13"/>
      <c r="AR199" s="12">
        <v>0</v>
      </c>
      <c r="AS199" s="13"/>
      <c r="AT199" s="12">
        <v>0</v>
      </c>
      <c r="AU199" s="13">
        <v>0</v>
      </c>
      <c r="AV199" s="12">
        <v>0</v>
      </c>
      <c r="AW199" s="13">
        <v>0</v>
      </c>
      <c r="AX199" s="12">
        <v>0</v>
      </c>
      <c r="AY199" s="13">
        <v>0</v>
      </c>
      <c r="AZ199" s="12">
        <v>2.09</v>
      </c>
      <c r="BA199" s="39">
        <v>0</v>
      </c>
      <c r="BB199" s="12">
        <v>2.48</v>
      </c>
      <c r="BC199" s="39">
        <v>2.09</v>
      </c>
      <c r="BD199" s="12">
        <f t="shared" si="37"/>
        <v>4.57</v>
      </c>
      <c r="BE199" s="14">
        <f t="shared" si="38"/>
        <v>2.09</v>
      </c>
      <c r="BF199" s="24">
        <f t="shared" si="36"/>
        <v>0.45733041575492334</v>
      </c>
      <c r="BG199" s="23">
        <f t="shared" si="32"/>
        <v>4.0186532037554176E-3</v>
      </c>
    </row>
    <row r="200" spans="1:59" ht="18" customHeight="1" x14ac:dyDescent="0.2">
      <c r="A200" s="27" t="str">
        <f t="shared" si="35"/>
        <v>개인</v>
      </c>
      <c r="B200" s="27" t="s">
        <v>1488</v>
      </c>
      <c r="C200" s="27"/>
      <c r="D200" s="26">
        <v>1259602620</v>
      </c>
      <c r="E200" s="89">
        <v>10032743</v>
      </c>
      <c r="F200" s="25" t="s">
        <v>1606</v>
      </c>
      <c r="G200" s="48" t="s">
        <v>322</v>
      </c>
      <c r="H200" s="53" t="s">
        <v>1614</v>
      </c>
      <c r="I200" s="50"/>
      <c r="J200" s="14">
        <v>130.283894</v>
      </c>
      <c r="K200" s="49" t="s">
        <v>311</v>
      </c>
      <c r="L200" s="12"/>
      <c r="M200" s="13"/>
      <c r="N200" s="12"/>
      <c r="O200" s="13"/>
      <c r="P200" s="12"/>
      <c r="Q200" s="13"/>
      <c r="R200" s="12"/>
      <c r="S200" s="13"/>
      <c r="T200" s="12"/>
      <c r="U200" s="13"/>
      <c r="V200" s="12"/>
      <c r="W200" s="13"/>
      <c r="X200" s="12"/>
      <c r="Y200" s="13"/>
      <c r="Z200" s="12"/>
      <c r="AA200" s="13"/>
      <c r="AB200" s="12"/>
      <c r="AC200" s="13"/>
      <c r="AD200" s="12"/>
      <c r="AE200" s="13"/>
      <c r="AF200" s="12"/>
      <c r="AG200" s="13"/>
      <c r="AH200" s="12"/>
      <c r="AI200" s="13"/>
      <c r="AJ200" s="12"/>
      <c r="AK200" s="13"/>
      <c r="AL200" s="12"/>
      <c r="AM200" s="13"/>
      <c r="AN200" s="12"/>
      <c r="AO200" s="13"/>
      <c r="AP200" s="12"/>
      <c r="AQ200" s="13"/>
      <c r="AR200" s="12">
        <v>0</v>
      </c>
      <c r="AS200" s="13"/>
      <c r="AT200" s="12">
        <v>0</v>
      </c>
      <c r="AU200" s="13">
        <v>0</v>
      </c>
      <c r="AV200" s="12">
        <v>0</v>
      </c>
      <c r="AW200" s="13">
        <v>0</v>
      </c>
      <c r="AX200" s="12">
        <v>0</v>
      </c>
      <c r="AY200" s="13">
        <v>0</v>
      </c>
      <c r="AZ200" s="12">
        <v>0</v>
      </c>
      <c r="BA200" s="39">
        <v>0</v>
      </c>
      <c r="BB200" s="12">
        <v>2.7650000000000001</v>
      </c>
      <c r="BC200" s="39">
        <v>0</v>
      </c>
      <c r="BD200" s="12">
        <f t="shared" si="37"/>
        <v>2.7650000000000001</v>
      </c>
      <c r="BE200" s="14">
        <f t="shared" ref="BE200:BE205" si="39">SUM(AM200,AK200,AI200,AG200,AE200,AC200,AA200,Y200,W200,U200,S200,Q200,O200,M200,AO200,AQ200,AS200,AU200,AW200,AY200,BA200,BC200)</f>
        <v>0</v>
      </c>
      <c r="BF200" s="24">
        <f t="shared" ref="BF200:BF206" si="40">BE200/BD200</f>
        <v>0</v>
      </c>
      <c r="BG200" s="23">
        <f t="shared" ref="BG200:BG205" si="41">BE200/J200</f>
        <v>0</v>
      </c>
    </row>
    <row r="201" spans="1:59" ht="18" customHeight="1" x14ac:dyDescent="0.2">
      <c r="A201" s="27" t="str">
        <f t="shared" si="35"/>
        <v>법인</v>
      </c>
      <c r="B201" s="27" t="s">
        <v>1488</v>
      </c>
      <c r="C201" s="27"/>
      <c r="D201" s="26">
        <v>5058203342</v>
      </c>
      <c r="E201" s="89">
        <v>10039499</v>
      </c>
      <c r="F201" s="25" t="s">
        <v>1607</v>
      </c>
      <c r="G201" s="48" t="s">
        <v>322</v>
      </c>
      <c r="H201" s="53">
        <v>46204</v>
      </c>
      <c r="I201" s="50"/>
      <c r="J201" s="14">
        <v>338.16859799999997</v>
      </c>
      <c r="K201" s="49" t="s">
        <v>311</v>
      </c>
      <c r="L201" s="12"/>
      <c r="M201" s="13"/>
      <c r="N201" s="12"/>
      <c r="O201" s="13"/>
      <c r="P201" s="12"/>
      <c r="Q201" s="13"/>
      <c r="R201" s="12"/>
      <c r="S201" s="13"/>
      <c r="T201" s="12"/>
      <c r="U201" s="13"/>
      <c r="V201" s="12"/>
      <c r="W201" s="13"/>
      <c r="X201" s="12"/>
      <c r="Y201" s="13"/>
      <c r="Z201" s="12"/>
      <c r="AA201" s="13"/>
      <c r="AB201" s="12"/>
      <c r="AC201" s="13"/>
      <c r="AD201" s="12"/>
      <c r="AE201" s="13"/>
      <c r="AF201" s="12"/>
      <c r="AG201" s="13"/>
      <c r="AH201" s="12"/>
      <c r="AI201" s="13"/>
      <c r="AJ201" s="12"/>
      <c r="AK201" s="13"/>
      <c r="AL201" s="12"/>
      <c r="AM201" s="13"/>
      <c r="AN201" s="12"/>
      <c r="AO201" s="13"/>
      <c r="AP201" s="12"/>
      <c r="AQ201" s="13"/>
      <c r="AR201" s="12">
        <v>0</v>
      </c>
      <c r="AS201" s="13"/>
      <c r="AT201" s="12">
        <v>0</v>
      </c>
      <c r="AU201" s="13">
        <v>0</v>
      </c>
      <c r="AV201" s="12">
        <v>0</v>
      </c>
      <c r="AW201" s="13">
        <v>0</v>
      </c>
      <c r="AX201" s="12">
        <v>0</v>
      </c>
      <c r="AY201" s="13">
        <v>0</v>
      </c>
      <c r="AZ201" s="12">
        <v>0</v>
      </c>
      <c r="BA201" s="39">
        <v>0</v>
      </c>
      <c r="BB201" s="12">
        <v>0.76800000000000002</v>
      </c>
      <c r="BC201" s="39">
        <v>0</v>
      </c>
      <c r="BD201" s="12">
        <f t="shared" si="37"/>
        <v>0.76800000000000002</v>
      </c>
      <c r="BE201" s="14">
        <f t="shared" si="39"/>
        <v>0</v>
      </c>
      <c r="BF201" s="24">
        <f t="shared" si="40"/>
        <v>0</v>
      </c>
      <c r="BG201" s="23">
        <f t="shared" si="41"/>
        <v>0</v>
      </c>
    </row>
    <row r="202" spans="1:59" ht="18" customHeight="1" x14ac:dyDescent="0.2">
      <c r="A202" s="27" t="str">
        <f t="shared" si="35"/>
        <v>법인</v>
      </c>
      <c r="B202" s="27" t="s">
        <v>1488</v>
      </c>
      <c r="C202" s="27"/>
      <c r="D202" s="26">
        <v>6218211241</v>
      </c>
      <c r="E202" s="89">
        <v>10041846</v>
      </c>
      <c r="F202" s="25" t="s">
        <v>1608</v>
      </c>
      <c r="G202" s="48" t="s">
        <v>322</v>
      </c>
      <c r="H202" s="53">
        <v>46235</v>
      </c>
      <c r="I202" s="50"/>
      <c r="J202" s="14">
        <v>1198</v>
      </c>
      <c r="K202" s="49" t="s">
        <v>311</v>
      </c>
      <c r="L202" s="12"/>
      <c r="M202" s="13"/>
      <c r="N202" s="12"/>
      <c r="O202" s="13"/>
      <c r="P202" s="12"/>
      <c r="Q202" s="13"/>
      <c r="R202" s="12"/>
      <c r="S202" s="13"/>
      <c r="T202" s="12"/>
      <c r="U202" s="13"/>
      <c r="V202" s="12"/>
      <c r="W202" s="13"/>
      <c r="X202" s="12"/>
      <c r="Y202" s="13"/>
      <c r="Z202" s="12"/>
      <c r="AA202" s="13"/>
      <c r="AB202" s="12"/>
      <c r="AC202" s="13"/>
      <c r="AD202" s="12"/>
      <c r="AE202" s="13"/>
      <c r="AF202" s="12"/>
      <c r="AG202" s="13"/>
      <c r="AH202" s="12"/>
      <c r="AI202" s="13"/>
      <c r="AJ202" s="12"/>
      <c r="AK202" s="13"/>
      <c r="AL202" s="12"/>
      <c r="AM202" s="13"/>
      <c r="AN202" s="12"/>
      <c r="AO202" s="13"/>
      <c r="AP202" s="12"/>
      <c r="AQ202" s="13"/>
      <c r="AR202" s="12">
        <v>0</v>
      </c>
      <c r="AS202" s="13"/>
      <c r="AT202" s="12">
        <v>0</v>
      </c>
      <c r="AU202" s="13">
        <v>0</v>
      </c>
      <c r="AV202" s="12">
        <v>0</v>
      </c>
      <c r="AW202" s="13">
        <v>0</v>
      </c>
      <c r="AX202" s="12">
        <v>0</v>
      </c>
      <c r="AY202" s="13">
        <v>0</v>
      </c>
      <c r="AZ202" s="12">
        <v>0</v>
      </c>
      <c r="BA202" s="39">
        <v>0</v>
      </c>
      <c r="BB202" s="12">
        <v>3.5819999999999999</v>
      </c>
      <c r="BC202" s="39">
        <v>3.5819999999999999</v>
      </c>
      <c r="BD202" s="12">
        <f t="shared" si="37"/>
        <v>3.5819999999999999</v>
      </c>
      <c r="BE202" s="14">
        <f t="shared" si="39"/>
        <v>3.5819999999999999</v>
      </c>
      <c r="BF202" s="24">
        <f t="shared" si="40"/>
        <v>1</v>
      </c>
      <c r="BG202" s="23">
        <f t="shared" si="41"/>
        <v>2.9899833055091816E-3</v>
      </c>
    </row>
    <row r="203" spans="1:59" ht="18" customHeight="1" x14ac:dyDescent="0.2">
      <c r="A203" s="27" t="str">
        <f t="shared" si="35"/>
        <v>개인</v>
      </c>
      <c r="B203" s="27" t="s">
        <v>1488</v>
      </c>
      <c r="C203" s="27"/>
      <c r="D203" s="26">
        <v>3679701218</v>
      </c>
      <c r="E203" s="89">
        <v>10070076</v>
      </c>
      <c r="F203" s="25" t="s">
        <v>1609</v>
      </c>
      <c r="G203" s="48" t="s">
        <v>322</v>
      </c>
      <c r="H203" s="53" t="s">
        <v>1614</v>
      </c>
      <c r="I203" s="50"/>
      <c r="J203" s="14">
        <v>194.10585599999999</v>
      </c>
      <c r="K203" s="49" t="s">
        <v>311</v>
      </c>
      <c r="L203" s="12"/>
      <c r="M203" s="13"/>
      <c r="N203" s="12"/>
      <c r="O203" s="13"/>
      <c r="P203" s="12"/>
      <c r="Q203" s="13"/>
      <c r="R203" s="12"/>
      <c r="S203" s="13"/>
      <c r="T203" s="12"/>
      <c r="U203" s="13"/>
      <c r="V203" s="12"/>
      <c r="W203" s="13"/>
      <c r="X203" s="12"/>
      <c r="Y203" s="13"/>
      <c r="Z203" s="12"/>
      <c r="AA203" s="13"/>
      <c r="AB203" s="12"/>
      <c r="AC203" s="13"/>
      <c r="AD203" s="12"/>
      <c r="AE203" s="13"/>
      <c r="AF203" s="12"/>
      <c r="AG203" s="13"/>
      <c r="AH203" s="12"/>
      <c r="AI203" s="13"/>
      <c r="AJ203" s="12"/>
      <c r="AK203" s="13"/>
      <c r="AL203" s="12"/>
      <c r="AM203" s="13"/>
      <c r="AN203" s="12"/>
      <c r="AO203" s="13"/>
      <c r="AP203" s="12"/>
      <c r="AQ203" s="13"/>
      <c r="AR203" s="12">
        <v>0</v>
      </c>
      <c r="AS203" s="13"/>
      <c r="AT203" s="12">
        <v>0</v>
      </c>
      <c r="AU203" s="13">
        <v>0</v>
      </c>
      <c r="AV203" s="12">
        <v>0</v>
      </c>
      <c r="AW203" s="13">
        <v>0</v>
      </c>
      <c r="AX203" s="12">
        <v>0</v>
      </c>
      <c r="AY203" s="13">
        <v>0</v>
      </c>
      <c r="AZ203" s="12">
        <v>0</v>
      </c>
      <c r="BA203" s="39">
        <v>0</v>
      </c>
      <c r="BB203" s="12">
        <v>5.4080000000000004</v>
      </c>
      <c r="BC203" s="39">
        <v>0</v>
      </c>
      <c r="BD203" s="12">
        <f t="shared" si="37"/>
        <v>5.4080000000000004</v>
      </c>
      <c r="BE203" s="14">
        <f t="shared" si="39"/>
        <v>0</v>
      </c>
      <c r="BF203" s="24">
        <f t="shared" si="40"/>
        <v>0</v>
      </c>
      <c r="BG203" s="23">
        <f t="shared" si="41"/>
        <v>0</v>
      </c>
    </row>
    <row r="204" spans="1:59" ht="18" customHeight="1" x14ac:dyDescent="0.2">
      <c r="A204" s="27" t="str">
        <f t="shared" si="35"/>
        <v>개인</v>
      </c>
      <c r="B204" s="27" t="s">
        <v>1488</v>
      </c>
      <c r="C204" s="27"/>
      <c r="D204" s="26">
        <v>1189405853</v>
      </c>
      <c r="E204" s="89">
        <v>10073449</v>
      </c>
      <c r="F204" s="25" t="s">
        <v>1610</v>
      </c>
      <c r="G204" s="48" t="s">
        <v>322</v>
      </c>
      <c r="H204" s="53">
        <v>46234</v>
      </c>
      <c r="I204" s="50"/>
      <c r="J204" s="14">
        <v>645.05694400000004</v>
      </c>
      <c r="K204" s="49" t="s">
        <v>311</v>
      </c>
      <c r="L204" s="12"/>
      <c r="M204" s="13"/>
      <c r="N204" s="12"/>
      <c r="O204" s="13"/>
      <c r="P204" s="12"/>
      <c r="Q204" s="13"/>
      <c r="R204" s="12"/>
      <c r="S204" s="13"/>
      <c r="T204" s="12"/>
      <c r="U204" s="13"/>
      <c r="V204" s="12"/>
      <c r="W204" s="13"/>
      <c r="X204" s="12"/>
      <c r="Y204" s="13"/>
      <c r="Z204" s="12"/>
      <c r="AA204" s="13"/>
      <c r="AB204" s="12"/>
      <c r="AC204" s="13"/>
      <c r="AD204" s="12"/>
      <c r="AE204" s="13"/>
      <c r="AF204" s="12"/>
      <c r="AG204" s="13"/>
      <c r="AH204" s="12"/>
      <c r="AI204" s="13"/>
      <c r="AJ204" s="12"/>
      <c r="AK204" s="13"/>
      <c r="AL204" s="12"/>
      <c r="AM204" s="13"/>
      <c r="AN204" s="12"/>
      <c r="AO204" s="13"/>
      <c r="AP204" s="12"/>
      <c r="AQ204" s="13"/>
      <c r="AR204" s="12">
        <v>0</v>
      </c>
      <c r="AS204" s="13"/>
      <c r="AT204" s="12">
        <v>0</v>
      </c>
      <c r="AU204" s="13">
        <v>0</v>
      </c>
      <c r="AV204" s="12">
        <v>0</v>
      </c>
      <c r="AW204" s="13">
        <v>0</v>
      </c>
      <c r="AX204" s="12">
        <v>0</v>
      </c>
      <c r="AY204" s="13">
        <v>0</v>
      </c>
      <c r="AZ204" s="12">
        <v>0</v>
      </c>
      <c r="BA204" s="39">
        <v>0</v>
      </c>
      <c r="BB204" s="12">
        <v>12.311</v>
      </c>
      <c r="BC204" s="39">
        <v>0</v>
      </c>
      <c r="BD204" s="12">
        <f t="shared" si="37"/>
        <v>12.311</v>
      </c>
      <c r="BE204" s="14">
        <f t="shared" si="39"/>
        <v>0</v>
      </c>
      <c r="BF204" s="24">
        <f t="shared" si="40"/>
        <v>0</v>
      </c>
      <c r="BG204" s="23">
        <f t="shared" si="41"/>
        <v>0</v>
      </c>
    </row>
    <row r="205" spans="1:59" ht="18" customHeight="1" x14ac:dyDescent="0.2">
      <c r="A205" s="27" t="str">
        <f t="shared" si="35"/>
        <v>개인</v>
      </c>
      <c r="B205" s="27" t="s">
        <v>1488</v>
      </c>
      <c r="C205" s="27"/>
      <c r="D205" s="26">
        <v>2169200124</v>
      </c>
      <c r="E205" s="89">
        <v>10092010</v>
      </c>
      <c r="F205" s="25" t="s">
        <v>1611</v>
      </c>
      <c r="G205" s="48" t="s">
        <v>322</v>
      </c>
      <c r="H205" s="53" t="s">
        <v>1615</v>
      </c>
      <c r="I205" s="50"/>
      <c r="J205" s="14">
        <v>362.80316800000003</v>
      </c>
      <c r="K205" s="49" t="s">
        <v>311</v>
      </c>
      <c r="L205" s="12"/>
      <c r="M205" s="13"/>
      <c r="N205" s="12"/>
      <c r="O205" s="13"/>
      <c r="P205" s="12"/>
      <c r="Q205" s="13"/>
      <c r="R205" s="12"/>
      <c r="S205" s="13"/>
      <c r="T205" s="12"/>
      <c r="U205" s="13"/>
      <c r="V205" s="12"/>
      <c r="W205" s="13"/>
      <c r="X205" s="12"/>
      <c r="Y205" s="13"/>
      <c r="Z205" s="12"/>
      <c r="AA205" s="13"/>
      <c r="AB205" s="12"/>
      <c r="AC205" s="13"/>
      <c r="AD205" s="12"/>
      <c r="AE205" s="13"/>
      <c r="AF205" s="12"/>
      <c r="AG205" s="13"/>
      <c r="AH205" s="12"/>
      <c r="AI205" s="13"/>
      <c r="AJ205" s="12"/>
      <c r="AK205" s="13"/>
      <c r="AL205" s="12"/>
      <c r="AM205" s="13"/>
      <c r="AN205" s="12"/>
      <c r="AO205" s="13"/>
      <c r="AP205" s="12"/>
      <c r="AQ205" s="13"/>
      <c r="AR205" s="12">
        <v>0</v>
      </c>
      <c r="AS205" s="13"/>
      <c r="AT205" s="12">
        <v>0</v>
      </c>
      <c r="AU205" s="13">
        <v>0</v>
      </c>
      <c r="AV205" s="12">
        <v>0</v>
      </c>
      <c r="AW205" s="13">
        <v>0</v>
      </c>
      <c r="AX205" s="12">
        <v>0</v>
      </c>
      <c r="AY205" s="13">
        <v>0</v>
      </c>
      <c r="AZ205" s="12">
        <v>0</v>
      </c>
      <c r="BA205" s="39">
        <v>0</v>
      </c>
      <c r="BB205" s="12">
        <v>6.5650000000000004</v>
      </c>
      <c r="BC205" s="39">
        <v>0</v>
      </c>
      <c r="BD205" s="12">
        <f t="shared" si="37"/>
        <v>6.5650000000000004</v>
      </c>
      <c r="BE205" s="14">
        <f t="shared" si="39"/>
        <v>0</v>
      </c>
      <c r="BF205" s="24">
        <f t="shared" si="40"/>
        <v>0</v>
      </c>
      <c r="BG205" s="23">
        <f t="shared" si="41"/>
        <v>0</v>
      </c>
    </row>
    <row r="206" spans="1:59" ht="18" customHeight="1" x14ac:dyDescent="0.2">
      <c r="A206" s="27" t="str">
        <f t="shared" ref="A206" si="42">IF(MID(D206,4,1)="8","법인","개인")</f>
        <v>개인</v>
      </c>
      <c r="B206" s="27" t="s">
        <v>1488</v>
      </c>
      <c r="C206" s="27"/>
      <c r="D206" s="26">
        <v>7469800874</v>
      </c>
      <c r="E206" s="89">
        <v>10055464</v>
      </c>
      <c r="F206" s="25" t="s">
        <v>1613</v>
      </c>
      <c r="G206" s="48" t="s">
        <v>321</v>
      </c>
      <c r="H206" s="53">
        <v>46268</v>
      </c>
      <c r="I206" s="50"/>
      <c r="J206" s="14">
        <v>177.40620000000001</v>
      </c>
      <c r="K206" s="49" t="s">
        <v>311</v>
      </c>
      <c r="L206" s="12"/>
      <c r="M206" s="13"/>
      <c r="N206" s="12"/>
      <c r="O206" s="13"/>
      <c r="P206" s="12"/>
      <c r="Q206" s="13"/>
      <c r="R206" s="12"/>
      <c r="S206" s="13"/>
      <c r="T206" s="12"/>
      <c r="U206" s="13"/>
      <c r="V206" s="12"/>
      <c r="W206" s="13"/>
      <c r="X206" s="12"/>
      <c r="Y206" s="13"/>
      <c r="Z206" s="12"/>
      <c r="AA206" s="13"/>
      <c r="AB206" s="12"/>
      <c r="AC206" s="13"/>
      <c r="AD206" s="12"/>
      <c r="AE206" s="13"/>
      <c r="AF206" s="12"/>
      <c r="AG206" s="13"/>
      <c r="AH206" s="12"/>
      <c r="AI206" s="13"/>
      <c r="AJ206" s="12"/>
      <c r="AK206" s="13"/>
      <c r="AL206" s="12"/>
      <c r="AM206" s="13"/>
      <c r="AN206" s="12"/>
      <c r="AO206" s="13"/>
      <c r="AP206" s="12"/>
      <c r="AQ206" s="13"/>
      <c r="AR206" s="12"/>
      <c r="AS206" s="13"/>
      <c r="AT206" s="12"/>
      <c r="AU206" s="13"/>
      <c r="AV206" s="12"/>
      <c r="AW206" s="13"/>
      <c r="AX206" s="12"/>
      <c r="AY206" s="13"/>
      <c r="AZ206" s="12"/>
      <c r="BA206" s="39"/>
      <c r="BB206" s="12">
        <v>0</v>
      </c>
      <c r="BC206" s="39">
        <v>59.135399999999997</v>
      </c>
      <c r="BD206" s="12">
        <f t="shared" si="37"/>
        <v>0</v>
      </c>
      <c r="BE206" s="14">
        <f t="shared" ref="BE206" si="43">SUM(AM206,AK206,AI206,AG206,AE206,AC206,AA206,Y206,W206,U206,S206,Q206,O206,M206,AO206,AQ206,AS206,AU206,AW206,AY206,BA206,BC206)</f>
        <v>59.135399999999997</v>
      </c>
      <c r="BF206" s="24" t="e">
        <f t="shared" si="40"/>
        <v>#DIV/0!</v>
      </c>
      <c r="BG206" s="23">
        <f t="shared" ref="BG206" si="44">BE206/J206</f>
        <v>0.33333333333333331</v>
      </c>
    </row>
    <row r="207" spans="1:59" s="19" customFormat="1" ht="18" customHeight="1" thickBot="1" x14ac:dyDescent="0.25">
      <c r="A207" s="160" t="s">
        <v>333</v>
      </c>
      <c r="B207" s="160"/>
      <c r="C207" s="160"/>
      <c r="D207" s="160"/>
      <c r="E207" s="160"/>
      <c r="F207" s="160"/>
      <c r="G207" s="55"/>
      <c r="H207" s="32"/>
      <c r="I207" s="32"/>
      <c r="J207" s="56">
        <f>SUM(J5:J199)</f>
        <v>129081.75479699997</v>
      </c>
      <c r="K207" s="57"/>
      <c r="L207" s="16">
        <f>SUM(L5:L82)</f>
        <v>673.12734999999998</v>
      </c>
      <c r="M207" s="17">
        <f>SUM(M5:M82)</f>
        <v>0</v>
      </c>
      <c r="N207" s="16">
        <f>SUM(N5:N82)</f>
        <v>532.27050000000008</v>
      </c>
      <c r="O207" s="17">
        <f>SUM(O5:O82)</f>
        <v>0</v>
      </c>
      <c r="P207" s="16">
        <f>SUM(P5:P82)</f>
        <v>215.12719000000001</v>
      </c>
      <c r="Q207" s="17">
        <f t="shared" ref="Q207:AK207" si="45">SUM(Q5:Q104)</f>
        <v>320.69124999999997</v>
      </c>
      <c r="R207" s="16">
        <f t="shared" si="45"/>
        <v>1225.0724580000001</v>
      </c>
      <c r="S207" s="17">
        <f t="shared" si="45"/>
        <v>704.90300000000002</v>
      </c>
      <c r="T207" s="16">
        <f t="shared" si="45"/>
        <v>606.73</v>
      </c>
      <c r="U207" s="17">
        <f t="shared" si="45"/>
        <v>581.8741</v>
      </c>
      <c r="V207" s="16">
        <f t="shared" si="45"/>
        <v>1039.4039991</v>
      </c>
      <c r="W207" s="17">
        <f t="shared" si="45"/>
        <v>214.55919</v>
      </c>
      <c r="X207" s="16">
        <f t="shared" si="45"/>
        <v>164.16300000000001</v>
      </c>
      <c r="Y207" s="17">
        <f t="shared" si="45"/>
        <v>417.50445769999999</v>
      </c>
      <c r="Z207" s="16">
        <f t="shared" si="45"/>
        <v>463.67399999999998</v>
      </c>
      <c r="AA207" s="17">
        <f t="shared" si="45"/>
        <v>87.297499999999999</v>
      </c>
      <c r="AB207" s="16">
        <f t="shared" si="45"/>
        <v>808.18</v>
      </c>
      <c r="AC207" s="17">
        <f t="shared" si="45"/>
        <v>1511.5219999999999</v>
      </c>
      <c r="AD207" s="16">
        <f t="shared" si="45"/>
        <v>1104.3678</v>
      </c>
      <c r="AE207" s="17">
        <f t="shared" si="45"/>
        <v>899.20550000000003</v>
      </c>
      <c r="AF207" s="16">
        <f t="shared" si="45"/>
        <v>464.53359979999999</v>
      </c>
      <c r="AG207" s="17">
        <f t="shared" si="45"/>
        <v>220.24349999999998</v>
      </c>
      <c r="AH207" s="16">
        <f t="shared" si="45"/>
        <v>1109.3552002000001</v>
      </c>
      <c r="AI207" s="17">
        <f t="shared" si="45"/>
        <v>1043.2405000000001</v>
      </c>
      <c r="AJ207" s="16">
        <f t="shared" si="45"/>
        <v>983.08747059999996</v>
      </c>
      <c r="AK207" s="17">
        <f t="shared" si="45"/>
        <v>1168.9803999999999</v>
      </c>
      <c r="AL207" s="16">
        <f t="shared" ref="AL207:AQ207" si="46">SUM(AL5:AL140)</f>
        <v>1578.8147000000004</v>
      </c>
      <c r="AM207" s="17">
        <f t="shared" si="46"/>
        <v>884.69970000000012</v>
      </c>
      <c r="AN207" s="16">
        <f t="shared" si="46"/>
        <v>1418.7042519999998</v>
      </c>
      <c r="AO207" s="17">
        <f t="shared" si="46"/>
        <v>1350.3023700000001</v>
      </c>
      <c r="AP207" s="16">
        <f t="shared" si="46"/>
        <v>1790.1117910000003</v>
      </c>
      <c r="AQ207" s="17">
        <f t="shared" si="46"/>
        <v>1393.9105220000004</v>
      </c>
      <c r="AR207" s="16">
        <f>SUM(AR5:AR148)</f>
        <v>1534.6222200000011</v>
      </c>
      <c r="AS207" s="17">
        <f t="shared" ref="AS207" si="47">SUM(AS5:AS140)</f>
        <v>1217.3753907</v>
      </c>
      <c r="AT207" s="16">
        <f>SUM(AT5:AT166)</f>
        <v>1810.636052000001</v>
      </c>
      <c r="AU207" s="17">
        <f>SUM(AU5:AU148)</f>
        <v>1971.1279040000004</v>
      </c>
      <c r="AV207" s="16">
        <f>SUM(AV5:AV181)</f>
        <v>2277.6728850000009</v>
      </c>
      <c r="AW207" s="17">
        <f>SUM(AW5:AW181)</f>
        <v>1612.6755502000012</v>
      </c>
      <c r="AX207" s="16">
        <f>SUM(AX5:AX191)</f>
        <v>2532.9534740000008</v>
      </c>
      <c r="AY207" s="17">
        <f>SUM(AY5:AY191)</f>
        <v>2504.9697069999997</v>
      </c>
      <c r="AZ207" s="16">
        <f t="shared" ref="AZ207:BA207" si="48">SUM(AZ5:AZ199)</f>
        <v>2349.5744420000001</v>
      </c>
      <c r="BA207" s="17">
        <f t="shared" si="48"/>
        <v>2671.4636909999999</v>
      </c>
      <c r="BB207" s="16">
        <f>SUM(BB5:BB205)</f>
        <v>2415.099377</v>
      </c>
      <c r="BC207" s="17">
        <f>SUM(BC5:BC206)</f>
        <v>2382.6851340000012</v>
      </c>
      <c r="BD207" s="16">
        <f>SUM(BD5:BD206)</f>
        <v>27097.281760699985</v>
      </c>
      <c r="BE207" s="18">
        <f>SUM(BE5:BE206)</f>
        <v>23159.231366599983</v>
      </c>
      <c r="BF207" s="22">
        <f t="shared" si="9"/>
        <v>0.85466991010841986</v>
      </c>
      <c r="BG207" s="21">
        <f t="shared" si="32"/>
        <v>0.17941521947095682</v>
      </c>
    </row>
    <row r="208" spans="1:59" x14ac:dyDescent="0.2">
      <c r="AZ208" s="154"/>
      <c r="BA208" s="154"/>
    </row>
    <row r="209" spans="1:59" x14ac:dyDescent="0.2">
      <c r="J209" s="37">
        <f>J41/36</f>
        <v>40.944444444444443</v>
      </c>
    </row>
    <row r="211" spans="1:59" x14ac:dyDescent="0.2">
      <c r="A211" s="36"/>
      <c r="B211" s="36"/>
      <c r="C211" s="36"/>
      <c r="D211" s="36"/>
      <c r="E211" s="36"/>
      <c r="F211" s="35"/>
      <c r="G211" s="36"/>
      <c r="H211" s="36"/>
      <c r="I211" s="36"/>
      <c r="J211" s="35"/>
      <c r="K211" s="36"/>
      <c r="L211" s="19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/>
      <c r="AE211" s="19"/>
      <c r="AF211" s="19"/>
      <c r="AG211" s="19"/>
      <c r="AH211" s="19"/>
      <c r="AI211" s="19"/>
      <c r="AJ211" s="19"/>
      <c r="AK211" s="19"/>
      <c r="AL211" s="19"/>
      <c r="AM211" s="19"/>
      <c r="AN211" s="19"/>
      <c r="AO211" s="19"/>
      <c r="AP211" s="19"/>
      <c r="AQ211" s="19"/>
      <c r="AR211" s="19"/>
      <c r="AS211" s="19"/>
      <c r="AT211" s="19"/>
      <c r="AU211" s="19"/>
      <c r="AV211" s="19"/>
      <c r="AW211" s="19"/>
      <c r="AX211" s="19"/>
      <c r="AY211" s="19"/>
      <c r="AZ211" s="19"/>
      <c r="BA211" s="19"/>
      <c r="BB211" s="19"/>
      <c r="BC211" s="19"/>
      <c r="BD211" s="19"/>
      <c r="BE211" s="35"/>
      <c r="BF211" s="35"/>
      <c r="BG211" s="19"/>
    </row>
    <row r="212" spans="1:59" x14ac:dyDescent="0.2">
      <c r="A212" s="36"/>
      <c r="B212" s="36"/>
      <c r="C212" s="36"/>
      <c r="D212" s="36"/>
      <c r="E212" s="36"/>
      <c r="F212" s="35"/>
      <c r="G212" s="36"/>
      <c r="H212" s="36"/>
      <c r="I212" s="36"/>
      <c r="J212" s="35"/>
      <c r="K212" s="36"/>
      <c r="L212" s="19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/>
      <c r="AE212" s="19"/>
      <c r="AF212" s="19"/>
      <c r="AG212" s="19"/>
      <c r="AH212" s="19"/>
      <c r="AI212" s="19"/>
      <c r="AJ212" s="19"/>
      <c r="AK212" s="19"/>
      <c r="AL212" s="19"/>
      <c r="AM212" s="19"/>
      <c r="AN212" s="19"/>
      <c r="AO212" s="19"/>
      <c r="AP212" s="19"/>
      <c r="AQ212" s="19"/>
      <c r="AR212" s="19"/>
      <c r="AS212" s="19"/>
      <c r="AT212" s="19"/>
      <c r="AU212" s="19"/>
      <c r="AV212" s="19"/>
      <c r="AW212" s="19"/>
      <c r="AX212" s="19"/>
      <c r="AY212" s="19"/>
      <c r="AZ212" s="19"/>
      <c r="BA212" s="155"/>
      <c r="BB212" s="19"/>
      <c r="BC212" s="155"/>
      <c r="BD212" s="19"/>
      <c r="BE212" s="35"/>
      <c r="BF212" s="35"/>
      <c r="BG212" s="19"/>
    </row>
    <row r="213" spans="1:59" hidden="1" x14ac:dyDescent="0.2">
      <c r="A213" s="36"/>
      <c r="B213" s="36"/>
      <c r="C213" s="36"/>
      <c r="D213" s="36"/>
      <c r="E213" s="36"/>
      <c r="F213" s="35"/>
      <c r="G213" s="36"/>
      <c r="H213" s="36"/>
      <c r="I213" s="36"/>
      <c r="J213" s="35"/>
      <c r="K213" s="36"/>
      <c r="L213" s="19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/>
      <c r="AE213" s="19"/>
      <c r="AF213" s="19"/>
      <c r="AG213" s="19"/>
      <c r="AH213" s="19"/>
      <c r="AI213" s="19"/>
      <c r="AJ213" s="19"/>
      <c r="AK213" s="19"/>
      <c r="AL213" s="19"/>
      <c r="AM213" s="19"/>
      <c r="AN213" s="19"/>
      <c r="AO213" s="19"/>
      <c r="AP213" s="19"/>
      <c r="AQ213" s="19"/>
      <c r="AR213" s="19"/>
      <c r="AS213" s="19"/>
      <c r="AT213" s="19"/>
      <c r="AU213" s="19"/>
      <c r="AV213" s="19"/>
      <c r="AW213" s="19"/>
      <c r="AX213" s="19"/>
      <c r="AY213" s="19"/>
      <c r="AZ213" s="19"/>
      <c r="BA213" s="19"/>
      <c r="BB213" s="19"/>
      <c r="BC213" s="19"/>
      <c r="BD213" s="19"/>
      <c r="BE213" s="35"/>
      <c r="BF213" s="35"/>
      <c r="BG213" s="19"/>
    </row>
    <row r="214" spans="1:59" hidden="1" x14ac:dyDescent="0.2">
      <c r="A214" s="36"/>
      <c r="B214" s="36"/>
      <c r="C214" s="36"/>
      <c r="D214" s="36"/>
      <c r="E214" s="36"/>
      <c r="F214" s="35"/>
      <c r="G214" s="36"/>
      <c r="H214" s="36"/>
      <c r="I214" s="36"/>
      <c r="J214" s="35"/>
      <c r="K214" s="36"/>
      <c r="L214" s="19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/>
      <c r="AE214" s="19"/>
      <c r="AF214" s="19"/>
      <c r="AG214" s="19"/>
      <c r="AH214" s="19"/>
      <c r="AI214" s="19"/>
      <c r="AJ214" s="19"/>
      <c r="AK214" s="19"/>
      <c r="AL214" s="19"/>
      <c r="AM214" s="19"/>
      <c r="AN214" s="19"/>
      <c r="AO214" s="19"/>
      <c r="AP214" s="19"/>
      <c r="AQ214" s="19"/>
      <c r="AR214" s="19"/>
      <c r="AS214" s="19"/>
      <c r="AT214" s="19"/>
      <c r="AU214" s="19"/>
      <c r="AV214" s="19"/>
      <c r="AW214" s="19"/>
      <c r="AX214" s="19"/>
      <c r="AY214" s="19"/>
      <c r="AZ214" s="19"/>
      <c r="BA214" s="19"/>
      <c r="BB214" s="19"/>
      <c r="BC214" s="19"/>
      <c r="BD214" s="19"/>
      <c r="BE214" s="35"/>
      <c r="BF214" s="35"/>
      <c r="BG214" s="19"/>
    </row>
    <row r="215" spans="1:59" hidden="1" x14ac:dyDescent="0.2">
      <c r="A215" s="36"/>
      <c r="B215" s="36"/>
      <c r="C215" s="36"/>
      <c r="D215" s="36"/>
      <c r="E215" s="36"/>
      <c r="F215" s="35"/>
      <c r="G215" s="36"/>
      <c r="H215" s="36"/>
      <c r="I215" s="36"/>
      <c r="J215" s="35"/>
      <c r="K215" s="36"/>
      <c r="L215" s="19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19"/>
      <c r="AJ215" s="19"/>
      <c r="AK215" s="19"/>
      <c r="AL215" s="19"/>
      <c r="AM215" s="19"/>
      <c r="AN215" s="19"/>
      <c r="AO215" s="19"/>
      <c r="AP215" s="19"/>
      <c r="AQ215" s="19"/>
      <c r="AR215" s="19"/>
      <c r="AS215" s="19"/>
      <c r="AT215" s="19"/>
      <c r="AU215" s="19"/>
      <c r="AV215" s="19"/>
      <c r="AW215" s="19"/>
      <c r="AX215" s="19"/>
      <c r="AY215" s="19"/>
      <c r="AZ215" s="19"/>
      <c r="BA215" s="19"/>
      <c r="BB215" s="19"/>
      <c r="BC215" s="19"/>
      <c r="BD215" s="19"/>
      <c r="BE215" s="35"/>
      <c r="BF215" s="35"/>
      <c r="BG215" s="19"/>
    </row>
    <row r="216" spans="1:59" ht="15.75" hidden="1" thickBot="1" x14ac:dyDescent="0.25">
      <c r="A216" s="36"/>
      <c r="B216" s="36"/>
      <c r="C216" s="36"/>
      <c r="D216" s="36"/>
      <c r="E216" s="36"/>
      <c r="F216" s="164"/>
      <c r="G216" s="165"/>
      <c r="H216" s="36"/>
      <c r="I216" s="36"/>
      <c r="J216" s="35"/>
      <c r="K216" s="36">
        <v>1250330000</v>
      </c>
      <c r="L216" s="19"/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19"/>
      <c r="AJ216" s="19"/>
      <c r="AK216" s="19"/>
      <c r="AL216" s="19"/>
      <c r="AM216" s="19"/>
      <c r="AN216" s="19"/>
      <c r="AO216" s="19"/>
      <c r="AP216" s="19"/>
      <c r="AQ216" s="19"/>
      <c r="AR216" s="19"/>
      <c r="AS216" s="19"/>
      <c r="AT216" s="19"/>
      <c r="AU216" s="19"/>
      <c r="AV216" s="19"/>
      <c r="AW216" s="19"/>
      <c r="AX216" s="19"/>
      <c r="AY216" s="19"/>
      <c r="AZ216" s="19"/>
      <c r="BA216" s="19"/>
      <c r="BB216" s="19"/>
      <c r="BC216" s="19"/>
      <c r="BD216" s="19"/>
      <c r="BE216" s="35"/>
      <c r="BF216" s="35"/>
      <c r="BG216" s="19"/>
    </row>
    <row r="217" spans="1:59" ht="34.9" hidden="1" customHeight="1" thickBot="1" x14ac:dyDescent="0.25">
      <c r="A217" s="36"/>
      <c r="B217" s="36"/>
      <c r="C217" s="36"/>
      <c r="D217" s="58" t="s">
        <v>327</v>
      </c>
      <c r="E217" s="58"/>
      <c r="F217" s="164"/>
      <c r="G217" s="165"/>
      <c r="H217" s="59" t="s">
        <v>319</v>
      </c>
      <c r="I217" s="59">
        <v>35</v>
      </c>
      <c r="J217" s="59">
        <v>45803</v>
      </c>
      <c r="K217" s="60">
        <v>203000000</v>
      </c>
      <c r="L217" s="61"/>
      <c r="M217" s="62">
        <v>203000000</v>
      </c>
      <c r="N217" s="63">
        <v>0</v>
      </c>
      <c r="O217" s="64" t="s">
        <v>328</v>
      </c>
      <c r="P217" s="61"/>
      <c r="Q217" s="65">
        <v>45808</v>
      </c>
      <c r="R217" s="66">
        <v>45898</v>
      </c>
      <c r="S217" s="64" t="s">
        <v>329</v>
      </c>
      <c r="T217" s="168"/>
      <c r="U217" s="169"/>
      <c r="V217" s="169"/>
      <c r="W217" s="169"/>
      <c r="X217" s="169"/>
      <c r="Y217" s="169"/>
      <c r="Z217" s="169"/>
      <c r="AA217" s="169"/>
      <c r="AB217" s="19"/>
      <c r="AC217" s="19"/>
      <c r="AD217" s="19"/>
      <c r="AE217" s="19"/>
      <c r="AF217" s="19"/>
      <c r="AG217" s="19"/>
      <c r="AH217" s="19"/>
      <c r="AI217" s="19"/>
      <c r="AJ217" s="19"/>
      <c r="AK217" s="19"/>
      <c r="AL217" s="19"/>
      <c r="AM217" s="19"/>
      <c r="AN217" s="19"/>
      <c r="AO217" s="19"/>
      <c r="AP217" s="19"/>
      <c r="AQ217" s="19"/>
      <c r="AR217" s="19"/>
      <c r="AS217" s="19"/>
      <c r="AT217" s="19"/>
      <c r="AU217" s="19"/>
      <c r="AV217" s="19"/>
      <c r="AW217" s="19"/>
      <c r="AX217" s="19"/>
      <c r="AY217" s="19"/>
      <c r="AZ217" s="19"/>
      <c r="BA217" s="19"/>
      <c r="BB217" s="19"/>
      <c r="BC217" s="19"/>
      <c r="BD217" s="19"/>
      <c r="BE217" s="35"/>
      <c r="BF217" s="35"/>
      <c r="BG217" s="19"/>
    </row>
    <row r="218" spans="1:59" ht="15.75" hidden="1" thickBot="1" x14ac:dyDescent="0.25">
      <c r="A218" s="36"/>
      <c r="B218" s="36"/>
      <c r="C218" s="36"/>
      <c r="D218" s="58" t="s">
        <v>330</v>
      </c>
      <c r="E218" s="58"/>
      <c r="F218" s="164"/>
      <c r="G218" s="165"/>
      <c r="H218" s="59" t="s">
        <v>321</v>
      </c>
      <c r="I218" s="59">
        <v>30</v>
      </c>
      <c r="J218" s="59">
        <v>45804</v>
      </c>
      <c r="K218" s="60">
        <v>195000000</v>
      </c>
      <c r="L218" s="67">
        <v>195000000</v>
      </c>
      <c r="M218" s="63">
        <v>0</v>
      </c>
      <c r="N218" s="67">
        <v>1</v>
      </c>
      <c r="O218" s="68" t="s">
        <v>324</v>
      </c>
      <c r="P218" s="61"/>
      <c r="Q218" s="65">
        <v>45805</v>
      </c>
      <c r="R218" s="66">
        <v>45895</v>
      </c>
      <c r="S218" s="69" t="s">
        <v>325</v>
      </c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19"/>
      <c r="AJ218" s="19"/>
      <c r="AK218" s="19"/>
      <c r="AL218" s="19"/>
      <c r="AM218" s="19"/>
      <c r="AN218" s="19"/>
      <c r="AO218" s="19"/>
      <c r="AP218" s="19"/>
      <c r="AQ218" s="19"/>
      <c r="AR218" s="19"/>
      <c r="AS218" s="19"/>
      <c r="AT218" s="19"/>
      <c r="AU218" s="19"/>
      <c r="AV218" s="19"/>
      <c r="AW218" s="19"/>
      <c r="AX218" s="19"/>
      <c r="AY218" s="19"/>
      <c r="AZ218" s="19"/>
      <c r="BA218" s="19"/>
      <c r="BB218" s="19"/>
      <c r="BC218" s="19"/>
      <c r="BD218" s="19"/>
      <c r="BE218" s="35"/>
      <c r="BF218" s="35"/>
      <c r="BG218" s="19"/>
    </row>
    <row r="219" spans="1:59" ht="34.9" hidden="1" customHeight="1" thickBot="1" x14ac:dyDescent="0.25">
      <c r="A219" s="36"/>
      <c r="B219" s="36"/>
      <c r="C219" s="36"/>
      <c r="D219" s="58" t="s">
        <v>330</v>
      </c>
      <c r="E219" s="58"/>
      <c r="F219" s="164"/>
      <c r="G219" s="165"/>
      <c r="H219" s="59" t="s">
        <v>321</v>
      </c>
      <c r="I219" s="59">
        <v>20</v>
      </c>
      <c r="J219" s="59">
        <v>45895</v>
      </c>
      <c r="K219" s="60">
        <v>120141000</v>
      </c>
      <c r="L219" s="61"/>
      <c r="M219" s="62">
        <v>120141000</v>
      </c>
      <c r="N219" s="63">
        <v>0</v>
      </c>
      <c r="O219" s="64" t="s">
        <v>328</v>
      </c>
      <c r="P219" s="61"/>
      <c r="Q219" s="65">
        <v>45900</v>
      </c>
      <c r="R219" s="66">
        <v>45990</v>
      </c>
      <c r="S219" s="64" t="s">
        <v>329</v>
      </c>
      <c r="T219" s="168"/>
      <c r="U219" s="169"/>
      <c r="V219" s="169"/>
      <c r="W219" s="169"/>
      <c r="X219" s="169"/>
      <c r="Y219" s="169"/>
      <c r="Z219" s="169"/>
      <c r="AA219" s="169"/>
      <c r="AB219" s="19"/>
      <c r="AC219" s="19"/>
      <c r="AD219" s="19"/>
      <c r="AE219" s="19"/>
      <c r="AF219" s="19"/>
      <c r="AG219" s="19"/>
      <c r="AH219" s="19"/>
      <c r="AI219" s="19"/>
      <c r="AJ219" s="19"/>
      <c r="AK219" s="19"/>
      <c r="AL219" s="19"/>
      <c r="AM219" s="19"/>
      <c r="AN219" s="19"/>
      <c r="AO219" s="19"/>
      <c r="AP219" s="19"/>
      <c r="AQ219" s="19"/>
      <c r="AR219" s="19"/>
      <c r="AS219" s="19"/>
      <c r="AT219" s="19"/>
      <c r="AU219" s="19"/>
      <c r="AV219" s="19"/>
      <c r="AW219" s="19"/>
      <c r="AX219" s="19"/>
      <c r="AY219" s="19"/>
      <c r="AZ219" s="19"/>
      <c r="BA219" s="19"/>
      <c r="BB219" s="19"/>
      <c r="BC219" s="19"/>
      <c r="BD219" s="19"/>
      <c r="BE219" s="35"/>
      <c r="BF219" s="35"/>
      <c r="BG219" s="19"/>
    </row>
    <row r="220" spans="1:59" ht="34.9" hidden="1" customHeight="1" thickBot="1" x14ac:dyDescent="0.25">
      <c r="A220" s="36"/>
      <c r="B220" s="36"/>
      <c r="C220" s="36"/>
      <c r="D220" s="58" t="s">
        <v>327</v>
      </c>
      <c r="E220" s="58"/>
      <c r="F220" s="164"/>
      <c r="G220" s="165"/>
      <c r="H220" s="59" t="s">
        <v>320</v>
      </c>
      <c r="I220" s="59">
        <v>2</v>
      </c>
      <c r="J220" s="59">
        <v>45930</v>
      </c>
      <c r="K220" s="60">
        <v>14435000</v>
      </c>
      <c r="L220" s="61"/>
      <c r="M220" s="62">
        <v>14435000</v>
      </c>
      <c r="N220" s="63">
        <v>0</v>
      </c>
      <c r="O220" s="64" t="s">
        <v>328</v>
      </c>
      <c r="P220" s="61"/>
      <c r="Q220" s="61"/>
      <c r="R220" s="61"/>
      <c r="S220" s="70"/>
      <c r="T220" s="168"/>
      <c r="U220" s="169"/>
      <c r="V220" s="169"/>
      <c r="W220" s="169"/>
      <c r="X220" s="169"/>
      <c r="Y220" s="169"/>
      <c r="Z220" s="169"/>
      <c r="AA220" s="169"/>
      <c r="AB220" s="19"/>
      <c r="AC220" s="19"/>
      <c r="AD220" s="19"/>
      <c r="AE220" s="19"/>
      <c r="AF220" s="19"/>
      <c r="AG220" s="19"/>
      <c r="AH220" s="19"/>
      <c r="AI220" s="19"/>
      <c r="AJ220" s="19"/>
      <c r="AK220" s="19"/>
      <c r="AL220" s="19"/>
      <c r="AM220" s="19"/>
      <c r="AN220" s="19"/>
      <c r="AO220" s="19"/>
      <c r="AP220" s="19"/>
      <c r="AQ220" s="19"/>
      <c r="AR220" s="19"/>
      <c r="AS220" s="19"/>
      <c r="AT220" s="19"/>
      <c r="AU220" s="19"/>
      <c r="AV220" s="19"/>
      <c r="AW220" s="19"/>
      <c r="AX220" s="19"/>
      <c r="AY220" s="19"/>
      <c r="AZ220" s="19"/>
      <c r="BA220" s="19"/>
      <c r="BB220" s="19"/>
      <c r="BC220" s="19"/>
      <c r="BD220" s="19"/>
      <c r="BE220" s="35"/>
      <c r="BF220" s="35"/>
      <c r="BG220" s="19"/>
    </row>
    <row r="221" spans="1:59" ht="34.9" hidden="1" customHeight="1" thickBot="1" x14ac:dyDescent="0.25">
      <c r="A221" s="36"/>
      <c r="B221" s="36"/>
      <c r="C221" s="36"/>
      <c r="D221" s="58" t="s">
        <v>326</v>
      </c>
      <c r="E221" s="58"/>
      <c r="F221" s="164"/>
      <c r="G221" s="165"/>
      <c r="H221" s="59" t="s">
        <v>319</v>
      </c>
      <c r="I221" s="59">
        <v>40</v>
      </c>
      <c r="J221" s="59">
        <v>45944</v>
      </c>
      <c r="K221" s="60">
        <v>219832000</v>
      </c>
      <c r="L221" s="61"/>
      <c r="M221" s="62">
        <v>219832000</v>
      </c>
      <c r="N221" s="63">
        <v>0</v>
      </c>
      <c r="O221" s="64" t="s">
        <v>328</v>
      </c>
      <c r="P221" s="61"/>
      <c r="Q221" s="61"/>
      <c r="R221" s="61"/>
      <c r="S221" s="70"/>
      <c r="T221" s="168"/>
      <c r="U221" s="169"/>
      <c r="V221" s="169"/>
      <c r="W221" s="169"/>
      <c r="X221" s="169"/>
      <c r="Y221" s="169"/>
      <c r="Z221" s="169"/>
      <c r="AA221" s="169"/>
      <c r="AB221" s="19"/>
      <c r="AC221" s="19"/>
      <c r="AD221" s="19"/>
      <c r="AE221" s="19"/>
      <c r="AF221" s="19"/>
      <c r="AG221" s="19"/>
      <c r="AH221" s="19"/>
      <c r="AI221" s="19"/>
      <c r="AJ221" s="19"/>
      <c r="AK221" s="19"/>
      <c r="AL221" s="19"/>
      <c r="AM221" s="19"/>
      <c r="AN221" s="19"/>
      <c r="AO221" s="19"/>
      <c r="AP221" s="19"/>
      <c r="AQ221" s="19"/>
      <c r="AR221" s="19"/>
      <c r="AS221" s="19"/>
      <c r="AT221" s="19"/>
      <c r="AU221" s="19"/>
      <c r="AV221" s="19"/>
      <c r="AW221" s="19"/>
      <c r="AX221" s="19"/>
      <c r="AY221" s="19"/>
      <c r="AZ221" s="19"/>
      <c r="BA221" s="19"/>
      <c r="BB221" s="19"/>
      <c r="BC221" s="19"/>
      <c r="BD221" s="19"/>
      <c r="BE221" s="35"/>
      <c r="BF221" s="35"/>
      <c r="BG221" s="19"/>
    </row>
    <row r="222" spans="1:59" ht="15.75" hidden="1" thickBot="1" x14ac:dyDescent="0.25">
      <c r="A222" s="36"/>
      <c r="B222" s="36"/>
      <c r="C222" s="36"/>
      <c r="D222" s="58" t="s">
        <v>330</v>
      </c>
      <c r="E222" s="58"/>
      <c r="F222" s="164"/>
      <c r="G222" s="165"/>
      <c r="H222" s="59" t="s">
        <v>319</v>
      </c>
      <c r="I222" s="59">
        <v>20</v>
      </c>
      <c r="J222" s="59">
        <v>46028</v>
      </c>
      <c r="K222" s="60">
        <v>252021770</v>
      </c>
      <c r="L222" s="61"/>
      <c r="M222" s="62">
        <v>252021770</v>
      </c>
      <c r="N222" s="63">
        <v>0</v>
      </c>
      <c r="O222" s="64" t="s">
        <v>328</v>
      </c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19"/>
      <c r="AJ222" s="19"/>
      <c r="AK222" s="19"/>
      <c r="AL222" s="19"/>
      <c r="AM222" s="19"/>
      <c r="AN222" s="19"/>
      <c r="AO222" s="19"/>
      <c r="AP222" s="19"/>
      <c r="AQ222" s="19"/>
      <c r="AR222" s="19"/>
      <c r="AS222" s="19"/>
      <c r="AT222" s="19"/>
      <c r="AU222" s="19"/>
      <c r="AV222" s="19"/>
      <c r="AW222" s="19"/>
      <c r="AX222" s="19"/>
      <c r="AY222" s="19"/>
      <c r="AZ222" s="19"/>
      <c r="BA222" s="19"/>
      <c r="BB222" s="19"/>
      <c r="BC222" s="19"/>
      <c r="BD222" s="19"/>
      <c r="BE222" s="35"/>
      <c r="BF222" s="35"/>
      <c r="BG222" s="19"/>
    </row>
    <row r="223" spans="1:59" ht="15.75" hidden="1" thickBot="1" x14ac:dyDescent="0.25">
      <c r="A223" s="36"/>
      <c r="B223" s="36"/>
      <c r="C223" s="36"/>
      <c r="D223" s="71" t="s">
        <v>330</v>
      </c>
      <c r="E223" s="71"/>
      <c r="F223" s="166"/>
      <c r="G223" s="167"/>
      <c r="H223" s="72" t="s">
        <v>319</v>
      </c>
      <c r="I223" s="72">
        <v>18</v>
      </c>
      <c r="J223" s="72">
        <v>46028</v>
      </c>
      <c r="K223" s="73">
        <v>196239560</v>
      </c>
      <c r="L223" s="74"/>
      <c r="M223" s="75">
        <v>196239560</v>
      </c>
      <c r="N223" s="76">
        <v>0</v>
      </c>
      <c r="O223" s="77" t="s">
        <v>328</v>
      </c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19"/>
      <c r="AJ223" s="19"/>
      <c r="AK223" s="19"/>
      <c r="AL223" s="19"/>
      <c r="AM223" s="19"/>
      <c r="AN223" s="19"/>
      <c r="AO223" s="19"/>
      <c r="AP223" s="19"/>
      <c r="AQ223" s="19"/>
      <c r="AR223" s="19"/>
      <c r="AS223" s="19"/>
      <c r="AT223" s="19"/>
      <c r="AU223" s="19"/>
      <c r="AV223" s="19"/>
      <c r="AW223" s="19"/>
      <c r="AX223" s="19"/>
      <c r="AY223" s="19"/>
      <c r="AZ223" s="19"/>
      <c r="BA223" s="19"/>
      <c r="BB223" s="19"/>
      <c r="BC223" s="19"/>
      <c r="BD223" s="19"/>
      <c r="BE223" s="35"/>
      <c r="BF223" s="35"/>
      <c r="BG223" s="19"/>
    </row>
    <row r="224" spans="1:59" hidden="1" x14ac:dyDescent="0.2">
      <c r="A224" s="36"/>
      <c r="B224" s="36"/>
      <c r="C224" s="36"/>
      <c r="D224" s="36"/>
      <c r="E224" s="36"/>
      <c r="F224" s="35"/>
      <c r="G224" s="36"/>
      <c r="H224" s="36"/>
      <c r="I224" s="36"/>
      <c r="J224" s="35"/>
      <c r="K224" s="36"/>
      <c r="L224" s="19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19"/>
      <c r="AJ224" s="19"/>
      <c r="AK224" s="19"/>
      <c r="AL224" s="19"/>
      <c r="AM224" s="19"/>
      <c r="AN224" s="19"/>
      <c r="AO224" s="19"/>
      <c r="AP224" s="19"/>
      <c r="AQ224" s="19"/>
      <c r="AR224" s="19"/>
      <c r="AS224" s="19"/>
      <c r="AT224" s="19"/>
      <c r="AU224" s="19"/>
      <c r="AV224" s="19"/>
      <c r="AW224" s="19"/>
      <c r="AX224" s="19"/>
      <c r="AY224" s="19"/>
      <c r="AZ224" s="19"/>
      <c r="BA224" s="19"/>
      <c r="BB224" s="19"/>
      <c r="BC224" s="19"/>
      <c r="BD224" s="19"/>
      <c r="BE224" s="35"/>
      <c r="BF224" s="35"/>
      <c r="BG224" s="19"/>
    </row>
    <row r="225" spans="1:59" hidden="1" x14ac:dyDescent="0.2">
      <c r="A225" s="36"/>
      <c r="B225" s="36"/>
      <c r="C225" s="36"/>
      <c r="D225" s="36"/>
      <c r="E225" s="36"/>
      <c r="F225" s="35"/>
      <c r="G225" s="36"/>
      <c r="H225" s="36"/>
      <c r="I225" s="36"/>
      <c r="J225" s="35"/>
      <c r="K225" s="36"/>
      <c r="L225" s="19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19"/>
      <c r="AJ225" s="19"/>
      <c r="AK225" s="19"/>
      <c r="AL225" s="19"/>
      <c r="AM225" s="19"/>
      <c r="AN225" s="19"/>
      <c r="AO225" s="19"/>
      <c r="AP225" s="19"/>
      <c r="AQ225" s="19"/>
      <c r="AR225" s="19"/>
      <c r="AS225" s="19"/>
      <c r="AT225" s="19"/>
      <c r="AU225" s="19"/>
      <c r="AV225" s="19"/>
      <c r="AW225" s="19"/>
      <c r="AX225" s="19"/>
      <c r="AY225" s="19"/>
      <c r="AZ225" s="19"/>
      <c r="BA225" s="19"/>
      <c r="BB225" s="19"/>
      <c r="BC225" s="19"/>
      <c r="BD225" s="19"/>
      <c r="BE225" s="35"/>
      <c r="BF225" s="35"/>
      <c r="BG225" s="19"/>
    </row>
    <row r="226" spans="1:59" ht="15.75" hidden="1" thickBot="1" x14ac:dyDescent="0.25">
      <c r="A226" s="36"/>
      <c r="B226" s="36"/>
      <c r="C226" s="36"/>
      <c r="D226" s="58" t="s">
        <v>326</v>
      </c>
      <c r="E226" s="58"/>
      <c r="F226" s="164"/>
      <c r="G226" s="165"/>
      <c r="H226" s="59" t="s">
        <v>320</v>
      </c>
      <c r="I226" s="59">
        <v>30</v>
      </c>
      <c r="J226" s="59">
        <v>45969</v>
      </c>
      <c r="K226" s="60">
        <v>220000000</v>
      </c>
      <c r="L226" s="61"/>
      <c r="M226" s="62">
        <v>220000000</v>
      </c>
      <c r="N226" s="63">
        <v>0</v>
      </c>
      <c r="O226" s="64" t="s">
        <v>328</v>
      </c>
      <c r="P226" s="61"/>
      <c r="Q226" s="65">
        <v>45930</v>
      </c>
      <c r="R226" s="66">
        <v>46020</v>
      </c>
      <c r="S226" s="64" t="s">
        <v>329</v>
      </c>
      <c r="T226" s="168"/>
      <c r="U226" s="169"/>
      <c r="V226" s="169"/>
      <c r="W226" s="169"/>
      <c r="X226" s="169"/>
      <c r="Y226" s="169"/>
      <c r="Z226" s="169"/>
      <c r="AA226" s="169"/>
      <c r="AB226" s="19"/>
      <c r="AC226" s="19"/>
      <c r="AD226" s="19"/>
      <c r="AE226" s="19"/>
      <c r="AF226" s="19"/>
      <c r="AG226" s="19"/>
      <c r="AH226" s="19"/>
      <c r="AI226" s="19"/>
      <c r="AJ226" s="19"/>
      <c r="AK226" s="19"/>
      <c r="AL226" s="19"/>
      <c r="AM226" s="19"/>
      <c r="AN226" s="19"/>
      <c r="AO226" s="19"/>
      <c r="AP226" s="19"/>
      <c r="AQ226" s="19"/>
      <c r="AR226" s="19"/>
      <c r="AS226" s="19"/>
      <c r="AT226" s="19"/>
      <c r="AU226" s="19"/>
      <c r="AV226" s="19"/>
      <c r="AW226" s="19"/>
      <c r="AX226" s="19"/>
      <c r="AY226" s="19"/>
      <c r="AZ226" s="19"/>
      <c r="BA226" s="19"/>
      <c r="BB226" s="19"/>
      <c r="BC226" s="19"/>
      <c r="BD226" s="19"/>
      <c r="BE226" s="35"/>
      <c r="BF226" s="35"/>
      <c r="BG226" s="19"/>
    </row>
    <row r="227" spans="1:59" ht="15.75" hidden="1" thickBot="1" x14ac:dyDescent="0.25">
      <c r="A227" s="36"/>
      <c r="B227" s="36"/>
      <c r="C227" s="36"/>
      <c r="D227" s="58" t="s">
        <v>331</v>
      </c>
      <c r="E227" s="58"/>
      <c r="F227" s="164"/>
      <c r="G227" s="165"/>
      <c r="H227" s="59" t="s">
        <v>321</v>
      </c>
      <c r="I227" s="59">
        <v>30</v>
      </c>
      <c r="J227" s="59">
        <v>46000</v>
      </c>
      <c r="K227" s="60">
        <v>276460470</v>
      </c>
      <c r="L227" s="61"/>
      <c r="M227" s="61"/>
      <c r="N227" s="63">
        <v>0</v>
      </c>
      <c r="O227" s="64" t="s">
        <v>328</v>
      </c>
      <c r="P227" s="61"/>
      <c r="Q227" s="61"/>
      <c r="R227" s="61"/>
      <c r="S227" s="70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19"/>
      <c r="AJ227" s="19"/>
      <c r="AK227" s="19"/>
      <c r="AL227" s="19"/>
      <c r="AM227" s="19"/>
      <c r="AN227" s="19"/>
      <c r="AO227" s="19"/>
      <c r="AP227" s="19"/>
      <c r="AQ227" s="19"/>
      <c r="AR227" s="19"/>
      <c r="AS227" s="19"/>
      <c r="AT227" s="19"/>
      <c r="AU227" s="19"/>
      <c r="AV227" s="19"/>
      <c r="AW227" s="19"/>
      <c r="AX227" s="19"/>
      <c r="AY227" s="19"/>
      <c r="AZ227" s="19"/>
      <c r="BA227" s="19"/>
      <c r="BB227" s="19"/>
      <c r="BC227" s="19"/>
      <c r="BD227" s="19"/>
      <c r="BE227" s="35"/>
      <c r="BF227" s="35"/>
      <c r="BG227" s="19"/>
    </row>
    <row r="228" spans="1:59" hidden="1" x14ac:dyDescent="0.2">
      <c r="A228" s="36"/>
      <c r="B228" s="36"/>
      <c r="C228" s="36"/>
      <c r="D228" s="36"/>
      <c r="E228" s="36"/>
      <c r="F228" s="35"/>
      <c r="G228" s="36"/>
      <c r="H228" s="36"/>
      <c r="I228" s="36"/>
      <c r="J228" s="35"/>
      <c r="K228" s="36"/>
      <c r="L228" s="19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19"/>
      <c r="AJ228" s="19"/>
      <c r="AK228" s="19"/>
      <c r="AL228" s="19"/>
      <c r="AM228" s="19"/>
      <c r="AN228" s="19"/>
      <c r="AO228" s="19"/>
      <c r="AP228" s="19"/>
      <c r="AQ228" s="19"/>
      <c r="AR228" s="19"/>
      <c r="AS228" s="19"/>
      <c r="AT228" s="19"/>
      <c r="AU228" s="19"/>
      <c r="AV228" s="19"/>
      <c r="AW228" s="19"/>
      <c r="AX228" s="19"/>
      <c r="AY228" s="19"/>
      <c r="AZ228" s="19"/>
      <c r="BA228" s="19"/>
      <c r="BB228" s="19"/>
      <c r="BC228" s="19"/>
      <c r="BD228" s="19"/>
      <c r="BE228" s="35"/>
      <c r="BF228" s="35"/>
      <c r="BG228" s="19"/>
    </row>
    <row r="229" spans="1:59" hidden="1" x14ac:dyDescent="0.2">
      <c r="A229" s="36"/>
      <c r="B229" s="36"/>
      <c r="C229" s="36"/>
      <c r="D229" s="36"/>
      <c r="E229" s="36"/>
      <c r="F229" s="35"/>
      <c r="G229" s="36"/>
      <c r="H229" s="36"/>
      <c r="I229" s="36"/>
      <c r="J229" s="35"/>
      <c r="K229" s="36"/>
      <c r="L229" s="19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19"/>
      <c r="AJ229" s="19"/>
      <c r="AK229" s="19"/>
      <c r="AL229" s="19"/>
      <c r="AM229" s="19"/>
      <c r="AN229" s="19"/>
      <c r="AO229" s="19"/>
      <c r="AP229" s="19"/>
      <c r="AQ229" s="19"/>
      <c r="AR229" s="19"/>
      <c r="AS229" s="19"/>
      <c r="AT229" s="19"/>
      <c r="AU229" s="19"/>
      <c r="AV229" s="19"/>
      <c r="AW229" s="19"/>
      <c r="AX229" s="19"/>
      <c r="AY229" s="19"/>
      <c r="AZ229" s="19"/>
      <c r="BA229" s="19"/>
      <c r="BB229" s="19"/>
      <c r="BC229" s="19"/>
      <c r="BD229" s="19"/>
      <c r="BE229" s="35"/>
      <c r="BF229" s="35"/>
      <c r="BG229" s="19"/>
    </row>
    <row r="230" spans="1:59" hidden="1" x14ac:dyDescent="0.2">
      <c r="A230" s="36"/>
      <c r="B230" s="36"/>
      <c r="C230" s="36"/>
      <c r="D230" s="36"/>
      <c r="E230" s="36"/>
      <c r="F230" s="35"/>
      <c r="G230" s="36"/>
      <c r="H230" s="36"/>
      <c r="I230" s="36"/>
      <c r="J230" s="35"/>
      <c r="K230" s="36"/>
      <c r="L230" s="19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19"/>
      <c r="AJ230" s="19"/>
      <c r="AK230" s="19"/>
      <c r="AL230" s="19"/>
      <c r="AM230" s="19"/>
      <c r="AN230" s="19"/>
      <c r="AO230" s="19"/>
      <c r="AP230" s="19"/>
      <c r="AQ230" s="19"/>
      <c r="AR230" s="19"/>
      <c r="AS230" s="19"/>
      <c r="AT230" s="19"/>
      <c r="AU230" s="19"/>
      <c r="AV230" s="19"/>
      <c r="AW230" s="19"/>
      <c r="AX230" s="19"/>
      <c r="AY230" s="19"/>
      <c r="AZ230" s="19"/>
      <c r="BA230" s="19"/>
      <c r="BB230" s="19"/>
      <c r="BC230" s="19"/>
      <c r="BD230" s="19"/>
      <c r="BE230" s="35"/>
      <c r="BF230" s="35"/>
      <c r="BG230" s="19"/>
    </row>
    <row r="231" spans="1:59" x14ac:dyDescent="0.2">
      <c r="A231" s="36"/>
      <c r="B231" s="36"/>
      <c r="C231" s="36"/>
      <c r="D231" s="36"/>
      <c r="E231" s="36"/>
      <c r="F231" s="35"/>
      <c r="G231" s="36"/>
      <c r="H231" s="36"/>
      <c r="I231" s="36"/>
      <c r="J231" s="35"/>
      <c r="K231" s="36"/>
      <c r="L231" s="19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19"/>
      <c r="AJ231" s="19"/>
      <c r="AK231" s="19"/>
      <c r="AL231" s="19"/>
      <c r="AM231" s="19"/>
      <c r="AN231" s="19"/>
      <c r="AO231" s="19"/>
      <c r="AP231" s="19"/>
      <c r="AQ231" s="19"/>
      <c r="AR231" s="19"/>
      <c r="AS231" s="19"/>
      <c r="AT231" s="19"/>
      <c r="AU231" s="19"/>
      <c r="AV231" s="19"/>
      <c r="AW231" s="19"/>
      <c r="AX231" s="19"/>
      <c r="AY231" s="19"/>
      <c r="AZ231" s="19"/>
      <c r="BA231" s="19"/>
      <c r="BB231" s="19"/>
      <c r="BC231" s="19"/>
      <c r="BD231" s="19"/>
      <c r="BE231" s="35"/>
      <c r="BF231" s="35"/>
      <c r="BG231" s="19"/>
    </row>
  </sheetData>
  <mergeCells count="40">
    <mergeCell ref="BB3:BC3"/>
    <mergeCell ref="AZ3:BA3"/>
    <mergeCell ref="AX3:AY3"/>
    <mergeCell ref="AL3:AM3"/>
    <mergeCell ref="T219:AA219"/>
    <mergeCell ref="T217:AA217"/>
    <mergeCell ref="G3:K3"/>
    <mergeCell ref="T3:U3"/>
    <mergeCell ref="V3:W3"/>
    <mergeCell ref="X3:Y3"/>
    <mergeCell ref="Z3:AA3"/>
    <mergeCell ref="T220:AA220"/>
    <mergeCell ref="F221:G221"/>
    <mergeCell ref="T221:AA221"/>
    <mergeCell ref="F226:G226"/>
    <mergeCell ref="T226:AA226"/>
    <mergeCell ref="F227:G227"/>
    <mergeCell ref="F222:G222"/>
    <mergeCell ref="F223:G223"/>
    <mergeCell ref="F216:G216"/>
    <mergeCell ref="F220:G220"/>
    <mergeCell ref="F218:G218"/>
    <mergeCell ref="F219:G219"/>
    <mergeCell ref="F217:G217"/>
    <mergeCell ref="BD3:BF3"/>
    <mergeCell ref="A207:F207"/>
    <mergeCell ref="AB3:AC3"/>
    <mergeCell ref="AD3:AE3"/>
    <mergeCell ref="AF3:AG3"/>
    <mergeCell ref="AH3:AI3"/>
    <mergeCell ref="L3:M3"/>
    <mergeCell ref="N3:O3"/>
    <mergeCell ref="AJ3:AK3"/>
    <mergeCell ref="P3:Q3"/>
    <mergeCell ref="R3:S3"/>
    <mergeCell ref="AR3:AS3"/>
    <mergeCell ref="AP3:AQ3"/>
    <mergeCell ref="AN3:AO3"/>
    <mergeCell ref="AV3:AW3"/>
    <mergeCell ref="AT3:AU3"/>
  </mergeCells>
  <phoneticPr fontId="2" type="noConversion"/>
  <conditionalFormatting sqref="E5:E66 E69:E148">
    <cfRule type="duplicateValues" dxfId="56" priority="41"/>
    <cfRule type="duplicateValues" dxfId="55" priority="42"/>
  </conditionalFormatting>
  <conditionalFormatting sqref="E149:E166">
    <cfRule type="duplicateValues" dxfId="54" priority="43"/>
    <cfRule type="duplicateValues" dxfId="53" priority="44"/>
  </conditionalFormatting>
  <conditionalFormatting sqref="E5:E66 E69:E166">
    <cfRule type="duplicateValues" dxfId="52" priority="45"/>
  </conditionalFormatting>
  <conditionalFormatting sqref="E167:E181">
    <cfRule type="duplicateValues" dxfId="51" priority="59"/>
    <cfRule type="duplicateValues" dxfId="50" priority="60"/>
  </conditionalFormatting>
  <conditionalFormatting sqref="E167:E181">
    <cfRule type="duplicateValues" dxfId="49" priority="61"/>
  </conditionalFormatting>
  <conditionalFormatting sqref="E5:E66 E69:E181">
    <cfRule type="duplicateValues" dxfId="48" priority="62"/>
  </conditionalFormatting>
  <conditionalFormatting sqref="E182:E191">
    <cfRule type="duplicateValues" dxfId="47" priority="63"/>
    <cfRule type="duplicateValues" dxfId="46" priority="64"/>
  </conditionalFormatting>
  <conditionalFormatting sqref="E182:E191">
    <cfRule type="duplicateValues" dxfId="45" priority="65"/>
  </conditionalFormatting>
  <conditionalFormatting sqref="E182:E191">
    <cfRule type="duplicateValues" dxfId="44" priority="66"/>
  </conditionalFormatting>
  <conditionalFormatting sqref="E192">
    <cfRule type="duplicateValues" dxfId="43" priority="23"/>
    <cfRule type="duplicateValues" dxfId="42" priority="24"/>
  </conditionalFormatting>
  <conditionalFormatting sqref="E192">
    <cfRule type="duplicateValues" dxfId="41" priority="25"/>
  </conditionalFormatting>
  <conditionalFormatting sqref="E192">
    <cfRule type="duplicateValues" dxfId="40" priority="26"/>
  </conditionalFormatting>
  <conditionalFormatting sqref="E193:E199">
    <cfRule type="duplicateValues" dxfId="39" priority="88"/>
    <cfRule type="duplicateValues" dxfId="38" priority="89"/>
  </conditionalFormatting>
  <conditionalFormatting sqref="E193:E199">
    <cfRule type="duplicateValues" dxfId="37" priority="90"/>
  </conditionalFormatting>
  <conditionalFormatting sqref="E193:E199">
    <cfRule type="duplicateValues" dxfId="36" priority="91"/>
  </conditionalFormatting>
  <conditionalFormatting sqref="E67">
    <cfRule type="duplicateValues" dxfId="35" priority="15"/>
    <cfRule type="duplicateValues" dxfId="34" priority="16"/>
  </conditionalFormatting>
  <conditionalFormatting sqref="E67">
    <cfRule type="duplicateValues" dxfId="33" priority="17"/>
  </conditionalFormatting>
  <conditionalFormatting sqref="E67">
    <cfRule type="duplicateValues" dxfId="32" priority="18"/>
  </conditionalFormatting>
  <conditionalFormatting sqref="E68">
    <cfRule type="duplicateValues" dxfId="31" priority="11"/>
    <cfRule type="duplicateValues" dxfId="30" priority="12"/>
  </conditionalFormatting>
  <conditionalFormatting sqref="E68">
    <cfRule type="duplicateValues" dxfId="29" priority="13"/>
  </conditionalFormatting>
  <conditionalFormatting sqref="E68">
    <cfRule type="duplicateValues" dxfId="28" priority="14"/>
  </conditionalFormatting>
  <conditionalFormatting sqref="E200:E205">
    <cfRule type="duplicateValues" dxfId="27" priority="7"/>
    <cfRule type="duplicateValues" dxfId="26" priority="8"/>
  </conditionalFormatting>
  <conditionalFormatting sqref="E200:E205">
    <cfRule type="duplicateValues" dxfId="25" priority="9"/>
  </conditionalFormatting>
  <conditionalFormatting sqref="E200:E205">
    <cfRule type="duplicateValues" dxfId="24" priority="10"/>
  </conditionalFormatting>
  <conditionalFormatting sqref="E5:E205">
    <cfRule type="duplicateValues" dxfId="23" priority="6"/>
  </conditionalFormatting>
  <conditionalFormatting sqref="E206">
    <cfRule type="duplicateValues" dxfId="22" priority="2"/>
    <cfRule type="duplicateValues" dxfId="21" priority="3"/>
  </conditionalFormatting>
  <conditionalFormatting sqref="E206">
    <cfRule type="duplicateValues" dxfId="20" priority="4"/>
  </conditionalFormatting>
  <conditionalFormatting sqref="E206">
    <cfRule type="duplicateValues" dxfId="19" priority="5"/>
  </conditionalFormatting>
  <conditionalFormatting sqref="E206">
    <cfRule type="duplicateValues" dxfId="18" priority="1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K231"/>
  <sheetViews>
    <sheetView showGridLines="0" zoomScale="70" zoomScaleNormal="70" workbookViewId="0">
      <pane xSplit="12" ySplit="4" topLeftCell="AD178" activePane="bottomRight" state="frozen"/>
      <selection activeCell="D176" sqref="D176"/>
      <selection pane="topRight" activeCell="D176" sqref="D176"/>
      <selection pane="bottomLeft" activeCell="D176" sqref="D176"/>
      <selection pane="bottomRight" activeCell="G189" sqref="G189"/>
    </sheetView>
  </sheetViews>
  <sheetFormatPr defaultColWidth="9.140625" defaultRowHeight="12" outlineLevelCol="1" x14ac:dyDescent="0.2"/>
  <cols>
    <col min="1" max="1" width="6.28515625" style="41" customWidth="1"/>
    <col min="2" max="2" width="8.5703125" style="41" bestFit="1" customWidth="1"/>
    <col min="3" max="3" width="7.7109375" style="41" bestFit="1" customWidth="1"/>
    <col min="4" max="4" width="14.7109375" style="41" customWidth="1"/>
    <col min="5" max="5" width="10.7109375" style="41" bestFit="1" customWidth="1"/>
    <col min="6" max="6" width="47" style="34" bestFit="1" customWidth="1"/>
    <col min="7" max="7" width="14.140625" style="41" bestFit="1" customWidth="1"/>
    <col min="8" max="8" width="12.28515625" style="41" customWidth="1"/>
    <col min="9" max="9" width="14.28515625" style="41" customWidth="1"/>
    <col min="10" max="11" width="11" style="37" customWidth="1"/>
    <col min="12" max="12" width="15.42578125" style="41" customWidth="1"/>
    <col min="13" max="13" width="13" style="37" customWidth="1" outlineLevel="1"/>
    <col min="14" max="25" width="11.28515625" style="37" customWidth="1" outlineLevel="1"/>
    <col min="26" max="26" width="15" style="37" customWidth="1" outlineLevel="1"/>
    <col min="27" max="34" width="11.28515625" style="37" customWidth="1" outlineLevel="1"/>
    <col min="35" max="35" width="11.28515625" style="37" bestFit="1" customWidth="1"/>
    <col min="36" max="37" width="7.7109375" style="34" customWidth="1"/>
    <col min="38" max="38" width="7.7109375" style="20" customWidth="1"/>
    <col min="39" max="45" width="15.140625" style="20" customWidth="1"/>
    <col min="46" max="47" width="20" style="20" bestFit="1" customWidth="1"/>
    <col min="48" max="48" width="15.7109375" style="20" customWidth="1"/>
    <col min="49" max="58" width="19.28515625" style="20" bestFit="1" customWidth="1"/>
    <col min="59" max="60" width="20" style="20" bestFit="1" customWidth="1"/>
    <col min="61" max="61" width="15.7109375" style="20" bestFit="1" customWidth="1"/>
    <col min="62" max="62" width="24.140625" style="20" bestFit="1" customWidth="1"/>
    <col min="63" max="16384" width="9.140625" style="20"/>
  </cols>
  <sheetData>
    <row r="1" spans="1:37" hidden="1" x14ac:dyDescent="0.2">
      <c r="A1" s="34" t="s">
        <v>380</v>
      </c>
      <c r="B1" s="34"/>
      <c r="C1" s="34"/>
      <c r="D1" s="34"/>
      <c r="E1" s="34"/>
      <c r="F1" s="35"/>
      <c r="G1" s="36"/>
      <c r="H1" s="36"/>
      <c r="I1" s="36"/>
      <c r="L1" s="36"/>
      <c r="AI1" s="14"/>
    </row>
    <row r="2" spans="1:37" x14ac:dyDescent="0.2">
      <c r="F2" s="35"/>
      <c r="G2" s="36"/>
      <c r="H2" s="36"/>
      <c r="I2" s="36"/>
      <c r="L2" s="36"/>
      <c r="AI2" s="8" t="s">
        <v>379</v>
      </c>
    </row>
    <row r="3" spans="1:37" ht="17.45" customHeight="1" x14ac:dyDescent="0.2">
      <c r="A3" s="176" t="s">
        <v>378</v>
      </c>
      <c r="B3" s="28" t="s">
        <v>1551</v>
      </c>
      <c r="C3" s="28" t="s">
        <v>1552</v>
      </c>
      <c r="D3" s="178" t="s">
        <v>159</v>
      </c>
      <c r="E3" s="178" t="s">
        <v>157</v>
      </c>
      <c r="F3" s="176" t="s">
        <v>377</v>
      </c>
      <c r="G3" s="170" t="s">
        <v>376</v>
      </c>
      <c r="H3" s="171"/>
      <c r="I3" s="171"/>
      <c r="J3" s="171"/>
      <c r="K3" s="171"/>
      <c r="L3" s="172"/>
      <c r="M3" s="97" t="s">
        <v>0</v>
      </c>
      <c r="N3" s="97" t="s">
        <v>375</v>
      </c>
      <c r="O3" s="97" t="s">
        <v>374</v>
      </c>
      <c r="P3" s="97" t="s">
        <v>373</v>
      </c>
      <c r="Q3" s="97" t="s">
        <v>372</v>
      </c>
      <c r="R3" s="97" t="s">
        <v>371</v>
      </c>
      <c r="S3" s="97" t="s">
        <v>370</v>
      </c>
      <c r="T3" s="97" t="s">
        <v>369</v>
      </c>
      <c r="U3" s="97" t="s">
        <v>368</v>
      </c>
      <c r="V3" s="97" t="s">
        <v>367</v>
      </c>
      <c r="W3" s="97" t="s">
        <v>366</v>
      </c>
      <c r="X3" s="97" t="s">
        <v>365</v>
      </c>
      <c r="Y3" s="97" t="s">
        <v>364</v>
      </c>
      <c r="Z3" s="97" t="s">
        <v>363</v>
      </c>
      <c r="AA3" s="98" t="s">
        <v>384</v>
      </c>
      <c r="AB3" s="98" t="s">
        <v>391</v>
      </c>
      <c r="AC3" s="98" t="s">
        <v>450</v>
      </c>
      <c r="AD3" s="98" t="s">
        <v>1495</v>
      </c>
      <c r="AE3" s="98" t="s">
        <v>1525</v>
      </c>
      <c r="AF3" s="98" t="s">
        <v>1548</v>
      </c>
      <c r="AG3" s="98" t="s">
        <v>1584</v>
      </c>
      <c r="AH3" s="98" t="s">
        <v>1605</v>
      </c>
      <c r="AI3" s="91" t="s">
        <v>362</v>
      </c>
    </row>
    <row r="4" spans="1:37" s="29" customFormat="1" ht="18" customHeight="1" x14ac:dyDescent="0.2">
      <c r="A4" s="177"/>
      <c r="B4" s="142" t="s">
        <v>1550</v>
      </c>
      <c r="C4" s="142" t="s">
        <v>1553</v>
      </c>
      <c r="D4" s="179"/>
      <c r="E4" s="179"/>
      <c r="F4" s="177"/>
      <c r="G4" s="43" t="s">
        <v>360</v>
      </c>
      <c r="H4" s="44" t="s">
        <v>359</v>
      </c>
      <c r="I4" s="44" t="s">
        <v>358</v>
      </c>
      <c r="J4" s="5" t="s">
        <v>357</v>
      </c>
      <c r="K4" s="5" t="s">
        <v>441</v>
      </c>
      <c r="L4" s="45" t="s">
        <v>356</v>
      </c>
      <c r="M4" s="99" t="s">
        <v>323</v>
      </c>
      <c r="N4" s="99" t="s">
        <v>323</v>
      </c>
      <c r="O4" s="99" t="s">
        <v>323</v>
      </c>
      <c r="P4" s="99" t="s">
        <v>323</v>
      </c>
      <c r="Q4" s="99" t="s">
        <v>323</v>
      </c>
      <c r="R4" s="99" t="s">
        <v>323</v>
      </c>
      <c r="S4" s="99" t="s">
        <v>323</v>
      </c>
      <c r="T4" s="99" t="s">
        <v>323</v>
      </c>
      <c r="U4" s="99" t="s">
        <v>323</v>
      </c>
      <c r="V4" s="99" t="s">
        <v>323</v>
      </c>
      <c r="W4" s="99" t="s">
        <v>323</v>
      </c>
      <c r="X4" s="99" t="s">
        <v>323</v>
      </c>
      <c r="Y4" s="99" t="s">
        <v>323</v>
      </c>
      <c r="Z4" s="99" t="s">
        <v>323</v>
      </c>
      <c r="AA4" s="99" t="s">
        <v>323</v>
      </c>
      <c r="AB4" s="99" t="s">
        <v>323</v>
      </c>
      <c r="AC4" s="99" t="s">
        <v>323</v>
      </c>
      <c r="AD4" s="99" t="s">
        <v>323</v>
      </c>
      <c r="AE4" s="99" t="s">
        <v>323</v>
      </c>
      <c r="AF4" s="99" t="s">
        <v>323</v>
      </c>
      <c r="AG4" s="99" t="s">
        <v>323</v>
      </c>
      <c r="AH4" s="99" t="s">
        <v>323</v>
      </c>
      <c r="AI4" s="99" t="s">
        <v>323</v>
      </c>
      <c r="AJ4" s="41"/>
      <c r="AK4" s="41"/>
    </row>
    <row r="5" spans="1:37" ht="18" customHeight="1" x14ac:dyDescent="0.2">
      <c r="A5" s="27" t="str">
        <f>IF(MID(D5,4,1)="8","법인","개인")</f>
        <v>개인</v>
      </c>
      <c r="B5" s="27" t="s">
        <v>1555</v>
      </c>
      <c r="C5" s="27" t="s">
        <v>1554</v>
      </c>
      <c r="D5" s="93">
        <v>1059028677</v>
      </c>
      <c r="E5" s="93">
        <v>10031447</v>
      </c>
      <c r="F5" s="28" t="s">
        <v>148</v>
      </c>
      <c r="G5" s="46" t="s">
        <v>322</v>
      </c>
      <c r="H5" s="79">
        <v>45891</v>
      </c>
      <c r="I5" s="79">
        <v>45930</v>
      </c>
      <c r="J5" s="11">
        <v>654.49540000000002</v>
      </c>
      <c r="K5" s="11">
        <f>J5/36</f>
        <v>18.18042777777778</v>
      </c>
      <c r="L5" s="94" t="s">
        <v>311</v>
      </c>
      <c r="M5" s="100">
        <v>0</v>
      </c>
      <c r="N5" s="100">
        <v>0</v>
      </c>
      <c r="O5" s="100">
        <v>0</v>
      </c>
      <c r="P5" s="100">
        <v>0</v>
      </c>
      <c r="Q5" s="100">
        <v>0</v>
      </c>
      <c r="R5" s="100">
        <v>0</v>
      </c>
      <c r="S5" s="100">
        <v>0</v>
      </c>
      <c r="T5" s="100">
        <v>0</v>
      </c>
      <c r="U5" s="100">
        <v>0</v>
      </c>
      <c r="V5" s="100">
        <v>0</v>
      </c>
      <c r="W5" s="100">
        <v>0</v>
      </c>
      <c r="X5" s="100">
        <v>0</v>
      </c>
      <c r="Y5" s="100">
        <v>3.524</v>
      </c>
      <c r="Z5" s="100">
        <v>7.1349999999999998</v>
      </c>
      <c r="AA5" s="100">
        <v>6.9169999999999998</v>
      </c>
      <c r="AB5" s="100">
        <v>6.9850000000000003</v>
      </c>
      <c r="AC5" s="100">
        <f>IFERROR(VLOOKUP(E5,[5]Sheet1!$A:$F,6,0),0)</f>
        <v>6.2430000000000003</v>
      </c>
      <c r="AD5" s="100">
        <v>7.1020000000000003</v>
      </c>
      <c r="AE5" s="100">
        <v>5.8780000000000001</v>
      </c>
      <c r="AF5" s="100">
        <v>6.5439999999999996</v>
      </c>
      <c r="AG5" s="100">
        <v>8.327</v>
      </c>
      <c r="AH5" s="100">
        <v>7.6769999999999996</v>
      </c>
      <c r="AI5" s="100">
        <f>SUM(AA5,Z5,Y5,X5,W5,V5,U5,T5,S5,R5,Q5,P5,O5,N5,M5,AB5,AC5,AD5,AE5,AF5,AG5,AH5)</f>
        <v>66.331999999999994</v>
      </c>
    </row>
    <row r="6" spans="1:37" ht="18" customHeight="1" x14ac:dyDescent="0.2">
      <c r="A6" s="27" t="str">
        <f t="shared" ref="A6:A60" si="0">IF(MID(D6,4,1)="8","법인","개인")</f>
        <v>개인</v>
      </c>
      <c r="B6" s="27" t="s">
        <v>1556</v>
      </c>
      <c r="C6" s="27" t="s">
        <v>1554</v>
      </c>
      <c r="D6" s="26">
        <v>1079060770</v>
      </c>
      <c r="E6" s="26">
        <v>10008739</v>
      </c>
      <c r="F6" s="25" t="s">
        <v>132</v>
      </c>
      <c r="G6" s="48" t="s">
        <v>322</v>
      </c>
      <c r="H6" s="53">
        <v>45896</v>
      </c>
      <c r="I6" s="53">
        <v>45923</v>
      </c>
      <c r="J6" s="14">
        <v>663.274</v>
      </c>
      <c r="K6" s="14">
        <f>J6/36</f>
        <v>18.424277777777778</v>
      </c>
      <c r="L6" s="49" t="s">
        <v>311</v>
      </c>
      <c r="M6" s="101">
        <v>0</v>
      </c>
      <c r="N6" s="101">
        <v>0</v>
      </c>
      <c r="O6" s="101">
        <v>0</v>
      </c>
      <c r="P6" s="101">
        <v>0</v>
      </c>
      <c r="Q6" s="101">
        <v>0</v>
      </c>
      <c r="R6" s="101">
        <v>0</v>
      </c>
      <c r="S6" s="101">
        <v>0</v>
      </c>
      <c r="T6" s="101">
        <v>0</v>
      </c>
      <c r="U6" s="101">
        <v>0</v>
      </c>
      <c r="V6" s="101">
        <v>0</v>
      </c>
      <c r="W6" s="101">
        <v>0</v>
      </c>
      <c r="X6" s="101">
        <v>0</v>
      </c>
      <c r="Y6" s="101">
        <v>3.742</v>
      </c>
      <c r="Z6" s="101">
        <v>10.791</v>
      </c>
      <c r="AA6" s="101">
        <v>15.583</v>
      </c>
      <c r="AB6" s="101">
        <v>8.3119999999999994</v>
      </c>
      <c r="AC6" s="101">
        <f>IFERROR(VLOOKUP(E6,[5]Sheet1!$A:$F,6,0),0)</f>
        <v>7.0531800000000002</v>
      </c>
      <c r="AD6" s="101">
        <v>0.112902</v>
      </c>
      <c r="AE6" s="101">
        <v>3.5137800000000001</v>
      </c>
      <c r="AF6" s="101">
        <v>8.4201479999999993</v>
      </c>
      <c r="AG6" s="101">
        <v>5.4708180000000004</v>
      </c>
      <c r="AH6" s="101">
        <v>5.25</v>
      </c>
      <c r="AI6" s="101">
        <f t="shared" ref="AI6:AI69" si="1">SUM(AA6,Z6,Y6,X6,W6,V6,U6,T6,S6,R6,Q6,P6,O6,N6,M6,AB6,AC6,AD6,AE6,AF6,AG6,AH6)</f>
        <v>68.248828000000003</v>
      </c>
    </row>
    <row r="7" spans="1:37" ht="18" customHeight="1" x14ac:dyDescent="0.2">
      <c r="A7" s="27" t="str">
        <f t="shared" si="0"/>
        <v>법인</v>
      </c>
      <c r="B7" s="27" t="s">
        <v>1557</v>
      </c>
      <c r="C7" s="27" t="s">
        <v>1496</v>
      </c>
      <c r="D7" s="26">
        <v>1138209244</v>
      </c>
      <c r="E7" s="26">
        <v>10046812</v>
      </c>
      <c r="F7" s="25" t="s">
        <v>156</v>
      </c>
      <c r="G7" s="48" t="s">
        <v>322</v>
      </c>
      <c r="H7" s="53">
        <v>45835</v>
      </c>
      <c r="I7" s="53">
        <v>45944</v>
      </c>
      <c r="J7" s="14">
        <v>837.27199999999993</v>
      </c>
      <c r="K7" s="14">
        <f t="shared" ref="K7:K54" si="2">J7/36</f>
        <v>23.257555555555555</v>
      </c>
      <c r="L7" s="49" t="s">
        <v>311</v>
      </c>
      <c r="M7" s="101">
        <v>0</v>
      </c>
      <c r="N7" s="101">
        <v>0</v>
      </c>
      <c r="O7" s="101">
        <v>0</v>
      </c>
      <c r="P7" s="101">
        <v>0</v>
      </c>
      <c r="Q7" s="101">
        <v>0</v>
      </c>
      <c r="R7" s="101">
        <v>0</v>
      </c>
      <c r="S7" s="101">
        <v>0</v>
      </c>
      <c r="T7" s="101">
        <v>0</v>
      </c>
      <c r="U7" s="101">
        <v>0</v>
      </c>
      <c r="V7" s="101">
        <v>0</v>
      </c>
      <c r="W7" s="101">
        <v>0</v>
      </c>
      <c r="X7" s="101">
        <v>0</v>
      </c>
      <c r="Y7" s="101">
        <v>13.449</v>
      </c>
      <c r="Z7" s="101">
        <v>29.420999999999999</v>
      </c>
      <c r="AA7" s="101">
        <v>21.710999999999999</v>
      </c>
      <c r="AB7" s="101">
        <v>20.898</v>
      </c>
      <c r="AC7" s="101">
        <f>IFERROR(VLOOKUP(E7,[5]Sheet1!$A:$F,6,0),0)</f>
        <v>23.113</v>
      </c>
      <c r="AD7" s="101">
        <v>17.026</v>
      </c>
      <c r="AE7" s="101">
        <v>17.061</v>
      </c>
      <c r="AF7" s="101">
        <v>20.225999999999999</v>
      </c>
      <c r="AG7" s="101">
        <v>21.306999999999999</v>
      </c>
      <c r="AH7" s="101">
        <v>23.079000000000001</v>
      </c>
      <c r="AI7" s="101">
        <f t="shared" si="1"/>
        <v>207.291</v>
      </c>
    </row>
    <row r="8" spans="1:37" ht="18" customHeight="1" x14ac:dyDescent="0.2">
      <c r="A8" s="27" t="str">
        <f t="shared" si="0"/>
        <v>개인</v>
      </c>
      <c r="B8" s="27" t="s">
        <v>1558</v>
      </c>
      <c r="C8" s="27" t="s">
        <v>1554</v>
      </c>
      <c r="D8" s="26">
        <v>1249428434</v>
      </c>
      <c r="E8" s="26">
        <v>10060702</v>
      </c>
      <c r="F8" s="25" t="s">
        <v>109</v>
      </c>
      <c r="G8" s="48" t="s">
        <v>322</v>
      </c>
      <c r="H8" s="53">
        <v>45869</v>
      </c>
      <c r="I8" s="53">
        <v>45923</v>
      </c>
      <c r="J8" s="14">
        <v>536.54999999999995</v>
      </c>
      <c r="K8" s="14">
        <f t="shared" si="2"/>
        <v>14.904166666666665</v>
      </c>
      <c r="L8" s="49" t="s">
        <v>311</v>
      </c>
      <c r="M8" s="101">
        <v>0</v>
      </c>
      <c r="N8" s="101">
        <v>0</v>
      </c>
      <c r="O8" s="101">
        <v>0</v>
      </c>
      <c r="P8" s="101">
        <v>0</v>
      </c>
      <c r="Q8" s="101">
        <v>0</v>
      </c>
      <c r="R8" s="101">
        <v>0</v>
      </c>
      <c r="S8" s="101">
        <v>0</v>
      </c>
      <c r="T8" s="101">
        <v>0</v>
      </c>
      <c r="U8" s="101">
        <v>0</v>
      </c>
      <c r="V8" s="101">
        <v>0</v>
      </c>
      <c r="W8" s="101">
        <v>0</v>
      </c>
      <c r="X8" s="101">
        <v>1.84</v>
      </c>
      <c r="Y8" s="101">
        <v>7.3120000000000003</v>
      </c>
      <c r="Z8" s="101">
        <v>13.76</v>
      </c>
      <c r="AA8" s="101">
        <v>12.512</v>
      </c>
      <c r="AB8" s="101">
        <v>8.7040000000000006</v>
      </c>
      <c r="AC8" s="101">
        <f>IFERROR(VLOOKUP(E8,[5]Sheet1!$A:$F,6,0),0)</f>
        <v>8.5760000000000005</v>
      </c>
      <c r="AD8" s="101">
        <v>12.784000000000001</v>
      </c>
      <c r="AE8" s="101">
        <v>12.928000000000001</v>
      </c>
      <c r="AF8" s="101">
        <v>12.064</v>
      </c>
      <c r="AG8" s="101">
        <v>9.0079999999999991</v>
      </c>
      <c r="AH8" s="101">
        <v>10.304</v>
      </c>
      <c r="AI8" s="101">
        <f t="shared" si="1"/>
        <v>109.79199999999999</v>
      </c>
    </row>
    <row r="9" spans="1:37" ht="18" customHeight="1" x14ac:dyDescent="0.2">
      <c r="A9" s="27" t="str">
        <f t="shared" si="0"/>
        <v>법인</v>
      </c>
      <c r="B9" s="27" t="s">
        <v>1559</v>
      </c>
      <c r="C9" s="27" t="s">
        <v>1496</v>
      </c>
      <c r="D9" s="26">
        <v>1258206916</v>
      </c>
      <c r="E9" s="26">
        <v>10032706</v>
      </c>
      <c r="F9" s="25" t="s">
        <v>353</v>
      </c>
      <c r="G9" s="48" t="s">
        <v>322</v>
      </c>
      <c r="H9" s="53">
        <v>45848</v>
      </c>
      <c r="I9" s="53">
        <v>45958</v>
      </c>
      <c r="J9" s="14">
        <v>429.23500000000001</v>
      </c>
      <c r="K9" s="14">
        <f t="shared" si="2"/>
        <v>11.923194444444444</v>
      </c>
      <c r="L9" s="49" t="s">
        <v>311</v>
      </c>
      <c r="M9" s="101">
        <v>0</v>
      </c>
      <c r="N9" s="101">
        <v>0</v>
      </c>
      <c r="O9" s="101">
        <v>0</v>
      </c>
      <c r="P9" s="101">
        <v>0</v>
      </c>
      <c r="Q9" s="101">
        <v>0</v>
      </c>
      <c r="R9" s="101">
        <v>0</v>
      </c>
      <c r="S9" s="101">
        <v>0</v>
      </c>
      <c r="T9" s="101">
        <v>0</v>
      </c>
      <c r="U9" s="101">
        <v>0</v>
      </c>
      <c r="V9" s="101">
        <v>0</v>
      </c>
      <c r="W9" s="101">
        <v>0</v>
      </c>
      <c r="X9" s="101">
        <v>0</v>
      </c>
      <c r="Y9" s="101">
        <v>8.4130000000000003</v>
      </c>
      <c r="Z9" s="101">
        <v>12.362</v>
      </c>
      <c r="AA9" s="101">
        <v>15.868</v>
      </c>
      <c r="AB9" s="101">
        <v>14.404999999999999</v>
      </c>
      <c r="AC9" s="101">
        <f>IFERROR(VLOOKUP(E9,[5]Sheet1!$A:$F,6,0),0)</f>
        <v>0</v>
      </c>
      <c r="AD9" s="101">
        <v>34.152000000000001</v>
      </c>
      <c r="AE9" s="101">
        <v>16.497</v>
      </c>
      <c r="AF9" s="101">
        <v>13.4</v>
      </c>
      <c r="AG9" s="101">
        <v>8.19</v>
      </c>
      <c r="AH9" s="101">
        <v>7.9770000000000003</v>
      </c>
      <c r="AI9" s="101">
        <f t="shared" si="1"/>
        <v>131.26400000000001</v>
      </c>
    </row>
    <row r="10" spans="1:37" ht="18" customHeight="1" x14ac:dyDescent="0.2">
      <c r="A10" s="27" t="str">
        <f t="shared" si="0"/>
        <v>법인</v>
      </c>
      <c r="B10" s="27" t="s">
        <v>1560</v>
      </c>
      <c r="C10" s="27" t="s">
        <v>1496</v>
      </c>
      <c r="D10" s="26">
        <v>1278221650</v>
      </c>
      <c r="E10" s="26">
        <v>10045809</v>
      </c>
      <c r="F10" s="25" t="s">
        <v>352</v>
      </c>
      <c r="G10" s="48" t="s">
        <v>322</v>
      </c>
      <c r="H10" s="53">
        <v>45834</v>
      </c>
      <c r="I10" s="53">
        <v>45923</v>
      </c>
      <c r="J10" s="14">
        <v>605.33400000000006</v>
      </c>
      <c r="K10" s="14">
        <f t="shared" si="2"/>
        <v>16.814833333333336</v>
      </c>
      <c r="L10" s="49" t="s">
        <v>311</v>
      </c>
      <c r="M10" s="101">
        <v>0</v>
      </c>
      <c r="N10" s="101">
        <v>0</v>
      </c>
      <c r="O10" s="101">
        <v>0</v>
      </c>
      <c r="P10" s="101">
        <v>0</v>
      </c>
      <c r="Q10" s="101">
        <v>0</v>
      </c>
      <c r="R10" s="101">
        <v>0</v>
      </c>
      <c r="S10" s="101">
        <v>0</v>
      </c>
      <c r="T10" s="101">
        <v>0</v>
      </c>
      <c r="U10" s="101">
        <v>0</v>
      </c>
      <c r="V10" s="101">
        <v>0</v>
      </c>
      <c r="W10" s="101">
        <v>0</v>
      </c>
      <c r="X10" s="101">
        <v>7.0309999999999997</v>
      </c>
      <c r="Y10" s="101">
        <v>6.7729999999999997</v>
      </c>
      <c r="Z10" s="101">
        <v>10.192</v>
      </c>
      <c r="AA10" s="101">
        <v>11.257999999999999</v>
      </c>
      <c r="AB10" s="101">
        <v>10.855</v>
      </c>
      <c r="AC10" s="101">
        <f>IFERROR(VLOOKUP(E10,[5]Sheet1!$A:$F,6,0),0)</f>
        <v>11.375</v>
      </c>
      <c r="AD10" s="101">
        <v>12.285</v>
      </c>
      <c r="AE10" s="101">
        <v>11.791</v>
      </c>
      <c r="AF10" s="101">
        <v>9.984</v>
      </c>
      <c r="AG10" s="101">
        <v>12.272</v>
      </c>
      <c r="AH10" s="101">
        <v>12.48</v>
      </c>
      <c r="AI10" s="101">
        <f t="shared" si="1"/>
        <v>116.29599999999999</v>
      </c>
    </row>
    <row r="11" spans="1:37" ht="18" customHeight="1" x14ac:dyDescent="0.2">
      <c r="A11" s="27" t="str">
        <f t="shared" si="0"/>
        <v>개인</v>
      </c>
      <c r="B11" s="27" t="s">
        <v>1558</v>
      </c>
      <c r="C11" s="27" t="s">
        <v>1554</v>
      </c>
      <c r="D11" s="26">
        <v>1289131022</v>
      </c>
      <c r="E11" s="26">
        <v>10033043</v>
      </c>
      <c r="F11" s="25" t="s">
        <v>130</v>
      </c>
      <c r="G11" s="48" t="s">
        <v>322</v>
      </c>
      <c r="H11" s="53">
        <v>45806</v>
      </c>
      <c r="I11" s="53">
        <v>45888</v>
      </c>
      <c r="J11" s="14">
        <v>351.42600000000004</v>
      </c>
      <c r="K11" s="14">
        <f t="shared" si="2"/>
        <v>9.7618333333333354</v>
      </c>
      <c r="L11" s="49" t="s">
        <v>311</v>
      </c>
      <c r="M11" s="101">
        <v>0</v>
      </c>
      <c r="N11" s="101">
        <v>0</v>
      </c>
      <c r="O11" s="101">
        <v>0</v>
      </c>
      <c r="P11" s="101">
        <v>0</v>
      </c>
      <c r="Q11" s="101">
        <v>0</v>
      </c>
      <c r="R11" s="101">
        <v>0</v>
      </c>
      <c r="S11" s="101">
        <v>0</v>
      </c>
      <c r="T11" s="101">
        <v>0</v>
      </c>
      <c r="U11" s="101">
        <v>0</v>
      </c>
      <c r="V11" s="101">
        <v>0</v>
      </c>
      <c r="W11" s="101">
        <v>0</v>
      </c>
      <c r="X11" s="101">
        <v>0</v>
      </c>
      <c r="Y11" s="101">
        <v>10.003</v>
      </c>
      <c r="Z11" s="101">
        <v>9.4949999999999992</v>
      </c>
      <c r="AA11" s="101">
        <v>6.9290000000000003</v>
      </c>
      <c r="AB11" s="101">
        <v>6.1059999999999999</v>
      </c>
      <c r="AC11" s="101">
        <f>IFERROR(VLOOKUP(E11,[5]Sheet1!$A:$F,6,0),0)</f>
        <v>8.3550000000000004</v>
      </c>
      <c r="AD11" s="101">
        <v>9.3989999999999991</v>
      </c>
      <c r="AE11" s="101">
        <v>7.6449999999999996</v>
      </c>
      <c r="AF11" s="101">
        <v>9.01</v>
      </c>
      <c r="AG11" s="101">
        <v>11.775</v>
      </c>
      <c r="AH11" s="101">
        <v>11.129</v>
      </c>
      <c r="AI11" s="101">
        <f t="shared" si="1"/>
        <v>89.846000000000018</v>
      </c>
    </row>
    <row r="12" spans="1:37" ht="18" customHeight="1" x14ac:dyDescent="0.2">
      <c r="A12" s="27" t="str">
        <f t="shared" si="0"/>
        <v>개인</v>
      </c>
      <c r="B12" s="27" t="s">
        <v>1555</v>
      </c>
      <c r="C12" s="27" t="s">
        <v>1554</v>
      </c>
      <c r="D12" s="26">
        <v>1289239661</v>
      </c>
      <c r="E12" s="26">
        <v>10006915</v>
      </c>
      <c r="F12" s="25" t="s">
        <v>134</v>
      </c>
      <c r="G12" s="48" t="s">
        <v>322</v>
      </c>
      <c r="H12" s="53">
        <v>45953</v>
      </c>
      <c r="I12" s="53">
        <v>45965</v>
      </c>
      <c r="J12" s="14">
        <v>1054.308548</v>
      </c>
      <c r="K12" s="14">
        <f t="shared" si="2"/>
        <v>29.286348555555556</v>
      </c>
      <c r="L12" s="49" t="s">
        <v>311</v>
      </c>
      <c r="M12" s="101">
        <v>0</v>
      </c>
      <c r="N12" s="101">
        <v>0</v>
      </c>
      <c r="O12" s="101">
        <v>0</v>
      </c>
      <c r="P12" s="101">
        <v>0</v>
      </c>
      <c r="Q12" s="101">
        <v>0</v>
      </c>
      <c r="R12" s="101">
        <v>0</v>
      </c>
      <c r="S12" s="101">
        <v>0</v>
      </c>
      <c r="T12" s="101">
        <v>0</v>
      </c>
      <c r="U12" s="101">
        <v>0</v>
      </c>
      <c r="V12" s="101">
        <v>0</v>
      </c>
      <c r="W12" s="101">
        <v>0</v>
      </c>
      <c r="X12" s="101">
        <v>0</v>
      </c>
      <c r="Y12" s="101">
        <v>2.6920000000000002</v>
      </c>
      <c r="Z12" s="101">
        <v>7.0720000000000001</v>
      </c>
      <c r="AA12" s="101">
        <v>9.5519999999999996</v>
      </c>
      <c r="AB12" s="101">
        <v>8.8000000000000007</v>
      </c>
      <c r="AC12" s="101">
        <f>IFERROR(VLOOKUP(E12,[5]Sheet1!$A:$F,6,0),0)</f>
        <v>10.08</v>
      </c>
      <c r="AD12" s="101">
        <v>9.44</v>
      </c>
      <c r="AE12" s="101">
        <v>9.6959999999999997</v>
      </c>
      <c r="AF12" s="101">
        <v>9.3759999999999994</v>
      </c>
      <c r="AG12" s="101">
        <v>8.7680000000000007</v>
      </c>
      <c r="AH12" s="101">
        <v>7.7279999999999998</v>
      </c>
      <c r="AI12" s="101">
        <f t="shared" si="1"/>
        <v>83.203999999999994</v>
      </c>
    </row>
    <row r="13" spans="1:37" ht="18" customHeight="1" x14ac:dyDescent="0.2">
      <c r="A13" s="27" t="str">
        <f t="shared" si="0"/>
        <v>법인</v>
      </c>
      <c r="B13" s="27" t="s">
        <v>1561</v>
      </c>
      <c r="C13" s="27" t="s">
        <v>1496</v>
      </c>
      <c r="D13" s="26">
        <v>1378208431</v>
      </c>
      <c r="E13" s="26">
        <v>10033886</v>
      </c>
      <c r="F13" s="25" t="s">
        <v>351</v>
      </c>
      <c r="G13" s="48" t="s">
        <v>322</v>
      </c>
      <c r="H13" s="53">
        <v>45897</v>
      </c>
      <c r="I13" s="53">
        <v>45944</v>
      </c>
      <c r="J13" s="14">
        <v>1146.845</v>
      </c>
      <c r="K13" s="14">
        <f t="shared" si="2"/>
        <v>31.856805555555557</v>
      </c>
      <c r="L13" s="49" t="s">
        <v>332</v>
      </c>
      <c r="M13" s="101">
        <v>0</v>
      </c>
      <c r="N13" s="101">
        <v>0</v>
      </c>
      <c r="O13" s="101">
        <v>0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X13" s="101">
        <v>0</v>
      </c>
      <c r="Y13" s="101">
        <v>82.381</v>
      </c>
      <c r="Z13" s="101">
        <v>39.234000000000002</v>
      </c>
      <c r="AA13" s="101">
        <v>31.564</v>
      </c>
      <c r="AB13" s="101">
        <v>77.141999999999996</v>
      </c>
      <c r="AC13" s="101">
        <f>IFERROR(VLOOKUP(E13,[5]Sheet1!$A:$F,6,0),0)</f>
        <v>56.991999999999997</v>
      </c>
      <c r="AD13" s="101">
        <v>35.698</v>
      </c>
      <c r="AE13" s="101">
        <v>44.343000000000004</v>
      </c>
      <c r="AF13" s="101">
        <v>52.078000000000003</v>
      </c>
      <c r="AG13" s="101">
        <v>43.719000000000001</v>
      </c>
      <c r="AH13" s="101">
        <v>53.898000000000003</v>
      </c>
      <c r="AI13" s="101">
        <f t="shared" si="1"/>
        <v>517.04899999999998</v>
      </c>
    </row>
    <row r="14" spans="1:37" ht="18" customHeight="1" x14ac:dyDescent="0.2">
      <c r="A14" s="27" t="str">
        <f t="shared" si="0"/>
        <v>법인</v>
      </c>
      <c r="B14" s="27" t="s">
        <v>1562</v>
      </c>
      <c r="C14" s="27" t="s">
        <v>1496</v>
      </c>
      <c r="D14" s="26">
        <v>1428200955</v>
      </c>
      <c r="E14" s="26">
        <v>10034115</v>
      </c>
      <c r="F14" s="25" t="s">
        <v>349</v>
      </c>
      <c r="G14" s="48" t="s">
        <v>319</v>
      </c>
      <c r="H14" s="53">
        <v>45923</v>
      </c>
      <c r="I14" s="50">
        <v>45964</v>
      </c>
      <c r="J14" s="14">
        <v>420.56399999999996</v>
      </c>
      <c r="K14" s="14">
        <f>J14</f>
        <v>420.56399999999996</v>
      </c>
      <c r="L14" s="51">
        <v>0</v>
      </c>
      <c r="M14" s="101">
        <v>0</v>
      </c>
      <c r="N14" s="101">
        <v>0</v>
      </c>
      <c r="O14" s="101">
        <v>0</v>
      </c>
      <c r="P14" s="101">
        <v>0</v>
      </c>
      <c r="Q14" s="101">
        <v>0</v>
      </c>
      <c r="R14" s="101">
        <v>0</v>
      </c>
      <c r="S14" s="101">
        <v>0</v>
      </c>
      <c r="T14" s="101">
        <v>0</v>
      </c>
      <c r="U14" s="101">
        <v>0</v>
      </c>
      <c r="V14" s="101">
        <v>0</v>
      </c>
      <c r="W14" s="101">
        <v>0</v>
      </c>
      <c r="X14" s="101">
        <v>420.56400000000002</v>
      </c>
      <c r="Y14" s="101">
        <v>0</v>
      </c>
      <c r="Z14" s="101">
        <v>0</v>
      </c>
      <c r="AA14" s="101">
        <v>0</v>
      </c>
      <c r="AB14" s="101">
        <v>0</v>
      </c>
      <c r="AC14" s="101">
        <f>IFERROR(VLOOKUP(E14,[5]Sheet1!$A:$F,6,0),0)</f>
        <v>0</v>
      </c>
      <c r="AD14" s="101">
        <v>0</v>
      </c>
      <c r="AE14" s="101">
        <v>0</v>
      </c>
      <c r="AF14" s="101">
        <v>0</v>
      </c>
      <c r="AG14" s="101">
        <v>0</v>
      </c>
      <c r="AH14" s="101">
        <v>0</v>
      </c>
      <c r="AI14" s="101">
        <f t="shared" si="1"/>
        <v>420.56400000000002</v>
      </c>
    </row>
    <row r="15" spans="1:37" ht="18" customHeight="1" x14ac:dyDescent="0.2">
      <c r="A15" s="27" t="str">
        <f t="shared" si="0"/>
        <v>개인</v>
      </c>
      <c r="B15" s="27" t="s">
        <v>1558</v>
      </c>
      <c r="C15" s="27" t="s">
        <v>1554</v>
      </c>
      <c r="D15" s="26">
        <v>2059615760</v>
      </c>
      <c r="E15" s="26">
        <v>10034679</v>
      </c>
      <c r="F15" s="25" t="s">
        <v>120</v>
      </c>
      <c r="G15" s="48" t="s">
        <v>322</v>
      </c>
      <c r="H15" s="53">
        <v>45845</v>
      </c>
      <c r="I15" s="53">
        <v>45958</v>
      </c>
      <c r="J15" s="14">
        <v>490.29800000000006</v>
      </c>
      <c r="K15" s="14">
        <f t="shared" si="2"/>
        <v>13.61938888888889</v>
      </c>
      <c r="L15" s="49" t="s">
        <v>311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X15" s="101">
        <v>0</v>
      </c>
      <c r="Y15" s="101">
        <v>7.7590000000000003</v>
      </c>
      <c r="Z15" s="101">
        <v>12.558999999999999</v>
      </c>
      <c r="AA15" s="101">
        <v>9.9350000000000005</v>
      </c>
      <c r="AB15" s="101">
        <v>5.4390000000000001</v>
      </c>
      <c r="AC15" s="101">
        <f>IFERROR(VLOOKUP(E15,[5]Sheet1!$A:$F,6,0),0)</f>
        <v>10.336</v>
      </c>
      <c r="AD15" s="101">
        <v>11.513</v>
      </c>
      <c r="AE15" s="101">
        <v>10.131</v>
      </c>
      <c r="AF15" s="101">
        <v>9.4</v>
      </c>
      <c r="AG15" s="101">
        <v>10.119999999999999</v>
      </c>
      <c r="AH15" s="101">
        <v>12.835000000000001</v>
      </c>
      <c r="AI15" s="101">
        <f t="shared" si="1"/>
        <v>100.02700000000002</v>
      </c>
    </row>
    <row r="16" spans="1:37" ht="18" customHeight="1" x14ac:dyDescent="0.2">
      <c r="A16" s="27" t="str">
        <f t="shared" si="0"/>
        <v>개인</v>
      </c>
      <c r="B16" s="27" t="s">
        <v>1559</v>
      </c>
      <c r="C16" s="27" t="s">
        <v>1554</v>
      </c>
      <c r="D16" s="26">
        <v>2109607113</v>
      </c>
      <c r="E16" s="26">
        <v>10044981</v>
      </c>
      <c r="F16" s="25" t="s">
        <v>124</v>
      </c>
      <c r="G16" s="48" t="s">
        <v>322</v>
      </c>
      <c r="H16" s="53">
        <v>45849</v>
      </c>
      <c r="I16" s="53">
        <v>45965</v>
      </c>
      <c r="J16" s="14">
        <v>404.67899999999997</v>
      </c>
      <c r="K16" s="14">
        <f t="shared" si="2"/>
        <v>11.241083333333332</v>
      </c>
      <c r="L16" s="49" t="s">
        <v>311</v>
      </c>
      <c r="M16" s="101">
        <v>0</v>
      </c>
      <c r="N16" s="101">
        <v>0</v>
      </c>
      <c r="O16" s="101">
        <v>0</v>
      </c>
      <c r="P16" s="101">
        <v>0</v>
      </c>
      <c r="Q16" s="101">
        <v>0</v>
      </c>
      <c r="R16" s="101">
        <v>0</v>
      </c>
      <c r="S16" s="101">
        <v>0</v>
      </c>
      <c r="T16" s="101">
        <v>0</v>
      </c>
      <c r="U16" s="101">
        <v>0</v>
      </c>
      <c r="V16" s="101">
        <v>0</v>
      </c>
      <c r="W16" s="101">
        <v>0</v>
      </c>
      <c r="X16" s="101">
        <v>0</v>
      </c>
      <c r="Y16" s="101">
        <v>5.9640000000000004</v>
      </c>
      <c r="Z16" s="101">
        <v>10.712999999999999</v>
      </c>
      <c r="AA16" s="101">
        <v>13.101000000000001</v>
      </c>
      <c r="AB16" s="101">
        <v>9.8249999999999993</v>
      </c>
      <c r="AC16" s="101">
        <f>IFERROR(VLOOKUP(E16,[5]Sheet1!$A:$F,6,0),0)</f>
        <v>12.917999999999999</v>
      </c>
      <c r="AD16" s="101">
        <v>9.3960000000000008</v>
      </c>
      <c r="AE16" s="101">
        <v>9.5679999999999996</v>
      </c>
      <c r="AF16" s="101">
        <v>11.837</v>
      </c>
      <c r="AG16" s="101">
        <v>12.128</v>
      </c>
      <c r="AH16" s="101">
        <v>11.105</v>
      </c>
      <c r="AI16" s="101">
        <f t="shared" si="1"/>
        <v>106.55500000000001</v>
      </c>
    </row>
    <row r="17" spans="1:35" ht="18" customHeight="1" x14ac:dyDescent="0.2">
      <c r="A17" s="27" t="str">
        <f t="shared" si="0"/>
        <v>개인</v>
      </c>
      <c r="B17" s="27" t="s">
        <v>1555</v>
      </c>
      <c r="C17" s="27" t="s">
        <v>1554</v>
      </c>
      <c r="D17" s="26">
        <v>2129011299</v>
      </c>
      <c r="E17" s="26">
        <v>10035069</v>
      </c>
      <c r="F17" s="25" t="s">
        <v>66</v>
      </c>
      <c r="G17" s="48" t="s">
        <v>322</v>
      </c>
      <c r="H17" s="53">
        <v>45797</v>
      </c>
      <c r="I17" s="53">
        <v>45840</v>
      </c>
      <c r="J17" s="14">
        <v>1401.8890000000001</v>
      </c>
      <c r="K17" s="14">
        <f t="shared" si="2"/>
        <v>38.941361111111114</v>
      </c>
      <c r="L17" s="49" t="s">
        <v>312</v>
      </c>
      <c r="M17" s="101">
        <v>0</v>
      </c>
      <c r="N17" s="101">
        <v>0</v>
      </c>
      <c r="O17" s="101">
        <v>0</v>
      </c>
      <c r="P17" s="101">
        <v>0</v>
      </c>
      <c r="Q17" s="101">
        <v>0</v>
      </c>
      <c r="R17" s="101">
        <v>0</v>
      </c>
      <c r="S17" s="101">
        <v>0</v>
      </c>
      <c r="T17" s="101">
        <v>0</v>
      </c>
      <c r="U17" s="101">
        <v>5.3419999999999996</v>
      </c>
      <c r="V17" s="101">
        <v>50.708799999999997</v>
      </c>
      <c r="W17" s="101">
        <v>47.751600000000003</v>
      </c>
      <c r="X17" s="101">
        <v>47.417200000000001</v>
      </c>
      <c r="Y17" s="101">
        <v>29.071999999999999</v>
      </c>
      <c r="Z17" s="101">
        <v>31.325199999999999</v>
      </c>
      <c r="AA17" s="101">
        <v>20.231200000000001</v>
      </c>
      <c r="AB17" s="101">
        <v>23.393999999999998</v>
      </c>
      <c r="AC17" s="101">
        <f>IFERROR(VLOOKUP(E17,[5]Sheet1!$A:$F,6,0),0)</f>
        <v>28.5428</v>
      </c>
      <c r="AD17" s="101">
        <v>30.392800000000001</v>
      </c>
      <c r="AE17" s="101">
        <v>31.965199999999999</v>
      </c>
      <c r="AF17" s="101">
        <v>31.393599999999999</v>
      </c>
      <c r="AG17" s="101">
        <v>37.494</v>
      </c>
      <c r="AH17" s="101">
        <v>35.844000000000001</v>
      </c>
      <c r="AI17" s="101">
        <f t="shared" si="1"/>
        <v>450.87439999999998</v>
      </c>
    </row>
    <row r="18" spans="1:35" ht="18" customHeight="1" x14ac:dyDescent="0.2">
      <c r="A18" s="27" t="str">
        <f t="shared" si="0"/>
        <v>개인</v>
      </c>
      <c r="B18" s="27" t="s">
        <v>1558</v>
      </c>
      <c r="C18" s="27" t="s">
        <v>1554</v>
      </c>
      <c r="D18" s="26">
        <v>2129097720</v>
      </c>
      <c r="E18" s="26">
        <v>10035078</v>
      </c>
      <c r="F18" s="25" t="s">
        <v>144</v>
      </c>
      <c r="G18" s="48" t="s">
        <v>322</v>
      </c>
      <c r="H18" s="53">
        <v>45810</v>
      </c>
      <c r="I18" s="53">
        <v>45923</v>
      </c>
      <c r="J18" s="14">
        <v>279.08499999999998</v>
      </c>
      <c r="K18" s="14">
        <f t="shared" si="2"/>
        <v>7.7523611111111101</v>
      </c>
      <c r="L18" s="49" t="s">
        <v>311</v>
      </c>
      <c r="M18" s="101">
        <v>0</v>
      </c>
      <c r="N18" s="101">
        <v>0</v>
      </c>
      <c r="O18" s="101">
        <v>0</v>
      </c>
      <c r="P18" s="101">
        <v>0</v>
      </c>
      <c r="Q18" s="101">
        <v>0</v>
      </c>
      <c r="R18" s="101">
        <v>0</v>
      </c>
      <c r="S18" s="101">
        <v>0</v>
      </c>
      <c r="T18" s="101">
        <v>0</v>
      </c>
      <c r="U18" s="101">
        <v>0</v>
      </c>
      <c r="V18" s="101">
        <v>0</v>
      </c>
      <c r="W18" s="101">
        <v>0</v>
      </c>
      <c r="X18" s="101">
        <v>0</v>
      </c>
      <c r="Y18" s="101">
        <v>2</v>
      </c>
      <c r="Z18" s="101">
        <v>6.2279999999999998</v>
      </c>
      <c r="AA18" s="101">
        <v>10.475</v>
      </c>
      <c r="AB18" s="101">
        <v>9.43</v>
      </c>
      <c r="AC18" s="101">
        <f>IFERROR(VLOOKUP(E18,[5]Sheet1!$A:$F,6,0),0)</f>
        <v>6.3620000000000001</v>
      </c>
      <c r="AD18" s="101">
        <v>7.4569999999999999</v>
      </c>
      <c r="AE18" s="101">
        <v>6.2910000000000004</v>
      </c>
      <c r="AF18" s="101">
        <v>7.9109999999999996</v>
      </c>
      <c r="AG18" s="101">
        <v>5.6509999999999998</v>
      </c>
      <c r="AH18" s="101">
        <v>5.5810000000000004</v>
      </c>
      <c r="AI18" s="101">
        <f t="shared" si="1"/>
        <v>67.385999999999996</v>
      </c>
    </row>
    <row r="19" spans="1:35" ht="18" customHeight="1" x14ac:dyDescent="0.2">
      <c r="A19" s="27" t="str">
        <f t="shared" si="0"/>
        <v>법인</v>
      </c>
      <c r="B19" s="27" t="s">
        <v>1563</v>
      </c>
      <c r="C19" s="27" t="s">
        <v>1496</v>
      </c>
      <c r="D19" s="26">
        <v>2248207089</v>
      </c>
      <c r="E19" s="26">
        <v>10046570</v>
      </c>
      <c r="F19" s="25" t="s">
        <v>118</v>
      </c>
      <c r="G19" s="48" t="s">
        <v>322</v>
      </c>
      <c r="H19" s="53">
        <v>45902</v>
      </c>
      <c r="I19" s="53">
        <v>45965</v>
      </c>
      <c r="J19" s="14">
        <v>884.44200000000001</v>
      </c>
      <c r="K19" s="14">
        <f t="shared" si="2"/>
        <v>24.567833333333333</v>
      </c>
      <c r="L19" s="49" t="s">
        <v>311</v>
      </c>
      <c r="M19" s="101">
        <v>0</v>
      </c>
      <c r="N19" s="101">
        <v>0</v>
      </c>
      <c r="O19" s="101">
        <v>0</v>
      </c>
      <c r="P19" s="101">
        <v>0</v>
      </c>
      <c r="Q19" s="101">
        <v>0</v>
      </c>
      <c r="R19" s="101">
        <v>0</v>
      </c>
      <c r="S19" s="101">
        <v>0</v>
      </c>
      <c r="T19" s="101">
        <v>0</v>
      </c>
      <c r="U19" s="101">
        <v>0</v>
      </c>
      <c r="V19" s="101">
        <v>0</v>
      </c>
      <c r="W19" s="101">
        <v>0</v>
      </c>
      <c r="X19" s="101">
        <v>0</v>
      </c>
      <c r="Y19" s="101">
        <v>3.0419999999999998</v>
      </c>
      <c r="Z19" s="101">
        <v>20.617999999999999</v>
      </c>
      <c r="AA19" s="101">
        <v>27.495000000000001</v>
      </c>
      <c r="AB19" s="101">
        <v>17.094999999999999</v>
      </c>
      <c r="AC19" s="101">
        <f>IFERROR(VLOOKUP(E19,[5]Sheet1!$A:$F,6,0),0)</f>
        <v>21.021000000000001</v>
      </c>
      <c r="AD19" s="101">
        <v>20.384</v>
      </c>
      <c r="AE19" s="101">
        <v>24.088999999999999</v>
      </c>
      <c r="AF19" s="101">
        <v>24.206</v>
      </c>
      <c r="AG19" s="101">
        <v>25.701000000000001</v>
      </c>
      <c r="AH19" s="101">
        <v>21.722999999999999</v>
      </c>
      <c r="AI19" s="101">
        <f t="shared" si="1"/>
        <v>205.37399999999997</v>
      </c>
    </row>
    <row r="20" spans="1:35" ht="18" customHeight="1" x14ac:dyDescent="0.2">
      <c r="A20" s="27" t="str">
        <f t="shared" si="0"/>
        <v>개인</v>
      </c>
      <c r="B20" s="27" t="s">
        <v>1564</v>
      </c>
      <c r="C20" s="27" t="s">
        <v>1554</v>
      </c>
      <c r="D20" s="26">
        <v>2859000091</v>
      </c>
      <c r="E20" s="26">
        <v>10036016</v>
      </c>
      <c r="F20" s="25" t="s">
        <v>122</v>
      </c>
      <c r="G20" s="48" t="s">
        <v>322</v>
      </c>
      <c r="H20" s="53">
        <v>45880</v>
      </c>
      <c r="I20" s="53">
        <v>45972</v>
      </c>
      <c r="J20" s="14">
        <v>324.59199999999998</v>
      </c>
      <c r="K20" s="14">
        <f t="shared" si="2"/>
        <v>9.0164444444444438</v>
      </c>
      <c r="L20" s="49" t="s">
        <v>311</v>
      </c>
      <c r="M20" s="101">
        <v>0</v>
      </c>
      <c r="N20" s="101">
        <v>0</v>
      </c>
      <c r="O20" s="101">
        <v>0</v>
      </c>
      <c r="P20" s="101">
        <v>0</v>
      </c>
      <c r="Q20" s="101">
        <v>0</v>
      </c>
      <c r="R20" s="101">
        <v>0</v>
      </c>
      <c r="S20" s="101">
        <v>0</v>
      </c>
      <c r="T20" s="101">
        <v>0</v>
      </c>
      <c r="U20" s="101">
        <v>0</v>
      </c>
      <c r="V20" s="101">
        <v>0</v>
      </c>
      <c r="W20" s="101">
        <v>0</v>
      </c>
      <c r="X20" s="101">
        <v>0</v>
      </c>
      <c r="Y20" s="101">
        <v>1.3280000000000001</v>
      </c>
      <c r="Z20" s="101">
        <v>5.056</v>
      </c>
      <c r="AA20" s="101">
        <v>3.2160000000000002</v>
      </c>
      <c r="AB20" s="101">
        <v>4.5919999999999996</v>
      </c>
      <c r="AC20" s="101">
        <f>IFERROR(VLOOKUP(E20,[5]Sheet1!$A:$F,6,0),0)</f>
        <v>5.952</v>
      </c>
      <c r="AD20" s="101">
        <v>2.88</v>
      </c>
      <c r="AE20" s="101">
        <v>2.4319999999999999</v>
      </c>
      <c r="AF20" s="101">
        <v>5.12</v>
      </c>
      <c r="AG20" s="101">
        <v>3.6480000000000001</v>
      </c>
      <c r="AH20" s="101">
        <v>3.2</v>
      </c>
      <c r="AI20" s="101">
        <f t="shared" si="1"/>
        <v>37.423999999999999</v>
      </c>
    </row>
    <row r="21" spans="1:35" ht="18" customHeight="1" x14ac:dyDescent="0.2">
      <c r="A21" s="27" t="str">
        <f t="shared" si="0"/>
        <v>개인</v>
      </c>
      <c r="B21" s="27" t="s">
        <v>1559</v>
      </c>
      <c r="C21" s="27" t="s">
        <v>1554</v>
      </c>
      <c r="D21" s="26">
        <v>3109602311</v>
      </c>
      <c r="E21" s="26">
        <v>10036590</v>
      </c>
      <c r="F21" s="25" t="s">
        <v>136</v>
      </c>
      <c r="G21" s="48" t="s">
        <v>322</v>
      </c>
      <c r="H21" s="53">
        <v>45838</v>
      </c>
      <c r="I21" s="53">
        <v>45951</v>
      </c>
      <c r="J21" s="14">
        <v>969.53099999999995</v>
      </c>
      <c r="K21" s="14">
        <f t="shared" si="2"/>
        <v>26.931416666666664</v>
      </c>
      <c r="L21" s="49" t="s">
        <v>313</v>
      </c>
      <c r="M21" s="101">
        <v>0</v>
      </c>
      <c r="N21" s="101">
        <v>0</v>
      </c>
      <c r="O21" s="101">
        <v>0</v>
      </c>
      <c r="P21" s="101">
        <v>0</v>
      </c>
      <c r="Q21" s="101">
        <v>0</v>
      </c>
      <c r="R21" s="101">
        <v>0</v>
      </c>
      <c r="S21" s="101">
        <v>0</v>
      </c>
      <c r="T21" s="101">
        <v>0</v>
      </c>
      <c r="U21" s="101">
        <v>0</v>
      </c>
      <c r="V21" s="101">
        <v>0</v>
      </c>
      <c r="W21" s="101">
        <v>0</v>
      </c>
      <c r="X21" s="101">
        <v>0</v>
      </c>
      <c r="Y21" s="101">
        <v>7.6959999999999997</v>
      </c>
      <c r="Z21" s="101">
        <v>13.882999999999999</v>
      </c>
      <c r="AA21" s="101">
        <v>13.752000000000001</v>
      </c>
      <c r="AB21" s="101">
        <v>8.2159999999999993</v>
      </c>
      <c r="AC21" s="101">
        <f>IFERROR(VLOOKUP(E21,[5]Sheet1!$A:$F,6,0),0)</f>
        <v>12.259</v>
      </c>
      <c r="AD21" s="101">
        <v>19.387</v>
      </c>
      <c r="AE21" s="101">
        <v>28.381</v>
      </c>
      <c r="AF21" s="101">
        <v>29.457999999999998</v>
      </c>
      <c r="AG21" s="101">
        <v>27.19</v>
      </c>
      <c r="AH21" s="101">
        <v>51.515000000000001</v>
      </c>
      <c r="AI21" s="101">
        <f t="shared" si="1"/>
        <v>211.73699999999997</v>
      </c>
    </row>
    <row r="22" spans="1:35" ht="18" customHeight="1" x14ac:dyDescent="0.2">
      <c r="A22" s="27" t="str">
        <f t="shared" si="0"/>
        <v>개인</v>
      </c>
      <c r="B22" s="27" t="s">
        <v>1558</v>
      </c>
      <c r="C22" s="27" t="s">
        <v>1554</v>
      </c>
      <c r="D22" s="26">
        <v>3129151282</v>
      </c>
      <c r="E22" s="26">
        <v>10008171</v>
      </c>
      <c r="F22" s="25" t="s">
        <v>142</v>
      </c>
      <c r="G22" s="48" t="s">
        <v>322</v>
      </c>
      <c r="H22" s="53">
        <v>45833</v>
      </c>
      <c r="I22" s="53">
        <v>45951</v>
      </c>
      <c r="J22" s="14">
        <v>476.62000000000006</v>
      </c>
      <c r="K22" s="14">
        <f t="shared" si="2"/>
        <v>13.239444444444446</v>
      </c>
      <c r="L22" s="49" t="s">
        <v>311</v>
      </c>
      <c r="M22" s="101">
        <v>0</v>
      </c>
      <c r="N22" s="101">
        <v>0</v>
      </c>
      <c r="O22" s="101">
        <v>0</v>
      </c>
      <c r="P22" s="101">
        <v>0</v>
      </c>
      <c r="Q22" s="101">
        <v>0</v>
      </c>
      <c r="R22" s="101">
        <v>0</v>
      </c>
      <c r="S22" s="101">
        <v>0</v>
      </c>
      <c r="T22" s="101">
        <v>0</v>
      </c>
      <c r="U22" s="101">
        <v>0</v>
      </c>
      <c r="V22" s="101">
        <v>0</v>
      </c>
      <c r="W22" s="101">
        <v>0</v>
      </c>
      <c r="X22" s="101">
        <v>0</v>
      </c>
      <c r="Y22" s="101">
        <v>2.649</v>
      </c>
      <c r="Z22" s="101">
        <v>7.0510000000000002</v>
      </c>
      <c r="AA22" s="101">
        <v>15.753</v>
      </c>
      <c r="AB22" s="101">
        <v>17.760000000000002</v>
      </c>
      <c r="AC22" s="101">
        <f>IFERROR(VLOOKUP(E22,[5]Sheet1!$A:$F,6,0),0)</f>
        <v>18.561</v>
      </c>
      <c r="AD22" s="101">
        <v>13.519</v>
      </c>
      <c r="AE22" s="101">
        <v>17.25</v>
      </c>
      <c r="AF22" s="101">
        <v>14.896000000000001</v>
      </c>
      <c r="AG22" s="101">
        <v>15.462</v>
      </c>
      <c r="AH22" s="101">
        <v>20.992999999999999</v>
      </c>
      <c r="AI22" s="101">
        <f t="shared" si="1"/>
        <v>143.89400000000001</v>
      </c>
    </row>
    <row r="23" spans="1:35" ht="18" customHeight="1" x14ac:dyDescent="0.2">
      <c r="A23" s="27" t="str">
        <f t="shared" si="0"/>
        <v>법인</v>
      </c>
      <c r="B23" s="27" t="s">
        <v>1560</v>
      </c>
      <c r="C23" s="27" t="s">
        <v>1496</v>
      </c>
      <c r="D23" s="26">
        <v>3668200250</v>
      </c>
      <c r="E23" s="26">
        <v>10037290</v>
      </c>
      <c r="F23" s="25" t="s">
        <v>79</v>
      </c>
      <c r="G23" s="48" t="s">
        <v>320</v>
      </c>
      <c r="H23" s="53">
        <v>45916</v>
      </c>
      <c r="I23" s="50">
        <v>45969</v>
      </c>
      <c r="J23" s="14">
        <v>220</v>
      </c>
      <c r="K23" s="14">
        <f>J23</f>
        <v>220</v>
      </c>
      <c r="L23" s="49" t="s">
        <v>348</v>
      </c>
      <c r="M23" s="101">
        <v>0</v>
      </c>
      <c r="N23" s="101">
        <v>0</v>
      </c>
      <c r="O23" s="101">
        <v>0</v>
      </c>
      <c r="P23" s="101">
        <v>0</v>
      </c>
      <c r="Q23" s="101">
        <v>0</v>
      </c>
      <c r="R23" s="101">
        <v>0</v>
      </c>
      <c r="S23" s="101">
        <v>0</v>
      </c>
      <c r="T23" s="101">
        <v>0</v>
      </c>
      <c r="U23" s="101">
        <v>0</v>
      </c>
      <c r="V23" s="101">
        <v>220</v>
      </c>
      <c r="W23" s="101">
        <v>0</v>
      </c>
      <c r="X23" s="101">
        <v>0</v>
      </c>
      <c r="Y23" s="101">
        <v>-220</v>
      </c>
      <c r="Z23" s="101">
        <v>220</v>
      </c>
      <c r="AA23" s="101">
        <v>0</v>
      </c>
      <c r="AB23" s="101">
        <v>0</v>
      </c>
      <c r="AC23" s="101">
        <f>IFERROR(VLOOKUP(E23,[5]Sheet1!$A:$F,6,0),0)</f>
        <v>0</v>
      </c>
      <c r="AD23" s="101">
        <v>0</v>
      </c>
      <c r="AE23" s="101">
        <v>0</v>
      </c>
      <c r="AF23" s="101">
        <v>0</v>
      </c>
      <c r="AG23" s="101">
        <v>0</v>
      </c>
      <c r="AH23" s="101">
        <v>0</v>
      </c>
      <c r="AI23" s="101">
        <f t="shared" si="1"/>
        <v>220</v>
      </c>
    </row>
    <row r="24" spans="1:35" ht="18" customHeight="1" x14ac:dyDescent="0.2">
      <c r="A24" s="27" t="str">
        <f t="shared" si="0"/>
        <v>개인</v>
      </c>
      <c r="B24" s="27" t="s">
        <v>1556</v>
      </c>
      <c r="C24" s="27" t="s">
        <v>1554</v>
      </c>
      <c r="D24" s="26">
        <v>4059009702</v>
      </c>
      <c r="E24" s="26">
        <v>10037788</v>
      </c>
      <c r="F24" s="25" t="s">
        <v>150</v>
      </c>
      <c r="G24" s="48" t="s">
        <v>320</v>
      </c>
      <c r="H24" s="53">
        <v>45908</v>
      </c>
      <c r="I24" s="50">
        <v>45993</v>
      </c>
      <c r="J24" s="14">
        <v>209.16499999999999</v>
      </c>
      <c r="K24" s="14">
        <f>J24</f>
        <v>209.16499999999999</v>
      </c>
      <c r="L24" s="49" t="s">
        <v>311</v>
      </c>
      <c r="M24" s="101">
        <v>0</v>
      </c>
      <c r="N24" s="101">
        <v>0</v>
      </c>
      <c r="O24" s="101">
        <v>0</v>
      </c>
      <c r="P24" s="101">
        <v>0</v>
      </c>
      <c r="Q24" s="101">
        <v>0</v>
      </c>
      <c r="R24" s="101">
        <v>0</v>
      </c>
      <c r="S24" s="101">
        <v>0</v>
      </c>
      <c r="T24" s="101">
        <v>0</v>
      </c>
      <c r="U24" s="101">
        <v>0</v>
      </c>
      <c r="V24" s="101">
        <v>0</v>
      </c>
      <c r="W24" s="101">
        <v>0</v>
      </c>
      <c r="X24" s="101">
        <v>0</v>
      </c>
      <c r="Y24" s="101">
        <v>209.16499999999999</v>
      </c>
      <c r="Z24" s="101">
        <v>0</v>
      </c>
      <c r="AA24" s="101">
        <v>0</v>
      </c>
      <c r="AB24" s="101">
        <v>0</v>
      </c>
      <c r="AC24" s="101">
        <f>IFERROR(VLOOKUP(E24,[5]Sheet1!$A:$F,6,0),0)</f>
        <v>0</v>
      </c>
      <c r="AD24" s="101">
        <v>0</v>
      </c>
      <c r="AE24" s="101">
        <v>0</v>
      </c>
      <c r="AF24" s="101">
        <v>0</v>
      </c>
      <c r="AG24" s="101">
        <v>0</v>
      </c>
      <c r="AH24" s="101">
        <v>0</v>
      </c>
      <c r="AI24" s="101">
        <f t="shared" si="1"/>
        <v>209.16499999999999</v>
      </c>
    </row>
    <row r="25" spans="1:35" ht="18" customHeight="1" x14ac:dyDescent="0.2">
      <c r="A25" s="27" t="str">
        <f t="shared" si="0"/>
        <v>개인</v>
      </c>
      <c r="B25" s="27" t="s">
        <v>1556</v>
      </c>
      <c r="C25" s="27" t="s">
        <v>1554</v>
      </c>
      <c r="D25" s="26">
        <v>4119603025</v>
      </c>
      <c r="E25" s="26">
        <v>10038346</v>
      </c>
      <c r="F25" s="25" t="s">
        <v>90</v>
      </c>
      <c r="G25" s="48" t="s">
        <v>322</v>
      </c>
      <c r="H25" s="53">
        <v>45825</v>
      </c>
      <c r="I25" s="53">
        <v>45903</v>
      </c>
      <c r="J25" s="14">
        <v>1600.6979999999999</v>
      </c>
      <c r="K25" s="14">
        <f t="shared" si="2"/>
        <v>44.463833333333326</v>
      </c>
      <c r="L25" s="49" t="s">
        <v>311</v>
      </c>
      <c r="M25" s="101">
        <v>0</v>
      </c>
      <c r="N25" s="101">
        <v>0</v>
      </c>
      <c r="O25" s="101">
        <v>0</v>
      </c>
      <c r="P25" s="101">
        <v>0</v>
      </c>
      <c r="Q25" s="101">
        <v>0</v>
      </c>
      <c r="R25" s="101">
        <v>0</v>
      </c>
      <c r="S25" s="101">
        <v>0</v>
      </c>
      <c r="T25" s="101">
        <v>0</v>
      </c>
      <c r="U25" s="101">
        <v>0</v>
      </c>
      <c r="V25" s="101">
        <v>0</v>
      </c>
      <c r="W25" s="101">
        <v>0.32800000000000001</v>
      </c>
      <c r="X25" s="101">
        <v>0</v>
      </c>
      <c r="Y25" s="101">
        <v>2.7890000000000001</v>
      </c>
      <c r="Z25" s="101">
        <v>14</v>
      </c>
      <c r="AA25" s="101">
        <v>16.332000000000001</v>
      </c>
      <c r="AB25" s="101">
        <v>26.378</v>
      </c>
      <c r="AC25" s="101">
        <f>IFERROR(VLOOKUP(E25,[5]Sheet1!$A:$F,6,0),0)</f>
        <v>23.126000000000001</v>
      </c>
      <c r="AD25" s="101">
        <v>20.658000000000001</v>
      </c>
      <c r="AE25" s="101">
        <v>19.803999999999998</v>
      </c>
      <c r="AF25" s="101">
        <v>17.850999999999999</v>
      </c>
      <c r="AG25" s="101">
        <v>20.039000000000001</v>
      </c>
      <c r="AH25" s="101">
        <v>19.678000000000001</v>
      </c>
      <c r="AI25" s="101">
        <f t="shared" si="1"/>
        <v>180.983</v>
      </c>
    </row>
    <row r="26" spans="1:35" ht="18" customHeight="1" x14ac:dyDescent="0.2">
      <c r="A26" s="27" t="str">
        <f t="shared" si="0"/>
        <v>개인</v>
      </c>
      <c r="B26" s="27" t="s">
        <v>1565</v>
      </c>
      <c r="C26" s="27" t="s">
        <v>1554</v>
      </c>
      <c r="D26" s="26">
        <v>5029241763</v>
      </c>
      <c r="E26" s="26">
        <v>10039242</v>
      </c>
      <c r="F26" s="25" t="s">
        <v>140</v>
      </c>
      <c r="G26" s="48" t="s">
        <v>322</v>
      </c>
      <c r="H26" s="53">
        <v>45854</v>
      </c>
      <c r="I26" s="53">
        <v>45972</v>
      </c>
      <c r="J26" s="14">
        <v>254.14599999999999</v>
      </c>
      <c r="K26" s="14">
        <f t="shared" si="2"/>
        <v>7.0596111111111108</v>
      </c>
      <c r="L26" s="49" t="s">
        <v>311</v>
      </c>
      <c r="M26" s="101">
        <v>0</v>
      </c>
      <c r="N26" s="101">
        <v>0</v>
      </c>
      <c r="O26" s="101">
        <v>0</v>
      </c>
      <c r="P26" s="101">
        <v>0</v>
      </c>
      <c r="Q26" s="101">
        <v>0</v>
      </c>
      <c r="R26" s="101">
        <v>0</v>
      </c>
      <c r="S26" s="101">
        <v>0</v>
      </c>
      <c r="T26" s="101">
        <v>0</v>
      </c>
      <c r="U26" s="101">
        <v>0</v>
      </c>
      <c r="V26" s="101">
        <v>0</v>
      </c>
      <c r="W26" s="101">
        <v>0</v>
      </c>
      <c r="X26" s="101">
        <v>0</v>
      </c>
      <c r="Y26" s="101">
        <v>1.6679999999999999</v>
      </c>
      <c r="Z26" s="101">
        <v>4.21</v>
      </c>
      <c r="AA26" s="101">
        <v>5.992</v>
      </c>
      <c r="AB26" s="101">
        <v>4.2709999999999999</v>
      </c>
      <c r="AC26" s="101">
        <f>IFERROR(VLOOKUP(E26,[5]Sheet1!$A:$F,6,0),0)</f>
        <v>5.0629999999999997</v>
      </c>
      <c r="AD26" s="101">
        <v>4.6539999999999999</v>
      </c>
      <c r="AE26" s="101">
        <v>4.3810000000000002</v>
      </c>
      <c r="AF26" s="101">
        <v>5.8120000000000003</v>
      </c>
      <c r="AG26" s="101">
        <v>6.069</v>
      </c>
      <c r="AH26" s="101">
        <v>5.8120000000000003</v>
      </c>
      <c r="AI26" s="101">
        <f t="shared" si="1"/>
        <v>47.931999999999995</v>
      </c>
    </row>
    <row r="27" spans="1:35" ht="18" customHeight="1" x14ac:dyDescent="0.2">
      <c r="A27" s="27" t="str">
        <f t="shared" si="0"/>
        <v>법인</v>
      </c>
      <c r="B27" s="27" t="s">
        <v>1581</v>
      </c>
      <c r="C27" s="27" t="s">
        <v>1496</v>
      </c>
      <c r="D27" s="26">
        <v>5148204710</v>
      </c>
      <c r="E27" s="26">
        <v>10039905</v>
      </c>
      <c r="F27" s="25" t="s">
        <v>347</v>
      </c>
      <c r="G27" s="48" t="s">
        <v>320</v>
      </c>
      <c r="H27" s="53">
        <v>45926</v>
      </c>
      <c r="I27" s="50">
        <v>45999</v>
      </c>
      <c r="J27" s="14">
        <v>137</v>
      </c>
      <c r="K27" s="14">
        <f>J27</f>
        <v>137</v>
      </c>
      <c r="L27" s="49" t="s">
        <v>346</v>
      </c>
      <c r="M27" s="101">
        <v>0</v>
      </c>
      <c r="N27" s="101">
        <v>0</v>
      </c>
      <c r="O27" s="101">
        <v>0</v>
      </c>
      <c r="P27" s="101">
        <v>0</v>
      </c>
      <c r="Q27" s="101">
        <v>0</v>
      </c>
      <c r="R27" s="101">
        <v>0</v>
      </c>
      <c r="S27" s="101">
        <v>0</v>
      </c>
      <c r="T27" s="101">
        <v>0</v>
      </c>
      <c r="U27" s="101">
        <v>0</v>
      </c>
      <c r="V27" s="101">
        <v>0</v>
      </c>
      <c r="W27" s="101">
        <v>0</v>
      </c>
      <c r="X27" s="101">
        <v>0</v>
      </c>
      <c r="Y27" s="101">
        <v>137</v>
      </c>
      <c r="Z27" s="101">
        <v>0</v>
      </c>
      <c r="AA27" s="101">
        <v>0</v>
      </c>
      <c r="AB27" s="101">
        <v>0</v>
      </c>
      <c r="AC27" s="101">
        <f>IFERROR(VLOOKUP(E27,[5]Sheet1!$A:$F,6,0),0)</f>
        <v>0</v>
      </c>
      <c r="AD27" s="101">
        <v>0</v>
      </c>
      <c r="AE27" s="101">
        <v>0</v>
      </c>
      <c r="AF27" s="101">
        <v>0</v>
      </c>
      <c r="AG27" s="101">
        <v>0</v>
      </c>
      <c r="AH27" s="101">
        <v>0</v>
      </c>
      <c r="AI27" s="101">
        <f t="shared" si="1"/>
        <v>137</v>
      </c>
    </row>
    <row r="28" spans="1:35" ht="18" customHeight="1" x14ac:dyDescent="0.2">
      <c r="A28" s="27" t="str">
        <f t="shared" si="0"/>
        <v>법인</v>
      </c>
      <c r="B28" s="27" t="s">
        <v>1557</v>
      </c>
      <c r="C28" s="27" t="s">
        <v>1496</v>
      </c>
      <c r="D28" s="26">
        <v>6058211399</v>
      </c>
      <c r="E28" s="26">
        <v>10003599</v>
      </c>
      <c r="F28" s="25" t="s">
        <v>115</v>
      </c>
      <c r="G28" s="48" t="s">
        <v>322</v>
      </c>
      <c r="H28" s="53">
        <v>45838</v>
      </c>
      <c r="I28" s="53">
        <v>45916</v>
      </c>
      <c r="J28" s="14">
        <v>272.04599999999999</v>
      </c>
      <c r="K28" s="14">
        <f t="shared" si="2"/>
        <v>7.5568333333333335</v>
      </c>
      <c r="L28" s="49" t="s">
        <v>311</v>
      </c>
      <c r="M28" s="101">
        <v>0</v>
      </c>
      <c r="N28" s="101">
        <v>0</v>
      </c>
      <c r="O28" s="101">
        <v>0</v>
      </c>
      <c r="P28" s="101">
        <v>0</v>
      </c>
      <c r="Q28" s="101">
        <v>0</v>
      </c>
      <c r="R28" s="101">
        <v>0</v>
      </c>
      <c r="S28" s="101">
        <v>0</v>
      </c>
      <c r="T28" s="101">
        <v>0</v>
      </c>
      <c r="U28" s="101">
        <v>0</v>
      </c>
      <c r="V28" s="101">
        <v>0</v>
      </c>
      <c r="W28" s="101">
        <v>0</v>
      </c>
      <c r="X28" s="101">
        <v>1.18</v>
      </c>
      <c r="Y28" s="101">
        <v>0</v>
      </c>
      <c r="Z28" s="101">
        <v>9.2620000000000005</v>
      </c>
      <c r="AA28" s="101">
        <v>13.878</v>
      </c>
      <c r="AB28" s="101">
        <v>12.686999999999999</v>
      </c>
      <c r="AC28" s="101">
        <f>IFERROR(VLOOKUP(E28,[5]Sheet1!$A:$F,6,0),0)</f>
        <v>13.422000000000001</v>
      </c>
      <c r="AD28" s="101">
        <v>14.279</v>
      </c>
      <c r="AE28" s="101">
        <v>2.2000000000000002</v>
      </c>
      <c r="AF28" s="101">
        <v>-15.558</v>
      </c>
      <c r="AG28" s="101">
        <v>14.430999999999999</v>
      </c>
      <c r="AH28" s="101">
        <v>6.915</v>
      </c>
      <c r="AI28" s="101">
        <f t="shared" si="1"/>
        <v>72.696000000000012</v>
      </c>
    </row>
    <row r="29" spans="1:35" ht="18" customHeight="1" x14ac:dyDescent="0.2">
      <c r="A29" s="27" t="str">
        <f t="shared" si="0"/>
        <v>법인</v>
      </c>
      <c r="B29" s="27" t="s">
        <v>1566</v>
      </c>
      <c r="C29" s="27" t="s">
        <v>1496</v>
      </c>
      <c r="D29" s="26">
        <v>6168203453</v>
      </c>
      <c r="E29" s="26">
        <v>10041502</v>
      </c>
      <c r="F29" s="25" t="s">
        <v>126</v>
      </c>
      <c r="G29" s="48" t="s">
        <v>322</v>
      </c>
      <c r="H29" s="53">
        <v>45835</v>
      </c>
      <c r="I29" s="53">
        <v>45881</v>
      </c>
      <c r="J29" s="14">
        <v>2922.7309999999998</v>
      </c>
      <c r="K29" s="14">
        <f t="shared" si="2"/>
        <v>81.186972222222209</v>
      </c>
      <c r="L29" s="49" t="s">
        <v>314</v>
      </c>
      <c r="M29" s="101">
        <v>0</v>
      </c>
      <c r="N29" s="101">
        <v>0</v>
      </c>
      <c r="O29" s="101">
        <v>0</v>
      </c>
      <c r="P29" s="101">
        <v>0</v>
      </c>
      <c r="Q29" s="101">
        <v>0</v>
      </c>
      <c r="R29" s="101">
        <v>0</v>
      </c>
      <c r="S29" s="101">
        <v>0</v>
      </c>
      <c r="T29" s="101">
        <v>0</v>
      </c>
      <c r="U29" s="101">
        <v>0</v>
      </c>
      <c r="V29" s="101">
        <v>0</v>
      </c>
      <c r="W29" s="101">
        <v>0</v>
      </c>
      <c r="X29" s="101">
        <v>0</v>
      </c>
      <c r="Y29" s="101">
        <v>26.248999999999999</v>
      </c>
      <c r="Z29" s="101">
        <v>31.023</v>
      </c>
      <c r="AA29" s="101">
        <v>32.76</v>
      </c>
      <c r="AB29" s="101">
        <v>24.085000000000001</v>
      </c>
      <c r="AC29" s="101">
        <f>IFERROR(VLOOKUP(E29,[5]Sheet1!$A:$F,6,0),0)</f>
        <v>28.277999999999999</v>
      </c>
      <c r="AD29" s="101">
        <v>25</v>
      </c>
      <c r="AE29" s="101">
        <v>25</v>
      </c>
      <c r="AF29" s="101">
        <v>28.946000000000002</v>
      </c>
      <c r="AG29" s="101">
        <v>27.334</v>
      </c>
      <c r="AH29" s="101">
        <v>27.553999999999998</v>
      </c>
      <c r="AI29" s="101">
        <f t="shared" si="1"/>
        <v>276.22899999999998</v>
      </c>
    </row>
    <row r="30" spans="1:35" ht="18" customHeight="1" x14ac:dyDescent="0.2">
      <c r="A30" s="27" t="str">
        <f t="shared" si="0"/>
        <v>법인</v>
      </c>
      <c r="B30" s="27" t="s">
        <v>1559</v>
      </c>
      <c r="C30" s="27" t="s">
        <v>1496</v>
      </c>
      <c r="D30" s="26">
        <v>6398200177</v>
      </c>
      <c r="E30" s="26">
        <v>10047292</v>
      </c>
      <c r="F30" s="25" t="s">
        <v>128</v>
      </c>
      <c r="G30" s="48" t="s">
        <v>322</v>
      </c>
      <c r="H30" s="53">
        <v>45897</v>
      </c>
      <c r="I30" s="53">
        <v>45950</v>
      </c>
      <c r="J30" s="14">
        <v>1705.3829000000001</v>
      </c>
      <c r="K30" s="14">
        <f t="shared" si="2"/>
        <v>47.371747222222226</v>
      </c>
      <c r="L30" s="49" t="s">
        <v>311</v>
      </c>
      <c r="M30" s="101">
        <v>0</v>
      </c>
      <c r="N30" s="101">
        <v>0</v>
      </c>
      <c r="O30" s="101">
        <v>0</v>
      </c>
      <c r="P30" s="101">
        <v>0</v>
      </c>
      <c r="Q30" s="101">
        <v>0</v>
      </c>
      <c r="R30" s="101">
        <v>0</v>
      </c>
      <c r="S30" s="101">
        <v>0</v>
      </c>
      <c r="T30" s="101">
        <v>0</v>
      </c>
      <c r="U30" s="101">
        <v>0</v>
      </c>
      <c r="V30" s="101">
        <v>0</v>
      </c>
      <c r="W30" s="101">
        <v>0</v>
      </c>
      <c r="X30" s="101">
        <v>0</v>
      </c>
      <c r="Y30" s="101">
        <v>0.76600000000000001</v>
      </c>
      <c r="Z30" s="101">
        <v>20.672000000000001</v>
      </c>
      <c r="AA30" s="101">
        <v>26.343</v>
      </c>
      <c r="AB30" s="101">
        <v>27.209</v>
      </c>
      <c r="AC30" s="101">
        <f>IFERROR(VLOOKUP(E30,[5]Sheet1!$A:$F,6,0),0)</f>
        <v>34.56</v>
      </c>
      <c r="AD30" s="101">
        <v>33.868000000000002</v>
      </c>
      <c r="AE30" s="101">
        <v>44.222000000000001</v>
      </c>
      <c r="AF30" s="101">
        <v>47.991</v>
      </c>
      <c r="AG30" s="101">
        <v>43.418999999999997</v>
      </c>
      <c r="AH30" s="101">
        <v>41.899000000000001</v>
      </c>
      <c r="AI30" s="101">
        <f t="shared" si="1"/>
        <v>320.94900000000001</v>
      </c>
    </row>
    <row r="31" spans="1:35" ht="18" customHeight="1" x14ac:dyDescent="0.2">
      <c r="A31" s="27" t="str">
        <f t="shared" si="0"/>
        <v>개인</v>
      </c>
      <c r="B31" s="27" t="s">
        <v>1567</v>
      </c>
      <c r="C31" s="27" t="s">
        <v>1554</v>
      </c>
      <c r="D31" s="26">
        <v>6877100016</v>
      </c>
      <c r="E31" s="26">
        <v>10022281</v>
      </c>
      <c r="F31" s="25" t="s">
        <v>86</v>
      </c>
      <c r="G31" s="48" t="s">
        <v>322</v>
      </c>
      <c r="H31" s="53">
        <v>45827</v>
      </c>
      <c r="I31" s="53">
        <v>45902</v>
      </c>
      <c r="J31" s="14">
        <v>206.75200000000001</v>
      </c>
      <c r="K31" s="14">
        <f t="shared" si="2"/>
        <v>5.7431111111111113</v>
      </c>
      <c r="L31" s="49" t="s">
        <v>311</v>
      </c>
      <c r="M31" s="101">
        <v>0</v>
      </c>
      <c r="N31" s="101">
        <v>0</v>
      </c>
      <c r="O31" s="101">
        <v>0</v>
      </c>
      <c r="P31" s="101">
        <v>0</v>
      </c>
      <c r="Q31" s="101">
        <v>0</v>
      </c>
      <c r="R31" s="101">
        <v>0</v>
      </c>
      <c r="S31" s="101">
        <v>0</v>
      </c>
      <c r="T31" s="101">
        <v>0</v>
      </c>
      <c r="U31" s="101">
        <v>0</v>
      </c>
      <c r="V31" s="101">
        <v>0</v>
      </c>
      <c r="W31" s="101">
        <v>1.155</v>
      </c>
      <c r="X31" s="101">
        <v>1.45</v>
      </c>
      <c r="Y31" s="101">
        <v>1.45</v>
      </c>
      <c r="Z31" s="101">
        <v>2.1760000000000002</v>
      </c>
      <c r="AA31" s="101">
        <v>1.45</v>
      </c>
      <c r="AB31" s="101">
        <v>2.016</v>
      </c>
      <c r="AC31" s="101">
        <f>IFERROR(VLOOKUP(E31,[5]Sheet1!$A:$F,6,0),0)</f>
        <v>1.6479999999999999</v>
      </c>
      <c r="AD31" s="101">
        <v>1.9359999999999999</v>
      </c>
      <c r="AE31" s="101">
        <v>1.8720000000000001</v>
      </c>
      <c r="AF31" s="101">
        <v>1.712</v>
      </c>
      <c r="AG31" s="101">
        <v>1.6479999999999999</v>
      </c>
      <c r="AH31" s="101">
        <v>1.6160000000000001</v>
      </c>
      <c r="AI31" s="101">
        <f t="shared" si="1"/>
        <v>20.129000000000001</v>
      </c>
    </row>
    <row r="32" spans="1:35" ht="18" customHeight="1" x14ac:dyDescent="0.2">
      <c r="A32" s="27" t="str">
        <f t="shared" si="0"/>
        <v>개인</v>
      </c>
      <c r="B32" s="27" t="s">
        <v>1564</v>
      </c>
      <c r="C32" s="27" t="s">
        <v>1554</v>
      </c>
      <c r="D32" s="26">
        <v>8039501646</v>
      </c>
      <c r="E32" s="26">
        <v>10086279</v>
      </c>
      <c r="F32" s="25" t="s">
        <v>138</v>
      </c>
      <c r="G32" s="108" t="s">
        <v>442</v>
      </c>
      <c r="H32" s="53">
        <v>45987</v>
      </c>
      <c r="I32" s="50">
        <v>46000</v>
      </c>
      <c r="J32" s="14">
        <v>276.46046999999999</v>
      </c>
      <c r="K32" s="14">
        <f t="shared" si="2"/>
        <v>7.6794574999999998</v>
      </c>
      <c r="L32" s="49" t="s">
        <v>311</v>
      </c>
      <c r="M32" s="101">
        <v>0</v>
      </c>
      <c r="N32" s="101">
        <v>0</v>
      </c>
      <c r="O32" s="101">
        <v>0</v>
      </c>
      <c r="P32" s="101">
        <v>0</v>
      </c>
      <c r="Q32" s="101">
        <v>0</v>
      </c>
      <c r="R32" s="101">
        <v>0</v>
      </c>
      <c r="S32" s="101">
        <v>0</v>
      </c>
      <c r="T32" s="101">
        <v>0</v>
      </c>
      <c r="U32" s="101">
        <v>0</v>
      </c>
      <c r="V32" s="101">
        <v>0</v>
      </c>
      <c r="W32" s="101">
        <v>0</v>
      </c>
      <c r="X32" s="101">
        <v>0</v>
      </c>
      <c r="Y32" s="101">
        <v>276.46046999999999</v>
      </c>
      <c r="Z32" s="101">
        <v>0</v>
      </c>
      <c r="AA32" s="101">
        <v>0</v>
      </c>
      <c r="AB32" s="101">
        <v>0</v>
      </c>
      <c r="AC32" s="101">
        <f>IFERROR(VLOOKUP(E32,[5]Sheet1!$A:$F,6,0),0)</f>
        <v>0</v>
      </c>
      <c r="AD32" s="101">
        <v>0</v>
      </c>
      <c r="AE32" s="101">
        <v>0</v>
      </c>
      <c r="AF32" s="101">
        <v>0</v>
      </c>
      <c r="AG32" s="101">
        <v>0</v>
      </c>
      <c r="AH32" s="101">
        <v>0</v>
      </c>
      <c r="AI32" s="101">
        <f t="shared" si="1"/>
        <v>276.46046999999999</v>
      </c>
    </row>
    <row r="33" spans="1:35" ht="18" customHeight="1" x14ac:dyDescent="0.2">
      <c r="A33" s="27" t="str">
        <f t="shared" si="0"/>
        <v>법인</v>
      </c>
      <c r="B33" s="27" t="s">
        <v>1568</v>
      </c>
      <c r="C33" s="27" t="s">
        <v>1496</v>
      </c>
      <c r="D33" s="26">
        <v>6208200931</v>
      </c>
      <c r="E33" s="26">
        <v>10041740</v>
      </c>
      <c r="F33" s="25" t="s">
        <v>113</v>
      </c>
      <c r="G33" s="48" t="s">
        <v>322</v>
      </c>
      <c r="H33" s="53">
        <v>45838</v>
      </c>
      <c r="I33" s="53">
        <v>45916</v>
      </c>
      <c r="J33" s="14">
        <v>290.88499999999999</v>
      </c>
      <c r="K33" s="14">
        <f t="shared" si="2"/>
        <v>8.0801388888888894</v>
      </c>
      <c r="L33" s="49" t="s">
        <v>311</v>
      </c>
      <c r="M33" s="101">
        <v>0</v>
      </c>
      <c r="N33" s="101">
        <v>0</v>
      </c>
      <c r="O33" s="101">
        <v>0</v>
      </c>
      <c r="P33" s="101">
        <v>0</v>
      </c>
      <c r="Q33" s="101">
        <v>0</v>
      </c>
      <c r="R33" s="101">
        <v>0</v>
      </c>
      <c r="S33" s="101">
        <v>0</v>
      </c>
      <c r="T33" s="101">
        <v>0</v>
      </c>
      <c r="U33" s="101">
        <v>0</v>
      </c>
      <c r="V33" s="101">
        <v>0</v>
      </c>
      <c r="W33" s="101">
        <v>0</v>
      </c>
      <c r="X33" s="101">
        <v>0.79500000000000004</v>
      </c>
      <c r="Y33" s="101">
        <v>6.1970000000000001</v>
      </c>
      <c r="Z33" s="101">
        <v>5.3369999999999997</v>
      </c>
      <c r="AA33" s="101">
        <v>5.5739999999999998</v>
      </c>
      <c r="AB33" s="101">
        <v>5.3570000000000002</v>
      </c>
      <c r="AC33" s="101">
        <f>IFERROR(VLOOKUP(E33,[5]Sheet1!$A:$F,6,0),0)</f>
        <v>4.5960000000000001</v>
      </c>
      <c r="AD33" s="101">
        <v>6.0339999999999998</v>
      </c>
      <c r="AE33" s="101">
        <v>4.5369999999999999</v>
      </c>
      <c r="AF33" s="101">
        <v>5.4729999999999999</v>
      </c>
      <c r="AG33" s="101">
        <v>5.4160000000000004</v>
      </c>
      <c r="AH33" s="101">
        <v>4.9279999999999999</v>
      </c>
      <c r="AI33" s="101">
        <f t="shared" si="1"/>
        <v>54.244</v>
      </c>
    </row>
    <row r="34" spans="1:35" ht="18" customHeight="1" x14ac:dyDescent="0.2">
      <c r="A34" s="27" t="str">
        <f t="shared" si="0"/>
        <v>법인</v>
      </c>
      <c r="B34" s="27" t="s">
        <v>1555</v>
      </c>
      <c r="C34" s="27" t="s">
        <v>1496</v>
      </c>
      <c r="D34" s="26">
        <v>1538200538</v>
      </c>
      <c r="E34" s="26">
        <v>10074449</v>
      </c>
      <c r="F34" s="25" t="s">
        <v>69</v>
      </c>
      <c r="G34" s="48" t="s">
        <v>322</v>
      </c>
      <c r="H34" s="53">
        <v>45859</v>
      </c>
      <c r="I34" s="53">
        <v>45859</v>
      </c>
      <c r="J34" s="14">
        <v>117.27416699999999</v>
      </c>
      <c r="K34" s="14">
        <f t="shared" si="2"/>
        <v>3.2576157499999998</v>
      </c>
      <c r="L34" s="49" t="s">
        <v>315</v>
      </c>
      <c r="M34" s="101">
        <v>0</v>
      </c>
      <c r="N34" s="101">
        <v>0</v>
      </c>
      <c r="O34" s="101">
        <v>0</v>
      </c>
      <c r="P34" s="101">
        <v>0</v>
      </c>
      <c r="Q34" s="101">
        <v>0</v>
      </c>
      <c r="R34" s="101">
        <v>0</v>
      </c>
      <c r="S34" s="101">
        <v>0</v>
      </c>
      <c r="T34" s="101">
        <v>0</v>
      </c>
      <c r="U34" s="101">
        <v>0</v>
      </c>
      <c r="V34" s="101">
        <v>1.8460000000000001</v>
      </c>
      <c r="W34" s="101">
        <v>2.9129999999999998</v>
      </c>
      <c r="X34" s="101">
        <v>1.9179999999999999</v>
      </c>
      <c r="Y34" s="101">
        <v>2.68</v>
      </c>
      <c r="Z34" s="101">
        <v>2.7269999999999999</v>
      </c>
      <c r="AA34" s="101">
        <v>2.77</v>
      </c>
      <c r="AB34" s="101">
        <v>3.15</v>
      </c>
      <c r="AC34" s="101">
        <f>IFERROR(VLOOKUP(E34,[5]Sheet1!$A:$F,6,0),0)</f>
        <v>2.4780000000000002</v>
      </c>
      <c r="AD34" s="101">
        <v>5.2320000000000002</v>
      </c>
      <c r="AE34" s="101">
        <v>2.8029999999999999</v>
      </c>
      <c r="AF34" s="101">
        <v>3.9750000000000001</v>
      </c>
      <c r="AG34" s="101">
        <v>2.5950000000000002</v>
      </c>
      <c r="AH34" s="101">
        <v>2.149</v>
      </c>
      <c r="AI34" s="101">
        <f t="shared" si="1"/>
        <v>37.235999999999997</v>
      </c>
    </row>
    <row r="35" spans="1:35" ht="18" customHeight="1" x14ac:dyDescent="0.2">
      <c r="A35" s="27" t="str">
        <f t="shared" si="0"/>
        <v>개인</v>
      </c>
      <c r="B35" s="27" t="s">
        <v>1556</v>
      </c>
      <c r="C35" s="27" t="s">
        <v>1554</v>
      </c>
      <c r="D35" s="26">
        <v>4186500404</v>
      </c>
      <c r="E35" s="26">
        <v>10067520</v>
      </c>
      <c r="F35" s="25" t="s">
        <v>56</v>
      </c>
      <c r="G35" s="48" t="s">
        <v>321</v>
      </c>
      <c r="H35" s="53">
        <v>45821</v>
      </c>
      <c r="I35" s="53">
        <v>45895</v>
      </c>
      <c r="J35" s="14">
        <v>145.15100000000001</v>
      </c>
      <c r="K35" s="14">
        <f>J35</f>
        <v>145.15100000000001</v>
      </c>
      <c r="L35" s="49" t="s">
        <v>311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145.15100000000001</v>
      </c>
      <c r="V35" s="101">
        <v>0</v>
      </c>
      <c r="W35" s="101">
        <v>0</v>
      </c>
      <c r="X35" s="101">
        <v>0</v>
      </c>
      <c r="Y35" s="101">
        <v>0</v>
      </c>
      <c r="Z35" s="101">
        <v>0</v>
      </c>
      <c r="AA35" s="101">
        <v>0</v>
      </c>
      <c r="AB35" s="101">
        <v>0</v>
      </c>
      <c r="AC35" s="101">
        <f>IFERROR(VLOOKUP(E35,[5]Sheet1!$A:$F,6,0),0)</f>
        <v>-25.01</v>
      </c>
      <c r="AD35" s="101">
        <v>0</v>
      </c>
      <c r="AE35" s="101">
        <v>0</v>
      </c>
      <c r="AF35" s="101">
        <v>0</v>
      </c>
      <c r="AG35" s="101">
        <v>0</v>
      </c>
      <c r="AH35" s="101">
        <v>0</v>
      </c>
      <c r="AI35" s="101">
        <f t="shared" si="1"/>
        <v>120.14100000000001</v>
      </c>
    </row>
    <row r="36" spans="1:35" ht="18" customHeight="1" x14ac:dyDescent="0.2">
      <c r="A36" s="27" t="str">
        <f t="shared" si="0"/>
        <v>개인</v>
      </c>
      <c r="B36" s="27" t="s">
        <v>1555</v>
      </c>
      <c r="C36" s="27" t="s">
        <v>1554</v>
      </c>
      <c r="D36" s="26">
        <v>1269036645</v>
      </c>
      <c r="E36" s="26">
        <v>10032805</v>
      </c>
      <c r="F36" s="25" t="s">
        <v>103</v>
      </c>
      <c r="G36" s="48" t="s">
        <v>322</v>
      </c>
      <c r="H36" s="53">
        <v>45831</v>
      </c>
      <c r="I36" s="53">
        <v>45930</v>
      </c>
      <c r="J36" s="14">
        <v>234.51399999999998</v>
      </c>
      <c r="K36" s="14">
        <f t="shared" si="2"/>
        <v>6.5142777777777772</v>
      </c>
      <c r="L36" s="49" t="s">
        <v>311</v>
      </c>
      <c r="M36" s="101">
        <v>0</v>
      </c>
      <c r="N36" s="101">
        <v>0</v>
      </c>
      <c r="O36" s="101">
        <v>0</v>
      </c>
      <c r="P36" s="101">
        <v>0</v>
      </c>
      <c r="Q36" s="101">
        <v>0</v>
      </c>
      <c r="R36" s="101">
        <v>0</v>
      </c>
      <c r="S36" s="101">
        <v>0</v>
      </c>
      <c r="T36" s="101">
        <v>0</v>
      </c>
      <c r="U36" s="101">
        <v>0</v>
      </c>
      <c r="V36" s="101">
        <v>0</v>
      </c>
      <c r="W36" s="101">
        <v>0</v>
      </c>
      <c r="X36" s="101">
        <v>2.6869999999999998</v>
      </c>
      <c r="Y36" s="101">
        <v>6.5759999999999996</v>
      </c>
      <c r="Z36" s="101">
        <v>5.4169999999999998</v>
      </c>
      <c r="AA36" s="101">
        <v>5.9210000000000003</v>
      </c>
      <c r="AB36" s="101">
        <v>4.1219999999999999</v>
      </c>
      <c r="AC36" s="101">
        <f>IFERROR(VLOOKUP(E36,[5]Sheet1!$A:$F,6,0),0)</f>
        <v>5.1580000000000004</v>
      </c>
      <c r="AD36" s="101">
        <v>3.34</v>
      </c>
      <c r="AE36" s="101">
        <v>4.2519999999999998</v>
      </c>
      <c r="AF36" s="101">
        <v>2.6150000000000002</v>
      </c>
      <c r="AG36" s="101">
        <v>3.1309999999999998</v>
      </c>
      <c r="AH36" s="101">
        <v>3.468</v>
      </c>
      <c r="AI36" s="101">
        <f t="shared" si="1"/>
        <v>46.687000000000012</v>
      </c>
    </row>
    <row r="37" spans="1:35" ht="18" customHeight="1" x14ac:dyDescent="0.2">
      <c r="A37" s="27" t="str">
        <f t="shared" si="0"/>
        <v>법인</v>
      </c>
      <c r="B37" s="27" t="s">
        <v>1555</v>
      </c>
      <c r="C37" s="27" t="s">
        <v>1496</v>
      </c>
      <c r="D37" s="26">
        <v>5028213744</v>
      </c>
      <c r="E37" s="26">
        <v>10039210</v>
      </c>
      <c r="F37" s="25" t="s">
        <v>111</v>
      </c>
      <c r="G37" s="48" t="s">
        <v>322</v>
      </c>
      <c r="H37" s="53">
        <v>45852</v>
      </c>
      <c r="I37" s="53">
        <v>45909</v>
      </c>
      <c r="J37" s="14">
        <v>380.61600000000004</v>
      </c>
      <c r="K37" s="14">
        <f t="shared" si="2"/>
        <v>10.572666666666668</v>
      </c>
      <c r="L37" s="49" t="s">
        <v>311</v>
      </c>
      <c r="M37" s="101">
        <v>0</v>
      </c>
      <c r="N37" s="101">
        <v>0</v>
      </c>
      <c r="O37" s="101">
        <v>0</v>
      </c>
      <c r="P37" s="101">
        <v>0</v>
      </c>
      <c r="Q37" s="101">
        <v>0</v>
      </c>
      <c r="R37" s="101">
        <v>0</v>
      </c>
      <c r="S37" s="101">
        <v>0</v>
      </c>
      <c r="T37" s="101">
        <v>0</v>
      </c>
      <c r="U37" s="101">
        <v>0</v>
      </c>
      <c r="V37" s="101">
        <v>0</v>
      </c>
      <c r="W37" s="101">
        <v>0</v>
      </c>
      <c r="X37" s="101">
        <v>17.824000000000002</v>
      </c>
      <c r="Y37" s="101">
        <v>19.605</v>
      </c>
      <c r="Z37" s="101">
        <v>22.393999999999998</v>
      </c>
      <c r="AA37" s="101">
        <v>21.068999999999999</v>
      </c>
      <c r="AB37" s="101">
        <v>19.463000000000001</v>
      </c>
      <c r="AC37" s="101">
        <f>IFERROR(VLOOKUP(E37,[5]Sheet1!$A:$F,6,0),0)</f>
        <v>23.059000000000001</v>
      </c>
      <c r="AD37" s="101">
        <v>24.18</v>
      </c>
      <c r="AE37" s="101">
        <v>22.01</v>
      </c>
      <c r="AF37" s="101">
        <v>22.696000000000002</v>
      </c>
      <c r="AG37" s="101">
        <v>24.686</v>
      </c>
      <c r="AH37" s="101">
        <v>23.78</v>
      </c>
      <c r="AI37" s="101">
        <f t="shared" si="1"/>
        <v>240.76599999999999</v>
      </c>
    </row>
    <row r="38" spans="1:35" ht="18" customHeight="1" x14ac:dyDescent="0.2">
      <c r="A38" s="27" t="str">
        <f t="shared" si="0"/>
        <v>법인</v>
      </c>
      <c r="B38" s="27" t="s">
        <v>1559</v>
      </c>
      <c r="C38" s="27" t="s">
        <v>1496</v>
      </c>
      <c r="D38" s="26">
        <v>6018206614</v>
      </c>
      <c r="E38" s="26">
        <v>10069147</v>
      </c>
      <c r="F38" s="25" t="s">
        <v>92</v>
      </c>
      <c r="G38" s="48" t="s">
        <v>322</v>
      </c>
      <c r="H38" s="53">
        <v>45831</v>
      </c>
      <c r="I38" s="53">
        <v>45882</v>
      </c>
      <c r="J38" s="14">
        <v>721.09800000000007</v>
      </c>
      <c r="K38" s="14">
        <f t="shared" si="2"/>
        <v>20.030500000000004</v>
      </c>
      <c r="L38" s="49" t="s">
        <v>314</v>
      </c>
      <c r="M38" s="101">
        <v>0</v>
      </c>
      <c r="N38" s="101">
        <v>0</v>
      </c>
      <c r="O38" s="101">
        <v>0</v>
      </c>
      <c r="P38" s="101">
        <v>0</v>
      </c>
      <c r="Q38" s="101">
        <v>0</v>
      </c>
      <c r="R38" s="101">
        <v>0</v>
      </c>
      <c r="S38" s="101">
        <v>0</v>
      </c>
      <c r="T38" s="101">
        <v>0</v>
      </c>
      <c r="U38" s="101">
        <v>0</v>
      </c>
      <c r="V38" s="101">
        <v>0</v>
      </c>
      <c r="W38" s="101">
        <v>1.613</v>
      </c>
      <c r="X38" s="101">
        <v>27.262</v>
      </c>
      <c r="Y38" s="101">
        <v>29.242999999999999</v>
      </c>
      <c r="Z38" s="101">
        <v>34.911999999999999</v>
      </c>
      <c r="AA38" s="101">
        <v>32.067</v>
      </c>
      <c r="AB38" s="101">
        <v>30.785</v>
      </c>
      <c r="AC38" s="101">
        <f>IFERROR(VLOOKUP(E38,[5]Sheet1!$A:$F,6,0),0)</f>
        <v>29.227</v>
      </c>
      <c r="AD38" s="101">
        <v>34.512</v>
      </c>
      <c r="AE38" s="101">
        <v>35.423999999999999</v>
      </c>
      <c r="AF38" s="101">
        <v>30.652999999999999</v>
      </c>
      <c r="AG38" s="101">
        <v>33.396000000000001</v>
      </c>
      <c r="AH38" s="101">
        <v>33.665999999999997</v>
      </c>
      <c r="AI38" s="101">
        <f t="shared" si="1"/>
        <v>352.76000000000005</v>
      </c>
    </row>
    <row r="39" spans="1:35" ht="18" customHeight="1" x14ac:dyDescent="0.2">
      <c r="A39" s="27" t="str">
        <f t="shared" si="0"/>
        <v>개인</v>
      </c>
      <c r="B39" s="27" t="s">
        <v>1556</v>
      </c>
      <c r="C39" s="27" t="s">
        <v>1554</v>
      </c>
      <c r="D39" s="26">
        <v>6969000063</v>
      </c>
      <c r="E39" s="26">
        <v>10047520</v>
      </c>
      <c r="F39" s="25" t="s">
        <v>23</v>
      </c>
      <c r="G39" s="48" t="s">
        <v>321</v>
      </c>
      <c r="H39" s="53">
        <v>45722</v>
      </c>
      <c r="I39" s="52">
        <v>45722</v>
      </c>
      <c r="J39" s="14">
        <f>159.521458+282.03</f>
        <v>441.55145799999997</v>
      </c>
      <c r="K39" s="14">
        <f>J39</f>
        <v>441.55145799999997</v>
      </c>
      <c r="L39" s="49" t="s">
        <v>311</v>
      </c>
      <c r="M39" s="101">
        <v>0</v>
      </c>
      <c r="N39" s="101">
        <v>0</v>
      </c>
      <c r="O39" s="101">
        <v>0</v>
      </c>
      <c r="P39" s="101">
        <v>159.521458</v>
      </c>
      <c r="Q39" s="101">
        <v>0</v>
      </c>
      <c r="R39" s="101">
        <v>0</v>
      </c>
      <c r="S39" s="101">
        <v>0</v>
      </c>
      <c r="T39" s="101">
        <v>0</v>
      </c>
      <c r="U39" s="101">
        <v>0</v>
      </c>
      <c r="V39" s="101">
        <v>0</v>
      </c>
      <c r="W39" s="101">
        <v>0</v>
      </c>
      <c r="X39" s="101">
        <v>0</v>
      </c>
      <c r="Y39" s="101">
        <v>282.02999999999997</v>
      </c>
      <c r="Z39" s="101">
        <v>0</v>
      </c>
      <c r="AA39" s="101">
        <v>0</v>
      </c>
      <c r="AB39" s="101">
        <v>0</v>
      </c>
      <c r="AC39" s="101">
        <f>IFERROR(VLOOKUP(E39,[5]Sheet1!$A:$F,6,0),0)</f>
        <v>0</v>
      </c>
      <c r="AD39" s="101">
        <v>0</v>
      </c>
      <c r="AE39" s="101">
        <v>0</v>
      </c>
      <c r="AF39" s="101">
        <v>0</v>
      </c>
      <c r="AG39" s="101">
        <v>0</v>
      </c>
      <c r="AH39" s="101">
        <v>0</v>
      </c>
      <c r="AI39" s="101">
        <f t="shared" si="1"/>
        <v>441.55145799999997</v>
      </c>
    </row>
    <row r="40" spans="1:35" ht="18" customHeight="1" x14ac:dyDescent="0.2">
      <c r="A40" s="27" t="str">
        <f t="shared" si="0"/>
        <v>개인</v>
      </c>
      <c r="B40" s="27" t="s">
        <v>1556</v>
      </c>
      <c r="C40" s="27" t="s">
        <v>1554</v>
      </c>
      <c r="D40" s="26">
        <v>3052075442</v>
      </c>
      <c r="E40" s="26">
        <v>10036320</v>
      </c>
      <c r="F40" s="25" t="s">
        <v>75</v>
      </c>
      <c r="G40" s="48" t="s">
        <v>322</v>
      </c>
      <c r="H40" s="53">
        <v>45803</v>
      </c>
      <c r="I40" s="53">
        <v>45872</v>
      </c>
      <c r="J40" s="14">
        <v>1479.0650000000001</v>
      </c>
      <c r="K40" s="14">
        <f t="shared" si="2"/>
        <v>41.085138888888892</v>
      </c>
      <c r="L40" s="49" t="s">
        <v>311</v>
      </c>
      <c r="M40" s="101">
        <v>0</v>
      </c>
      <c r="N40" s="101">
        <v>0</v>
      </c>
      <c r="O40" s="101">
        <v>0</v>
      </c>
      <c r="P40" s="101">
        <v>0</v>
      </c>
      <c r="Q40" s="101">
        <v>0</v>
      </c>
      <c r="R40" s="101">
        <v>0</v>
      </c>
      <c r="S40" s="101">
        <v>0</v>
      </c>
      <c r="T40" s="101">
        <v>0</v>
      </c>
      <c r="U40" s="101">
        <v>0</v>
      </c>
      <c r="V40" s="101">
        <v>2.5760000000000001</v>
      </c>
      <c r="W40" s="101">
        <v>12.65</v>
      </c>
      <c r="X40" s="101">
        <v>15.715999999999999</v>
      </c>
      <c r="Y40" s="101">
        <v>24.241</v>
      </c>
      <c r="Z40" s="101">
        <v>27.388999999999999</v>
      </c>
      <c r="AA40" s="101">
        <v>26.635999999999999</v>
      </c>
      <c r="AB40" s="101">
        <v>18.876000000000001</v>
      </c>
      <c r="AC40" s="101">
        <f>IFERROR(VLOOKUP(E40,[5]Sheet1!$A:$F,6,0),0)</f>
        <v>17.07</v>
      </c>
      <c r="AD40" s="101">
        <v>26.408000000000001</v>
      </c>
      <c r="AE40" s="101">
        <v>22.501000000000001</v>
      </c>
      <c r="AF40" s="101">
        <v>18.37</v>
      </c>
      <c r="AG40" s="101">
        <v>24.045000000000002</v>
      </c>
      <c r="AH40" s="101">
        <v>38.29</v>
      </c>
      <c r="AI40" s="101">
        <f t="shared" si="1"/>
        <v>274.76799999999997</v>
      </c>
    </row>
    <row r="41" spans="1:35" ht="18" customHeight="1" x14ac:dyDescent="0.2">
      <c r="A41" s="27" t="str">
        <f t="shared" si="0"/>
        <v>법인</v>
      </c>
      <c r="B41" s="27" t="s">
        <v>1555</v>
      </c>
      <c r="C41" s="27" t="s">
        <v>1496</v>
      </c>
      <c r="D41" s="26">
        <v>6178205191</v>
      </c>
      <c r="E41" s="26">
        <v>10041592</v>
      </c>
      <c r="F41" s="25" t="s">
        <v>73</v>
      </c>
      <c r="G41" s="48" t="s">
        <v>322</v>
      </c>
      <c r="H41" s="53">
        <v>45805</v>
      </c>
      <c r="I41" s="53">
        <v>45881</v>
      </c>
      <c r="J41" s="14">
        <v>400</v>
      </c>
      <c r="K41" s="14">
        <f t="shared" si="2"/>
        <v>11.111111111111111</v>
      </c>
      <c r="L41" s="49" t="s">
        <v>311</v>
      </c>
      <c r="M41" s="101">
        <v>0</v>
      </c>
      <c r="N41" s="101">
        <v>0</v>
      </c>
      <c r="O41" s="101">
        <v>0</v>
      </c>
      <c r="P41" s="101">
        <v>0</v>
      </c>
      <c r="Q41" s="101">
        <v>0</v>
      </c>
      <c r="R41" s="101">
        <v>0</v>
      </c>
      <c r="S41" s="101">
        <v>0</v>
      </c>
      <c r="T41" s="101">
        <v>0</v>
      </c>
      <c r="U41" s="101">
        <v>0</v>
      </c>
      <c r="V41" s="101">
        <v>2.2509999999999999</v>
      </c>
      <c r="W41" s="101">
        <v>12.5</v>
      </c>
      <c r="X41" s="101">
        <v>12.5</v>
      </c>
      <c r="Y41" s="101">
        <v>18.530999999999999</v>
      </c>
      <c r="Z41" s="101">
        <v>33.979999999999997</v>
      </c>
      <c r="AA41" s="101">
        <v>41.768000000000001</v>
      </c>
      <c r="AB41" s="101">
        <v>46.084000000000003</v>
      </c>
      <c r="AC41" s="101">
        <f>IFERROR(VLOOKUP(E41,[5]Sheet1!$A:$F,6,0),0)</f>
        <v>49.624000000000002</v>
      </c>
      <c r="AD41" s="101">
        <v>49.378999999999998</v>
      </c>
      <c r="AE41" s="101">
        <v>52.024000000000001</v>
      </c>
      <c r="AF41" s="101">
        <v>48.231000000000002</v>
      </c>
      <c r="AG41" s="101">
        <v>49.28</v>
      </c>
      <c r="AH41" s="101">
        <v>0.40799999999999997</v>
      </c>
      <c r="AI41" s="101">
        <f t="shared" si="1"/>
        <v>416.56000000000006</v>
      </c>
    </row>
    <row r="42" spans="1:35" ht="18" customHeight="1" x14ac:dyDescent="0.2">
      <c r="A42" s="27" t="str">
        <f t="shared" si="0"/>
        <v>개인</v>
      </c>
      <c r="B42" s="27" t="s">
        <v>1555</v>
      </c>
      <c r="C42" s="27" t="s">
        <v>1554</v>
      </c>
      <c r="D42" s="26">
        <v>6219601338</v>
      </c>
      <c r="E42" s="26">
        <v>10041888</v>
      </c>
      <c r="F42" s="25" t="s">
        <v>83</v>
      </c>
      <c r="G42" s="48" t="s">
        <v>322</v>
      </c>
      <c r="H42" s="53">
        <v>45810</v>
      </c>
      <c r="I42" s="53">
        <v>45881</v>
      </c>
      <c r="J42" s="14">
        <v>497.40000000000003</v>
      </c>
      <c r="K42" s="14">
        <f t="shared" si="2"/>
        <v>13.816666666666668</v>
      </c>
      <c r="L42" s="49" t="s">
        <v>311</v>
      </c>
      <c r="M42" s="101">
        <v>0</v>
      </c>
      <c r="N42" s="101">
        <v>0</v>
      </c>
      <c r="O42" s="101">
        <v>0</v>
      </c>
      <c r="P42" s="101">
        <v>0</v>
      </c>
      <c r="Q42" s="101">
        <v>0</v>
      </c>
      <c r="R42" s="101">
        <v>0</v>
      </c>
      <c r="S42" s="101">
        <v>0</v>
      </c>
      <c r="T42" s="101">
        <v>0</v>
      </c>
      <c r="U42" s="101">
        <v>0</v>
      </c>
      <c r="V42" s="101">
        <v>9.3320000000000007</v>
      </c>
      <c r="W42" s="101">
        <v>0</v>
      </c>
      <c r="X42" s="101">
        <v>36.520000000000003</v>
      </c>
      <c r="Y42" s="101">
        <v>22.88</v>
      </c>
      <c r="Z42" s="101">
        <v>31.55</v>
      </c>
      <c r="AA42" s="101">
        <v>31.562000000000001</v>
      </c>
      <c r="AB42" s="101">
        <v>28.579000000000001</v>
      </c>
      <c r="AC42" s="101">
        <f>IFERROR(VLOOKUP(E42,[5]Sheet1!$A:$F,6,0),0)</f>
        <v>32.896000000000001</v>
      </c>
      <c r="AD42" s="101">
        <v>0</v>
      </c>
      <c r="AE42" s="101">
        <v>0</v>
      </c>
      <c r="AF42" s="101">
        <v>0</v>
      </c>
      <c r="AG42" s="101">
        <v>0</v>
      </c>
      <c r="AH42" s="101">
        <v>0</v>
      </c>
      <c r="AI42" s="101">
        <f t="shared" si="1"/>
        <v>193.31900000000002</v>
      </c>
    </row>
    <row r="43" spans="1:35" ht="18" customHeight="1" x14ac:dyDescent="0.2">
      <c r="A43" s="27" t="str">
        <f t="shared" si="0"/>
        <v>법인</v>
      </c>
      <c r="B43" s="27" t="s">
        <v>1559</v>
      </c>
      <c r="C43" s="27" t="s">
        <v>1496</v>
      </c>
      <c r="D43" s="26">
        <v>6088216068</v>
      </c>
      <c r="E43" s="26">
        <v>10047340</v>
      </c>
      <c r="F43" s="78" t="s">
        <v>98</v>
      </c>
      <c r="G43" s="48" t="s">
        <v>320</v>
      </c>
      <c r="H43" s="53">
        <v>45903</v>
      </c>
      <c r="I43" s="50">
        <v>45950</v>
      </c>
      <c r="J43" s="14">
        <v>259.53100000000001</v>
      </c>
      <c r="K43" s="14">
        <f>J43</f>
        <v>259.53100000000001</v>
      </c>
      <c r="L43" s="49" t="s">
        <v>311</v>
      </c>
      <c r="M43" s="101">
        <v>0</v>
      </c>
      <c r="N43" s="101">
        <v>0</v>
      </c>
      <c r="O43" s="101">
        <v>0</v>
      </c>
      <c r="P43" s="101">
        <v>0</v>
      </c>
      <c r="Q43" s="101">
        <v>0</v>
      </c>
      <c r="R43" s="101">
        <v>0</v>
      </c>
      <c r="S43" s="101">
        <v>0</v>
      </c>
      <c r="T43" s="101">
        <v>0</v>
      </c>
      <c r="U43" s="101">
        <v>0</v>
      </c>
      <c r="V43" s="101">
        <v>0</v>
      </c>
      <c r="W43" s="101">
        <v>259.53100000000001</v>
      </c>
      <c r="X43" s="101">
        <v>0</v>
      </c>
      <c r="Y43" s="101">
        <v>0</v>
      </c>
      <c r="Z43" s="101">
        <v>0</v>
      </c>
      <c r="AA43" s="101">
        <v>0</v>
      </c>
      <c r="AB43" s="101">
        <v>0</v>
      </c>
      <c r="AC43" s="101">
        <f>IFERROR(VLOOKUP(E43,[5]Sheet1!$A:$F,6,0),0)</f>
        <v>0</v>
      </c>
      <c r="AD43" s="101">
        <v>0</v>
      </c>
      <c r="AE43" s="101">
        <v>0</v>
      </c>
      <c r="AF43" s="101">
        <v>0</v>
      </c>
      <c r="AG43" s="101">
        <v>0</v>
      </c>
      <c r="AH43" s="101">
        <v>0</v>
      </c>
      <c r="AI43" s="101">
        <f t="shared" si="1"/>
        <v>259.53100000000001</v>
      </c>
    </row>
    <row r="44" spans="1:35" ht="18" customHeight="1" x14ac:dyDescent="0.2">
      <c r="A44" s="27" t="str">
        <f t="shared" si="0"/>
        <v>개인</v>
      </c>
      <c r="B44" s="27" t="s">
        <v>1569</v>
      </c>
      <c r="C44" s="27" t="s">
        <v>1554</v>
      </c>
      <c r="D44" s="26">
        <v>6039134608</v>
      </c>
      <c r="E44" s="26">
        <v>10040545</v>
      </c>
      <c r="F44" s="25" t="s">
        <v>88</v>
      </c>
      <c r="G44" s="48" t="s">
        <v>322</v>
      </c>
      <c r="H44" s="53">
        <v>45853</v>
      </c>
      <c r="I44" s="53">
        <v>45909</v>
      </c>
      <c r="J44" s="14">
        <v>251.82300000000001</v>
      </c>
      <c r="K44" s="14">
        <f t="shared" si="2"/>
        <v>6.9950833333333335</v>
      </c>
      <c r="L44" s="49" t="s">
        <v>311</v>
      </c>
      <c r="M44" s="101">
        <v>0</v>
      </c>
      <c r="N44" s="101">
        <v>0</v>
      </c>
      <c r="O44" s="101">
        <v>0</v>
      </c>
      <c r="P44" s="101">
        <v>0</v>
      </c>
      <c r="Q44" s="101">
        <v>0</v>
      </c>
      <c r="R44" s="101">
        <v>0</v>
      </c>
      <c r="S44" s="101">
        <v>0</v>
      </c>
      <c r="T44" s="101">
        <v>0</v>
      </c>
      <c r="U44" s="101">
        <v>0</v>
      </c>
      <c r="V44" s="101">
        <v>0</v>
      </c>
      <c r="W44" s="101">
        <v>6.5670000000000002</v>
      </c>
      <c r="X44" s="101">
        <v>11.122999999999999</v>
      </c>
      <c r="Y44" s="101">
        <v>10.49</v>
      </c>
      <c r="Z44" s="101">
        <v>9.6159999999999997</v>
      </c>
      <c r="AA44" s="101">
        <v>8.7710000000000008</v>
      </c>
      <c r="AB44" s="101">
        <v>8.02</v>
      </c>
      <c r="AC44" s="101">
        <f>IFERROR(VLOOKUP(E44,[5]Sheet1!$A:$F,6,0),0)</f>
        <v>10.885</v>
      </c>
      <c r="AD44" s="101">
        <v>10.085000000000001</v>
      </c>
      <c r="AE44" s="101">
        <v>7.585</v>
      </c>
      <c r="AF44" s="101">
        <v>8.2590000000000003</v>
      </c>
      <c r="AG44" s="101">
        <v>8.7899999999999991</v>
      </c>
      <c r="AH44" s="101">
        <v>7.4180000000000001</v>
      </c>
      <c r="AI44" s="101">
        <f t="shared" si="1"/>
        <v>107.60900000000001</v>
      </c>
    </row>
    <row r="45" spans="1:35" ht="18" customHeight="1" x14ac:dyDescent="0.2">
      <c r="A45" s="27" t="str">
        <f t="shared" si="0"/>
        <v>법인</v>
      </c>
      <c r="B45" s="27" t="s">
        <v>1558</v>
      </c>
      <c r="C45" s="27" t="s">
        <v>1496</v>
      </c>
      <c r="D45" s="26">
        <v>1358210284</v>
      </c>
      <c r="E45" s="26">
        <v>10033733</v>
      </c>
      <c r="F45" s="25" t="s">
        <v>39</v>
      </c>
      <c r="G45" s="48" t="s">
        <v>319</v>
      </c>
      <c r="H45" s="53">
        <v>45777</v>
      </c>
      <c r="I45" s="53">
        <v>45777</v>
      </c>
      <c r="J45" s="14">
        <v>190</v>
      </c>
      <c r="K45" s="14">
        <f>J45</f>
        <v>190</v>
      </c>
      <c r="L45" s="51">
        <v>0</v>
      </c>
      <c r="M45" s="101">
        <v>0</v>
      </c>
      <c r="N45" s="101">
        <v>0</v>
      </c>
      <c r="O45" s="101">
        <v>0</v>
      </c>
      <c r="P45" s="101">
        <v>0</v>
      </c>
      <c r="Q45" s="101">
        <v>0</v>
      </c>
      <c r="R45" s="101">
        <v>190</v>
      </c>
      <c r="S45" s="101">
        <v>0</v>
      </c>
      <c r="T45" s="101">
        <v>0</v>
      </c>
      <c r="U45" s="101">
        <v>0</v>
      </c>
      <c r="V45" s="101">
        <v>0</v>
      </c>
      <c r="W45" s="101">
        <v>0</v>
      </c>
      <c r="X45" s="101">
        <v>0</v>
      </c>
      <c r="Y45" s="101">
        <v>0</v>
      </c>
      <c r="Z45" s="101">
        <v>0</v>
      </c>
      <c r="AA45" s="101">
        <v>0</v>
      </c>
      <c r="AB45" s="101">
        <v>0</v>
      </c>
      <c r="AC45" s="101">
        <f>IFERROR(VLOOKUP(E45,[5]Sheet1!$A:$F,6,0),0)</f>
        <v>0</v>
      </c>
      <c r="AD45" s="101">
        <v>0</v>
      </c>
      <c r="AE45" s="101">
        <v>0</v>
      </c>
      <c r="AF45" s="101">
        <v>0</v>
      </c>
      <c r="AG45" s="101">
        <v>0</v>
      </c>
      <c r="AH45" s="101">
        <v>0</v>
      </c>
      <c r="AI45" s="101">
        <f t="shared" si="1"/>
        <v>190</v>
      </c>
    </row>
    <row r="46" spans="1:35" ht="18" customHeight="1" x14ac:dyDescent="0.2">
      <c r="A46" s="27" t="str">
        <f t="shared" si="0"/>
        <v>법인</v>
      </c>
      <c r="B46" s="27" t="s">
        <v>1556</v>
      </c>
      <c r="C46" s="27" t="s">
        <v>1496</v>
      </c>
      <c r="D46" s="26">
        <v>5028215984</v>
      </c>
      <c r="E46" s="26">
        <v>10039216</v>
      </c>
      <c r="F46" s="78" t="s">
        <v>345</v>
      </c>
      <c r="G46" s="48" t="s">
        <v>321</v>
      </c>
      <c r="H46" s="53">
        <v>45817</v>
      </c>
      <c r="I46" s="50">
        <v>45831</v>
      </c>
      <c r="J46" s="14">
        <v>164.16299999999998</v>
      </c>
      <c r="K46" s="14">
        <f>J46</f>
        <v>164.16299999999998</v>
      </c>
      <c r="L46" s="49" t="s">
        <v>316</v>
      </c>
      <c r="M46" s="101">
        <v>0</v>
      </c>
      <c r="N46" s="101">
        <v>0</v>
      </c>
      <c r="O46" s="101">
        <v>0</v>
      </c>
      <c r="P46" s="101">
        <v>0</v>
      </c>
      <c r="Q46" s="101">
        <v>0</v>
      </c>
      <c r="R46" s="101">
        <v>0</v>
      </c>
      <c r="S46" s="101">
        <v>164.16300000000001</v>
      </c>
      <c r="T46" s="101">
        <v>0</v>
      </c>
      <c r="U46" s="101">
        <v>0</v>
      </c>
      <c r="V46" s="101">
        <v>0</v>
      </c>
      <c r="W46" s="101">
        <v>0</v>
      </c>
      <c r="X46" s="101">
        <v>0</v>
      </c>
      <c r="Y46" s="101">
        <v>0</v>
      </c>
      <c r="Z46" s="101">
        <v>0</v>
      </c>
      <c r="AA46" s="101">
        <v>0</v>
      </c>
      <c r="AB46" s="101">
        <v>0</v>
      </c>
      <c r="AC46" s="101">
        <f>IFERROR(VLOOKUP(E46,[5]Sheet1!$A:$F,6,0),0)</f>
        <v>0</v>
      </c>
      <c r="AD46" s="101">
        <v>0</v>
      </c>
      <c r="AE46" s="101">
        <v>0</v>
      </c>
      <c r="AF46" s="101">
        <v>0</v>
      </c>
      <c r="AG46" s="101">
        <v>0</v>
      </c>
      <c r="AH46" s="101">
        <v>0</v>
      </c>
      <c r="AI46" s="101">
        <f t="shared" si="1"/>
        <v>164.16300000000001</v>
      </c>
    </row>
    <row r="47" spans="1:35" ht="18" customHeight="1" x14ac:dyDescent="0.2">
      <c r="A47" s="27" t="str">
        <f t="shared" si="0"/>
        <v>개인</v>
      </c>
      <c r="B47" s="27" t="s">
        <v>1559</v>
      </c>
      <c r="C47" s="27" t="s">
        <v>1554</v>
      </c>
      <c r="D47" s="26">
        <v>4081777598</v>
      </c>
      <c r="E47" s="26">
        <v>10037883</v>
      </c>
      <c r="F47" s="25" t="s">
        <v>94</v>
      </c>
      <c r="G47" s="48" t="s">
        <v>322</v>
      </c>
      <c r="H47" s="53">
        <v>45805</v>
      </c>
      <c r="I47" s="53">
        <v>45895</v>
      </c>
      <c r="J47" s="14">
        <v>936.98</v>
      </c>
      <c r="K47" s="14">
        <f t="shared" si="2"/>
        <v>26.027222222222221</v>
      </c>
      <c r="L47" s="49" t="s">
        <v>311</v>
      </c>
      <c r="M47" s="101">
        <v>0</v>
      </c>
      <c r="N47" s="101">
        <v>0</v>
      </c>
      <c r="O47" s="101">
        <v>0</v>
      </c>
      <c r="P47" s="101">
        <v>0</v>
      </c>
      <c r="Q47" s="101">
        <v>0</v>
      </c>
      <c r="R47" s="101">
        <v>0</v>
      </c>
      <c r="S47" s="101">
        <v>0</v>
      </c>
      <c r="T47" s="101">
        <v>0</v>
      </c>
      <c r="U47" s="101">
        <v>0</v>
      </c>
      <c r="V47" s="101">
        <v>0</v>
      </c>
      <c r="W47" s="101">
        <v>25.39</v>
      </c>
      <c r="X47" s="101">
        <v>32.179000000000002</v>
      </c>
      <c r="Y47" s="101">
        <v>28.492999999999999</v>
      </c>
      <c r="Z47" s="101">
        <v>39.225999999999999</v>
      </c>
      <c r="AA47" s="101">
        <v>36.939</v>
      </c>
      <c r="AB47" s="101">
        <v>29.843</v>
      </c>
      <c r="AC47" s="101">
        <f>IFERROR(VLOOKUP(E47,[5]Sheet1!$A:$F,6,0),0)</f>
        <v>36.472999999999999</v>
      </c>
      <c r="AD47" s="101">
        <v>24.317</v>
      </c>
      <c r="AE47" s="101">
        <v>24.736999999999998</v>
      </c>
      <c r="AF47" s="101">
        <v>20.446999999999999</v>
      </c>
      <c r="AG47" s="101">
        <v>20.981999999999999</v>
      </c>
      <c r="AH47" s="101">
        <v>20.925000000000001</v>
      </c>
      <c r="AI47" s="101">
        <f t="shared" si="1"/>
        <v>339.95099999999996</v>
      </c>
    </row>
    <row r="48" spans="1:35" ht="18" customHeight="1" x14ac:dyDescent="0.2">
      <c r="A48" s="27" t="str">
        <f t="shared" si="0"/>
        <v>개인</v>
      </c>
      <c r="B48" s="27" t="s">
        <v>1565</v>
      </c>
      <c r="C48" s="27" t="s">
        <v>1554</v>
      </c>
      <c r="D48" s="26">
        <v>3119038784</v>
      </c>
      <c r="E48" s="26">
        <v>10036633</v>
      </c>
      <c r="F48" s="25" t="s">
        <v>58</v>
      </c>
      <c r="G48" s="48" t="s">
        <v>322</v>
      </c>
      <c r="H48" s="53">
        <v>45803</v>
      </c>
      <c r="I48" s="53">
        <v>45852</v>
      </c>
      <c r="J48" s="14">
        <v>611.98599999999999</v>
      </c>
      <c r="K48" s="14">
        <f t="shared" si="2"/>
        <v>16.999611111111111</v>
      </c>
      <c r="L48" s="49" t="s">
        <v>311</v>
      </c>
      <c r="M48" s="101">
        <v>0</v>
      </c>
      <c r="N48" s="101">
        <v>0</v>
      </c>
      <c r="O48" s="101">
        <v>0</v>
      </c>
      <c r="P48" s="101">
        <v>0</v>
      </c>
      <c r="Q48" s="101">
        <v>0</v>
      </c>
      <c r="R48" s="101">
        <v>0</v>
      </c>
      <c r="S48" s="101">
        <v>0</v>
      </c>
      <c r="T48" s="101">
        <v>0</v>
      </c>
      <c r="U48" s="101">
        <v>4.5049999999999999</v>
      </c>
      <c r="V48" s="101">
        <v>20.613</v>
      </c>
      <c r="W48" s="101">
        <v>16.273</v>
      </c>
      <c r="X48" s="101">
        <v>20.004000000000001</v>
      </c>
      <c r="Y48" s="101">
        <v>23.364000000000001</v>
      </c>
      <c r="Z48" s="101">
        <v>21.445</v>
      </c>
      <c r="AA48" s="101">
        <v>13.561999999999999</v>
      </c>
      <c r="AB48" s="101">
        <v>12.346</v>
      </c>
      <c r="AC48" s="152">
        <v>8.7539999999999996</v>
      </c>
      <c r="AD48" s="101">
        <v>7.6349999999999998</v>
      </c>
      <c r="AE48" s="101">
        <v>9.5739999999999998</v>
      </c>
      <c r="AF48" s="101">
        <v>8.5719999999999992</v>
      </c>
      <c r="AG48" s="101">
        <v>11.705</v>
      </c>
      <c r="AH48" s="101">
        <v>11.271000000000001</v>
      </c>
      <c r="AI48" s="101">
        <f t="shared" si="1"/>
        <v>189.62299999999999</v>
      </c>
    </row>
    <row r="49" spans="1:35" ht="18" customHeight="1" x14ac:dyDescent="0.2">
      <c r="A49" s="27" t="str">
        <f t="shared" si="0"/>
        <v>개인</v>
      </c>
      <c r="B49" s="27" t="s">
        <v>1566</v>
      </c>
      <c r="C49" s="27" t="s">
        <v>1554</v>
      </c>
      <c r="D49" s="26">
        <v>6719701418</v>
      </c>
      <c r="E49" s="26">
        <v>10070268</v>
      </c>
      <c r="F49" s="25" t="s">
        <v>81</v>
      </c>
      <c r="G49" s="48" t="s">
        <v>322</v>
      </c>
      <c r="H49" s="53">
        <v>45853</v>
      </c>
      <c r="I49" s="53">
        <v>45867</v>
      </c>
      <c r="J49" s="14">
        <v>632.32600000000002</v>
      </c>
      <c r="K49" s="14">
        <f t="shared" si="2"/>
        <v>17.564611111111113</v>
      </c>
      <c r="L49" s="49" t="s">
        <v>311</v>
      </c>
      <c r="M49" s="101">
        <v>0</v>
      </c>
      <c r="N49" s="101">
        <v>0</v>
      </c>
      <c r="O49" s="101">
        <v>0</v>
      </c>
      <c r="P49" s="101">
        <v>0</v>
      </c>
      <c r="Q49" s="101">
        <v>0</v>
      </c>
      <c r="R49" s="101">
        <v>0</v>
      </c>
      <c r="S49" s="101">
        <v>0</v>
      </c>
      <c r="T49" s="101">
        <v>0</v>
      </c>
      <c r="U49" s="101">
        <v>0</v>
      </c>
      <c r="V49" s="101">
        <v>8.8930000000000007</v>
      </c>
      <c r="W49" s="101">
        <v>10.776</v>
      </c>
      <c r="X49" s="101">
        <v>12.637</v>
      </c>
      <c r="Y49" s="101">
        <v>11.348000000000001</v>
      </c>
      <c r="Z49" s="101">
        <v>12.92</v>
      </c>
      <c r="AA49" s="101">
        <v>11.738</v>
      </c>
      <c r="AB49" s="101">
        <v>11.268000000000001</v>
      </c>
      <c r="AC49" s="101">
        <f>IFERROR(VLOOKUP(E49,[5]Sheet1!$A:$F,6,0),0)</f>
        <v>12.484</v>
      </c>
      <c r="AD49" s="101">
        <v>12.318</v>
      </c>
      <c r="AE49" s="101">
        <v>13.782999999999999</v>
      </c>
      <c r="AF49" s="101">
        <v>16.248000000000001</v>
      </c>
      <c r="AG49" s="101">
        <v>19.059000000000001</v>
      </c>
      <c r="AH49" s="101">
        <v>15.423999999999999</v>
      </c>
      <c r="AI49" s="101">
        <f t="shared" si="1"/>
        <v>168.89599999999999</v>
      </c>
    </row>
    <row r="50" spans="1:35" ht="18" customHeight="1" x14ac:dyDescent="0.2">
      <c r="A50" s="27" t="str">
        <f t="shared" si="0"/>
        <v>개인</v>
      </c>
      <c r="B50" s="27" t="s">
        <v>1556</v>
      </c>
      <c r="C50" s="27" t="s">
        <v>1554</v>
      </c>
      <c r="D50" s="26">
        <v>1279607029</v>
      </c>
      <c r="E50" s="26">
        <v>10032935</v>
      </c>
      <c r="F50" s="25" t="s">
        <v>77</v>
      </c>
      <c r="G50" s="48" t="s">
        <v>322</v>
      </c>
      <c r="H50" s="53">
        <v>45824</v>
      </c>
      <c r="I50" s="53">
        <v>45852</v>
      </c>
      <c r="J50" s="14">
        <v>1141.1510000000001</v>
      </c>
      <c r="K50" s="14">
        <f t="shared" si="2"/>
        <v>31.69863888888889</v>
      </c>
      <c r="L50" s="49" t="s">
        <v>311</v>
      </c>
      <c r="M50" s="101">
        <v>0</v>
      </c>
      <c r="N50" s="101">
        <v>0</v>
      </c>
      <c r="O50" s="101">
        <v>0</v>
      </c>
      <c r="P50" s="101">
        <v>0</v>
      </c>
      <c r="Q50" s="101">
        <v>0</v>
      </c>
      <c r="R50" s="101">
        <v>0</v>
      </c>
      <c r="S50" s="101">
        <v>0</v>
      </c>
      <c r="T50" s="101">
        <v>0</v>
      </c>
      <c r="U50" s="101">
        <v>0</v>
      </c>
      <c r="V50" s="101">
        <v>52.158000000000001</v>
      </c>
      <c r="W50" s="101">
        <v>45.991</v>
      </c>
      <c r="X50" s="101">
        <v>39.868000000000002</v>
      </c>
      <c r="Y50" s="101">
        <v>40.103999999999999</v>
      </c>
      <c r="Z50" s="101">
        <v>47.039000000000001</v>
      </c>
      <c r="AA50" s="101">
        <v>38.783999999999999</v>
      </c>
      <c r="AB50" s="101">
        <v>37.246000000000002</v>
      </c>
      <c r="AC50" s="101">
        <f>IFERROR(VLOOKUP(E50,[5]Sheet1!$A:$F,6,0),0)</f>
        <v>38.305</v>
      </c>
      <c r="AD50" s="101">
        <v>23.68</v>
      </c>
      <c r="AE50" s="101">
        <v>21.712</v>
      </c>
      <c r="AF50" s="101">
        <v>19.968</v>
      </c>
      <c r="AG50" s="101">
        <v>34.368000000000002</v>
      </c>
      <c r="AH50" s="101">
        <v>34.08</v>
      </c>
      <c r="AI50" s="101">
        <f t="shared" si="1"/>
        <v>473.303</v>
      </c>
    </row>
    <row r="51" spans="1:35" ht="18" customHeight="1" x14ac:dyDescent="0.2">
      <c r="A51" s="27" t="str">
        <f t="shared" si="0"/>
        <v>개인</v>
      </c>
      <c r="B51" s="27" t="s">
        <v>1570</v>
      </c>
      <c r="C51" s="27" t="s">
        <v>1554</v>
      </c>
      <c r="D51" s="26">
        <v>6173188429</v>
      </c>
      <c r="E51" s="26">
        <v>10003837</v>
      </c>
      <c r="F51" s="25" t="s">
        <v>30</v>
      </c>
      <c r="G51" s="108" t="s">
        <v>444</v>
      </c>
      <c r="H51" s="53">
        <v>45777</v>
      </c>
      <c r="I51" s="53">
        <v>45777</v>
      </c>
      <c r="J51" s="14">
        <v>125</v>
      </c>
      <c r="K51" s="14">
        <f t="shared" si="2"/>
        <v>3.4722222222222223</v>
      </c>
      <c r="L51" s="49" t="s">
        <v>311</v>
      </c>
      <c r="M51" s="101">
        <v>0</v>
      </c>
      <c r="N51" s="101">
        <v>0</v>
      </c>
      <c r="O51" s="101">
        <v>0</v>
      </c>
      <c r="P51" s="101">
        <v>0</v>
      </c>
      <c r="Q51" s="101">
        <v>125</v>
      </c>
      <c r="R51" s="101">
        <v>0</v>
      </c>
      <c r="S51" s="101">
        <v>0</v>
      </c>
      <c r="T51" s="101">
        <v>0</v>
      </c>
      <c r="U51" s="101">
        <v>0</v>
      </c>
      <c r="V51" s="101">
        <v>0</v>
      </c>
      <c r="W51" s="101">
        <v>0</v>
      </c>
      <c r="X51" s="101">
        <v>0</v>
      </c>
      <c r="Y51" s="101">
        <v>0</v>
      </c>
      <c r="Z51" s="101">
        <v>0</v>
      </c>
      <c r="AA51" s="101">
        <v>0</v>
      </c>
      <c r="AB51" s="101">
        <v>0</v>
      </c>
      <c r="AC51" s="101">
        <v>0</v>
      </c>
      <c r="AD51" s="101">
        <v>0</v>
      </c>
      <c r="AE51" s="101">
        <v>0</v>
      </c>
      <c r="AF51" s="101">
        <v>0</v>
      </c>
      <c r="AG51" s="101">
        <v>0</v>
      </c>
      <c r="AH51" s="101">
        <v>0</v>
      </c>
      <c r="AI51" s="101">
        <f t="shared" si="1"/>
        <v>125</v>
      </c>
    </row>
    <row r="52" spans="1:35" ht="18" customHeight="1" x14ac:dyDescent="0.2">
      <c r="A52" s="27" t="str">
        <f t="shared" si="0"/>
        <v>개인</v>
      </c>
      <c r="B52" s="27" t="s">
        <v>1570</v>
      </c>
      <c r="C52" s="27" t="s">
        <v>1554</v>
      </c>
      <c r="D52" s="26">
        <v>6173188429</v>
      </c>
      <c r="E52" s="26">
        <v>10003837</v>
      </c>
      <c r="F52" s="25" t="s">
        <v>30</v>
      </c>
      <c r="G52" s="48" t="s">
        <v>322</v>
      </c>
      <c r="H52" s="53">
        <v>45943</v>
      </c>
      <c r="I52" s="53">
        <v>45777</v>
      </c>
      <c r="J52" s="14">
        <v>505.20400000000001</v>
      </c>
      <c r="K52" s="14">
        <f t="shared" ref="K52:K53" si="3">J52/36</f>
        <v>14.033444444444445</v>
      </c>
      <c r="L52" s="49" t="s">
        <v>311</v>
      </c>
      <c r="M52" s="101">
        <v>0</v>
      </c>
      <c r="N52" s="101">
        <v>0</v>
      </c>
      <c r="O52" s="101">
        <v>0</v>
      </c>
      <c r="P52" s="101">
        <v>0</v>
      </c>
      <c r="Q52" s="101">
        <v>0</v>
      </c>
      <c r="R52" s="101">
        <v>0</v>
      </c>
      <c r="S52" s="101">
        <v>0</v>
      </c>
      <c r="T52" s="101">
        <v>1.204</v>
      </c>
      <c r="U52" s="101">
        <v>12.747999999999999</v>
      </c>
      <c r="V52" s="101">
        <v>15.113</v>
      </c>
      <c r="W52" s="101">
        <v>14.691000000000001</v>
      </c>
      <c r="X52" s="101">
        <v>16.286999999999999</v>
      </c>
      <c r="Y52" s="101">
        <v>22.155000000000001</v>
      </c>
      <c r="Z52" s="101">
        <v>23.404</v>
      </c>
      <c r="AA52" s="101">
        <v>33.198</v>
      </c>
      <c r="AB52" s="101">
        <v>24.206</v>
      </c>
      <c r="AC52" s="101">
        <f>IFERROR(VLOOKUP(E52,[5]Sheet1!$A:$F,6,0),0)</f>
        <v>2.9249999999999998</v>
      </c>
      <c r="AD52" s="101">
        <v>0</v>
      </c>
      <c r="AE52" s="101">
        <v>0</v>
      </c>
      <c r="AF52" s="101">
        <v>7</v>
      </c>
      <c r="AG52" s="101">
        <v>7</v>
      </c>
      <c r="AH52" s="101">
        <v>1.236</v>
      </c>
      <c r="AI52" s="101">
        <f t="shared" si="1"/>
        <v>181.167</v>
      </c>
    </row>
    <row r="53" spans="1:35" ht="18" customHeight="1" x14ac:dyDescent="0.2">
      <c r="A53" s="27" t="str">
        <f t="shared" si="0"/>
        <v>법인</v>
      </c>
      <c r="B53" s="27" t="s">
        <v>1559</v>
      </c>
      <c r="C53" s="27" t="s">
        <v>1496</v>
      </c>
      <c r="D53" s="26">
        <v>1418202789</v>
      </c>
      <c r="E53" s="26">
        <v>10021890</v>
      </c>
      <c r="F53" s="25" t="s">
        <v>344</v>
      </c>
      <c r="G53" s="108" t="s">
        <v>445</v>
      </c>
      <c r="H53" s="53">
        <v>45636</v>
      </c>
      <c r="I53" s="50">
        <v>45688</v>
      </c>
      <c r="J53" s="14">
        <v>112.4361</v>
      </c>
      <c r="K53" s="14">
        <f t="shared" si="3"/>
        <v>3.1232249999999997</v>
      </c>
      <c r="L53" s="49" t="s">
        <v>311</v>
      </c>
      <c r="M53" s="101">
        <v>112.4361</v>
      </c>
      <c r="N53" s="101">
        <v>0</v>
      </c>
      <c r="O53" s="101">
        <v>0</v>
      </c>
      <c r="P53" s="101">
        <v>0</v>
      </c>
      <c r="Q53" s="101">
        <v>0</v>
      </c>
      <c r="R53" s="101">
        <v>0</v>
      </c>
      <c r="S53" s="101">
        <v>0</v>
      </c>
      <c r="T53" s="101">
        <v>0</v>
      </c>
      <c r="U53" s="101">
        <v>0</v>
      </c>
      <c r="V53" s="101">
        <v>0</v>
      </c>
      <c r="W53" s="101">
        <v>0</v>
      </c>
      <c r="X53" s="101">
        <v>0</v>
      </c>
      <c r="Y53" s="101">
        <v>0</v>
      </c>
      <c r="Z53" s="101">
        <v>0</v>
      </c>
      <c r="AA53" s="101">
        <v>0</v>
      </c>
      <c r="AB53" s="101">
        <v>0</v>
      </c>
      <c r="AC53" s="101">
        <v>0</v>
      </c>
      <c r="AD53" s="101">
        <v>0</v>
      </c>
      <c r="AE53" s="101">
        <v>0</v>
      </c>
      <c r="AF53" s="101">
        <v>0</v>
      </c>
      <c r="AG53" s="101">
        <v>0</v>
      </c>
      <c r="AH53" s="101">
        <v>0</v>
      </c>
      <c r="AI53" s="101">
        <f t="shared" si="1"/>
        <v>112.4361</v>
      </c>
    </row>
    <row r="54" spans="1:35" ht="18" customHeight="1" x14ac:dyDescent="0.2">
      <c r="A54" s="27" t="str">
        <f t="shared" si="0"/>
        <v>법인</v>
      </c>
      <c r="B54" s="27" t="s">
        <v>1559</v>
      </c>
      <c r="C54" s="27" t="s">
        <v>1496</v>
      </c>
      <c r="D54" s="26">
        <v>1418202789</v>
      </c>
      <c r="E54" s="26">
        <v>10021890</v>
      </c>
      <c r="F54" s="25" t="s">
        <v>344</v>
      </c>
      <c r="G54" s="48" t="s">
        <v>322</v>
      </c>
      <c r="H54" s="53">
        <v>45929</v>
      </c>
      <c r="I54" s="50">
        <v>45688</v>
      </c>
      <c r="J54" s="14">
        <v>489.46949999999998</v>
      </c>
      <c r="K54" s="14">
        <f t="shared" si="2"/>
        <v>13.596375</v>
      </c>
      <c r="L54" s="49" t="s">
        <v>311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1.2789999999999999</v>
      </c>
      <c r="U54" s="101">
        <v>4.617</v>
      </c>
      <c r="V54" s="101">
        <v>5.008</v>
      </c>
      <c r="W54" s="101">
        <v>5.7089999999999996</v>
      </c>
      <c r="X54" s="101">
        <v>5.0979999999999999</v>
      </c>
      <c r="Y54" s="101">
        <v>4.8040000000000003</v>
      </c>
      <c r="Z54" s="101">
        <v>4.9829999999999997</v>
      </c>
      <c r="AA54" s="101">
        <v>8.2070000000000007</v>
      </c>
      <c r="AB54" s="101">
        <v>13.978</v>
      </c>
      <c r="AC54" s="101">
        <f>IFERROR(VLOOKUP(E54,[5]Sheet1!$A:$F,6,0),0)</f>
        <v>17.981000000000002</v>
      </c>
      <c r="AD54" s="101">
        <v>16.338999999999999</v>
      </c>
      <c r="AE54" s="101">
        <v>14.847</v>
      </c>
      <c r="AF54" s="101">
        <v>14.872</v>
      </c>
      <c r="AG54" s="101">
        <v>15.782</v>
      </c>
      <c r="AH54" s="101">
        <v>16.887</v>
      </c>
      <c r="AI54" s="101">
        <f t="shared" si="1"/>
        <v>150.39099999999999</v>
      </c>
    </row>
    <row r="55" spans="1:35" ht="18" customHeight="1" x14ac:dyDescent="0.2">
      <c r="A55" s="27" t="str">
        <f t="shared" si="0"/>
        <v>법인</v>
      </c>
      <c r="B55" s="27" t="s">
        <v>1568</v>
      </c>
      <c r="C55" s="27" t="s">
        <v>1496</v>
      </c>
      <c r="D55" s="26">
        <v>1108202349</v>
      </c>
      <c r="E55" s="26">
        <v>10031781</v>
      </c>
      <c r="F55" s="78" t="s">
        <v>62</v>
      </c>
      <c r="G55" s="48" t="s">
        <v>320</v>
      </c>
      <c r="H55" s="53">
        <v>45863</v>
      </c>
      <c r="I55" s="50">
        <v>45880</v>
      </c>
      <c r="J55" s="14">
        <v>145</v>
      </c>
      <c r="K55" s="14">
        <f t="shared" ref="K55:K77" si="4">J55</f>
        <v>145</v>
      </c>
      <c r="L55" s="51" t="s">
        <v>343</v>
      </c>
      <c r="M55" s="101">
        <v>0</v>
      </c>
      <c r="N55" s="101">
        <v>0</v>
      </c>
      <c r="O55" s="101">
        <v>0</v>
      </c>
      <c r="P55" s="101">
        <v>0</v>
      </c>
      <c r="Q55" s="101">
        <v>0</v>
      </c>
      <c r="R55" s="101">
        <v>0</v>
      </c>
      <c r="S55" s="101">
        <v>0</v>
      </c>
      <c r="T55" s="101">
        <v>0</v>
      </c>
      <c r="U55" s="101">
        <v>145</v>
      </c>
      <c r="V55" s="101">
        <v>0</v>
      </c>
      <c r="W55" s="101">
        <v>0</v>
      </c>
      <c r="X55" s="101">
        <v>0</v>
      </c>
      <c r="Y55" s="101">
        <v>0</v>
      </c>
      <c r="Z55" s="101">
        <v>0</v>
      </c>
      <c r="AA55" s="101">
        <v>0</v>
      </c>
      <c r="AB55" s="101">
        <v>0</v>
      </c>
      <c r="AC55" s="101">
        <f>IFERROR(VLOOKUP(E55,[5]Sheet1!$A:$F,6,0),0)</f>
        <v>0</v>
      </c>
      <c r="AD55" s="101">
        <v>0</v>
      </c>
      <c r="AE55" s="101">
        <v>0</v>
      </c>
      <c r="AF55" s="101">
        <v>0</v>
      </c>
      <c r="AG55" s="101">
        <v>0</v>
      </c>
      <c r="AH55" s="101">
        <v>0</v>
      </c>
      <c r="AI55" s="101">
        <f t="shared" si="1"/>
        <v>145</v>
      </c>
    </row>
    <row r="56" spans="1:35" ht="18" customHeight="1" x14ac:dyDescent="0.2">
      <c r="A56" s="27" t="str">
        <f t="shared" si="0"/>
        <v>법인</v>
      </c>
      <c r="B56" s="27" t="s">
        <v>1556</v>
      </c>
      <c r="C56" s="27" t="s">
        <v>1496</v>
      </c>
      <c r="D56" s="26">
        <v>1218216353</v>
      </c>
      <c r="E56" s="26">
        <v>10032281</v>
      </c>
      <c r="F56" s="78" t="s">
        <v>342</v>
      </c>
      <c r="G56" s="48" t="s">
        <v>319</v>
      </c>
      <c r="H56" s="53">
        <v>45754</v>
      </c>
      <c r="I56" s="54">
        <v>45754</v>
      </c>
      <c r="J56" s="14">
        <v>477.86700000000002</v>
      </c>
      <c r="K56" s="14">
        <f t="shared" si="4"/>
        <v>477.86700000000002</v>
      </c>
      <c r="L56" s="51" t="s">
        <v>336</v>
      </c>
      <c r="M56" s="101">
        <v>0</v>
      </c>
      <c r="N56" s="101">
        <v>0</v>
      </c>
      <c r="O56" s="101">
        <v>0</v>
      </c>
      <c r="P56" s="101">
        <v>0</v>
      </c>
      <c r="Q56" s="101">
        <v>310.93799999999999</v>
      </c>
      <c r="R56" s="101">
        <v>0</v>
      </c>
      <c r="S56" s="101">
        <v>0</v>
      </c>
      <c r="T56" s="101">
        <v>149.065</v>
      </c>
      <c r="U56" s="101">
        <v>17.864000000000001</v>
      </c>
      <c r="V56" s="101">
        <v>0</v>
      </c>
      <c r="W56" s="101">
        <v>0</v>
      </c>
      <c r="X56" s="101">
        <v>0</v>
      </c>
      <c r="Y56" s="101">
        <v>0</v>
      </c>
      <c r="Z56" s="101">
        <v>0</v>
      </c>
      <c r="AA56" s="101">
        <v>0</v>
      </c>
      <c r="AB56" s="101">
        <v>0</v>
      </c>
      <c r="AC56" s="101">
        <f>IFERROR(VLOOKUP(E56,[5]Sheet1!$A:$F,6,0),0)</f>
        <v>0</v>
      </c>
      <c r="AD56" s="101">
        <v>0</v>
      </c>
      <c r="AE56" s="101">
        <v>0</v>
      </c>
      <c r="AF56" s="101">
        <v>0</v>
      </c>
      <c r="AG56" s="101">
        <v>0</v>
      </c>
      <c r="AH56" s="101">
        <v>0</v>
      </c>
      <c r="AI56" s="101">
        <f t="shared" si="1"/>
        <v>477.86699999999996</v>
      </c>
    </row>
    <row r="57" spans="1:35" ht="18" customHeight="1" x14ac:dyDescent="0.2">
      <c r="A57" s="27" t="str">
        <f t="shared" si="0"/>
        <v>법인</v>
      </c>
      <c r="B57" s="27" t="s">
        <v>1568</v>
      </c>
      <c r="C57" s="27" t="s">
        <v>1496</v>
      </c>
      <c r="D57" s="26">
        <v>1358200113</v>
      </c>
      <c r="E57" s="26">
        <v>10033726</v>
      </c>
      <c r="F57" s="78" t="s">
        <v>45</v>
      </c>
      <c r="G57" s="48" t="s">
        <v>320</v>
      </c>
      <c r="H57" s="53">
        <v>45798</v>
      </c>
      <c r="I57" s="50">
        <v>45798</v>
      </c>
      <c r="J57" s="14">
        <v>133.10299999999998</v>
      </c>
      <c r="K57" s="14">
        <f t="shared" si="4"/>
        <v>133.10299999999998</v>
      </c>
      <c r="L57" s="49" t="s">
        <v>311</v>
      </c>
      <c r="M57" s="101">
        <v>0</v>
      </c>
      <c r="N57" s="101">
        <v>0</v>
      </c>
      <c r="O57" s="101">
        <v>0</v>
      </c>
      <c r="P57" s="101">
        <v>0</v>
      </c>
      <c r="Q57" s="101">
        <v>0</v>
      </c>
      <c r="R57" s="101">
        <v>133.10300000000001</v>
      </c>
      <c r="S57" s="101">
        <v>0</v>
      </c>
      <c r="T57" s="101">
        <v>0</v>
      </c>
      <c r="U57" s="101">
        <v>0</v>
      </c>
      <c r="V57" s="101">
        <v>0</v>
      </c>
      <c r="W57" s="101">
        <v>0</v>
      </c>
      <c r="X57" s="101">
        <v>0</v>
      </c>
      <c r="Y57" s="101">
        <v>0</v>
      </c>
      <c r="Z57" s="101">
        <v>0</v>
      </c>
      <c r="AA57" s="101">
        <v>0</v>
      </c>
      <c r="AB57" s="101">
        <v>0</v>
      </c>
      <c r="AC57" s="101">
        <f>IFERROR(VLOOKUP(E57,[5]Sheet1!$A:$F,6,0),0)</f>
        <v>0</v>
      </c>
      <c r="AD57" s="101">
        <v>0</v>
      </c>
      <c r="AE57" s="101">
        <v>0</v>
      </c>
      <c r="AF57" s="101">
        <v>0</v>
      </c>
      <c r="AG57" s="101">
        <v>0</v>
      </c>
      <c r="AH57" s="101">
        <v>0</v>
      </c>
      <c r="AI57" s="101">
        <f t="shared" si="1"/>
        <v>133.10300000000001</v>
      </c>
    </row>
    <row r="58" spans="1:35" ht="18" customHeight="1" x14ac:dyDescent="0.2">
      <c r="A58" s="27" t="str">
        <f t="shared" si="0"/>
        <v>법인</v>
      </c>
      <c r="B58" s="27" t="s">
        <v>1558</v>
      </c>
      <c r="C58" s="27" t="s">
        <v>1496</v>
      </c>
      <c r="D58" s="26">
        <v>1378200666</v>
      </c>
      <c r="E58" s="26">
        <v>10033875</v>
      </c>
      <c r="F58" s="78" t="s">
        <v>25</v>
      </c>
      <c r="G58" s="48" t="s">
        <v>319</v>
      </c>
      <c r="H58" s="53">
        <v>45740</v>
      </c>
      <c r="I58" s="50">
        <v>45740</v>
      </c>
      <c r="J58" s="14">
        <v>965.49800000000005</v>
      </c>
      <c r="K58" s="14">
        <f t="shared" si="4"/>
        <v>965.49800000000005</v>
      </c>
      <c r="L58" s="51" t="s">
        <v>336</v>
      </c>
      <c r="M58" s="101">
        <v>0</v>
      </c>
      <c r="N58" s="101">
        <v>0</v>
      </c>
      <c r="O58" s="101">
        <v>0</v>
      </c>
      <c r="P58" s="101">
        <v>965.49800000000005</v>
      </c>
      <c r="Q58" s="101">
        <v>0</v>
      </c>
      <c r="R58" s="101">
        <v>0</v>
      </c>
      <c r="S58" s="101">
        <v>0</v>
      </c>
      <c r="T58" s="101">
        <v>0</v>
      </c>
      <c r="U58" s="101">
        <v>0</v>
      </c>
      <c r="V58" s="101">
        <v>0</v>
      </c>
      <c r="W58" s="101">
        <v>0</v>
      </c>
      <c r="X58" s="101">
        <v>0</v>
      </c>
      <c r="Y58" s="101">
        <v>0</v>
      </c>
      <c r="Z58" s="101">
        <v>0</v>
      </c>
      <c r="AA58" s="101">
        <v>0</v>
      </c>
      <c r="AB58" s="101">
        <v>0</v>
      </c>
      <c r="AC58" s="101">
        <f>IFERROR(VLOOKUP(E58,[5]Sheet1!$A:$F,6,0),0)</f>
        <v>0</v>
      </c>
      <c r="AD58" s="101">
        <v>0</v>
      </c>
      <c r="AE58" s="101">
        <v>0</v>
      </c>
      <c r="AF58" s="101">
        <v>0</v>
      </c>
      <c r="AG58" s="101">
        <v>0</v>
      </c>
      <c r="AH58" s="101">
        <v>0</v>
      </c>
      <c r="AI58" s="101">
        <f t="shared" si="1"/>
        <v>965.49800000000005</v>
      </c>
    </row>
    <row r="59" spans="1:35" ht="18" customHeight="1" x14ac:dyDescent="0.2">
      <c r="A59" s="27" t="str">
        <f t="shared" si="0"/>
        <v>법인</v>
      </c>
      <c r="B59" s="27" t="s">
        <v>1568</v>
      </c>
      <c r="C59" s="27" t="s">
        <v>1496</v>
      </c>
      <c r="D59" s="26">
        <v>2218203051</v>
      </c>
      <c r="E59" s="26">
        <v>10035467</v>
      </c>
      <c r="F59" s="78" t="s">
        <v>8</v>
      </c>
      <c r="G59" s="48" t="s">
        <v>320</v>
      </c>
      <c r="H59" s="53"/>
      <c r="I59" s="50">
        <v>45626</v>
      </c>
      <c r="J59" s="14">
        <v>240</v>
      </c>
      <c r="K59" s="14">
        <f t="shared" si="4"/>
        <v>240</v>
      </c>
      <c r="L59" s="49" t="s">
        <v>317</v>
      </c>
      <c r="M59" s="101">
        <v>240</v>
      </c>
      <c r="N59" s="101">
        <v>0</v>
      </c>
      <c r="O59" s="101">
        <v>0</v>
      </c>
      <c r="P59" s="101">
        <v>0</v>
      </c>
      <c r="Q59" s="101">
        <v>0</v>
      </c>
      <c r="R59" s="101">
        <v>0</v>
      </c>
      <c r="S59" s="101">
        <v>0</v>
      </c>
      <c r="T59" s="101">
        <v>0</v>
      </c>
      <c r="U59" s="101">
        <v>0</v>
      </c>
      <c r="V59" s="101">
        <v>0</v>
      </c>
      <c r="W59" s="101">
        <v>0</v>
      </c>
      <c r="X59" s="101">
        <v>0</v>
      </c>
      <c r="Y59" s="101">
        <v>0</v>
      </c>
      <c r="Z59" s="101">
        <v>0</v>
      </c>
      <c r="AA59" s="101">
        <v>0</v>
      </c>
      <c r="AB59" s="101">
        <v>0</v>
      </c>
      <c r="AC59" s="101">
        <f>IFERROR(VLOOKUP(E59,[5]Sheet1!$A:$F,6,0),0)</f>
        <v>0</v>
      </c>
      <c r="AD59" s="101">
        <v>0</v>
      </c>
      <c r="AE59" s="101">
        <v>0</v>
      </c>
      <c r="AF59" s="101">
        <v>0</v>
      </c>
      <c r="AG59" s="101">
        <v>0</v>
      </c>
      <c r="AH59" s="101">
        <v>0</v>
      </c>
      <c r="AI59" s="101">
        <f t="shared" si="1"/>
        <v>240</v>
      </c>
    </row>
    <row r="60" spans="1:35" ht="18" customHeight="1" x14ac:dyDescent="0.2">
      <c r="A60" s="27" t="str">
        <f t="shared" si="0"/>
        <v>개인</v>
      </c>
      <c r="B60" s="27" t="s">
        <v>1555</v>
      </c>
      <c r="C60" s="27" t="s">
        <v>1554</v>
      </c>
      <c r="D60" s="26">
        <v>2249099037</v>
      </c>
      <c r="E60" s="26">
        <v>10019136</v>
      </c>
      <c r="F60" s="78" t="s">
        <v>341</v>
      </c>
      <c r="G60" s="48" t="s">
        <v>340</v>
      </c>
      <c r="H60" s="53">
        <v>45777</v>
      </c>
      <c r="I60" s="53">
        <v>45777</v>
      </c>
      <c r="J60" s="14">
        <v>98.144999999999996</v>
      </c>
      <c r="K60" s="14">
        <f t="shared" si="4"/>
        <v>98.144999999999996</v>
      </c>
      <c r="L60" s="49" t="s">
        <v>311</v>
      </c>
      <c r="M60" s="101">
        <v>0</v>
      </c>
      <c r="N60" s="101">
        <v>0</v>
      </c>
      <c r="O60" s="101">
        <v>0</v>
      </c>
      <c r="P60" s="101">
        <v>0</v>
      </c>
      <c r="Q60" s="101">
        <v>0</v>
      </c>
      <c r="R60" s="101">
        <v>98.144999999999996</v>
      </c>
      <c r="S60" s="101">
        <v>0</v>
      </c>
      <c r="T60" s="101">
        <v>0</v>
      </c>
      <c r="U60" s="101">
        <v>0</v>
      </c>
      <c r="V60" s="101">
        <v>0</v>
      </c>
      <c r="W60" s="101">
        <v>0</v>
      </c>
      <c r="X60" s="101">
        <v>0</v>
      </c>
      <c r="Y60" s="101">
        <v>0</v>
      </c>
      <c r="Z60" s="101">
        <v>0</v>
      </c>
      <c r="AA60" s="101">
        <v>0</v>
      </c>
      <c r="AB60" s="101">
        <v>0</v>
      </c>
      <c r="AC60" s="101">
        <f>IFERROR(VLOOKUP(E60,[5]Sheet1!$A:$F,6,0),0)</f>
        <v>0</v>
      </c>
      <c r="AD60" s="101">
        <v>0</v>
      </c>
      <c r="AE60" s="101">
        <v>0</v>
      </c>
      <c r="AF60" s="101">
        <v>0</v>
      </c>
      <c r="AG60" s="101">
        <v>0</v>
      </c>
      <c r="AH60" s="101">
        <v>0</v>
      </c>
      <c r="AI60" s="101">
        <f t="shared" si="1"/>
        <v>98.144999999999996</v>
      </c>
    </row>
    <row r="61" spans="1:35" ht="18" customHeight="1" x14ac:dyDescent="0.2">
      <c r="A61" s="27" t="s">
        <v>1598</v>
      </c>
      <c r="B61" s="27" t="s">
        <v>1562</v>
      </c>
      <c r="C61" s="27" t="s">
        <v>1496</v>
      </c>
      <c r="D61" s="26">
        <v>2268204297</v>
      </c>
      <c r="E61" s="26">
        <v>10035639</v>
      </c>
      <c r="F61" s="25" t="s">
        <v>13</v>
      </c>
      <c r="G61" s="48" t="s">
        <v>1477</v>
      </c>
      <c r="H61" s="53" t="s">
        <v>1600</v>
      </c>
      <c r="I61" s="53"/>
      <c r="J61" s="14">
        <v>654.32100000000003</v>
      </c>
      <c r="K61" s="14">
        <f t="shared" si="4"/>
        <v>654.32100000000003</v>
      </c>
      <c r="L61" s="49"/>
      <c r="M61" s="101"/>
      <c r="N61" s="101"/>
      <c r="O61" s="101"/>
      <c r="P61" s="101"/>
      <c r="Q61" s="101"/>
      <c r="R61" s="101"/>
      <c r="S61" s="101"/>
      <c r="T61" s="101"/>
      <c r="U61" s="101"/>
      <c r="V61" s="101"/>
      <c r="W61" s="101"/>
      <c r="X61" s="101"/>
      <c r="Y61" s="101"/>
      <c r="Z61" s="101"/>
      <c r="AA61" s="101"/>
      <c r="AB61" s="101"/>
      <c r="AC61" s="101"/>
      <c r="AD61" s="101"/>
      <c r="AE61" s="101"/>
      <c r="AF61" s="101">
        <v>4.0309999999999997</v>
      </c>
      <c r="AG61" s="101">
        <v>6.9470000000000001</v>
      </c>
      <c r="AH61" s="101">
        <v>5.0529999999999999</v>
      </c>
      <c r="AI61" s="101">
        <f t="shared" si="1"/>
        <v>16.030999999999999</v>
      </c>
    </row>
    <row r="62" spans="1:35" ht="18" customHeight="1" x14ac:dyDescent="0.2">
      <c r="A62" s="27" t="s">
        <v>1598</v>
      </c>
      <c r="B62" s="27" t="s">
        <v>1562</v>
      </c>
      <c r="C62" s="27" t="s">
        <v>1496</v>
      </c>
      <c r="D62" s="26">
        <v>2268204297</v>
      </c>
      <c r="E62" s="26">
        <v>10035639</v>
      </c>
      <c r="F62" s="78" t="s">
        <v>13</v>
      </c>
      <c r="G62" s="48" t="s">
        <v>320</v>
      </c>
      <c r="H62" s="53">
        <v>45677</v>
      </c>
      <c r="I62" s="50">
        <v>45657</v>
      </c>
      <c r="J62" s="14">
        <v>198</v>
      </c>
      <c r="K62" s="14">
        <f t="shared" si="4"/>
        <v>198</v>
      </c>
      <c r="L62" s="51">
        <v>0</v>
      </c>
      <c r="M62" s="101">
        <v>0</v>
      </c>
      <c r="N62" s="101">
        <v>198</v>
      </c>
      <c r="O62" s="101">
        <v>0</v>
      </c>
      <c r="P62" s="101">
        <v>0</v>
      </c>
      <c r="Q62" s="101">
        <v>0</v>
      </c>
      <c r="R62" s="101">
        <v>0</v>
      </c>
      <c r="S62" s="101">
        <v>0</v>
      </c>
      <c r="T62" s="101">
        <v>0</v>
      </c>
      <c r="U62" s="101">
        <v>0</v>
      </c>
      <c r="V62" s="101">
        <v>0</v>
      </c>
      <c r="W62" s="101">
        <v>0</v>
      </c>
      <c r="X62" s="101">
        <v>0</v>
      </c>
      <c r="Y62" s="101">
        <v>0</v>
      </c>
      <c r="Z62" s="101">
        <v>0</v>
      </c>
      <c r="AA62" s="101">
        <v>0</v>
      </c>
      <c r="AB62" s="101">
        <v>0</v>
      </c>
      <c r="AC62" s="101">
        <f>IFERROR(VLOOKUP(E62,[5]Sheet1!$A:$F,6,0),0)</f>
        <v>0</v>
      </c>
      <c r="AD62" s="101">
        <v>0</v>
      </c>
      <c r="AE62" s="101">
        <v>0</v>
      </c>
      <c r="AF62" s="101">
        <v>0</v>
      </c>
      <c r="AG62" s="101">
        <v>0</v>
      </c>
      <c r="AH62" s="101">
        <v>0</v>
      </c>
      <c r="AI62" s="101">
        <f t="shared" si="1"/>
        <v>198</v>
      </c>
    </row>
    <row r="63" spans="1:35" ht="18" customHeight="1" x14ac:dyDescent="0.2">
      <c r="A63" s="27" t="s">
        <v>1598</v>
      </c>
      <c r="B63" s="27" t="s">
        <v>1556</v>
      </c>
      <c r="C63" s="27" t="s">
        <v>1496</v>
      </c>
      <c r="D63" s="26">
        <v>2818200245</v>
      </c>
      <c r="E63" s="26">
        <v>10046527</v>
      </c>
      <c r="F63" s="25" t="s">
        <v>53</v>
      </c>
      <c r="G63" s="108" t="s">
        <v>319</v>
      </c>
      <c r="H63" s="53">
        <v>45803</v>
      </c>
      <c r="I63" s="52">
        <v>45845</v>
      </c>
      <c r="J63" s="14">
        <v>531.95799999999997</v>
      </c>
      <c r="K63" s="14">
        <f t="shared" si="4"/>
        <v>531.95799999999997</v>
      </c>
      <c r="L63" s="51" t="s">
        <v>336</v>
      </c>
      <c r="M63" s="101">
        <v>0</v>
      </c>
      <c r="N63" s="101">
        <v>0</v>
      </c>
      <c r="O63" s="101">
        <v>0</v>
      </c>
      <c r="P63" s="101">
        <v>0</v>
      </c>
      <c r="Q63" s="101">
        <v>0</v>
      </c>
      <c r="R63" s="101">
        <v>0</v>
      </c>
      <c r="S63" s="101">
        <v>0</v>
      </c>
      <c r="T63" s="101">
        <v>312.12599999999998</v>
      </c>
      <c r="U63" s="101">
        <v>0</v>
      </c>
      <c r="V63" s="101">
        <v>0</v>
      </c>
      <c r="W63" s="101">
        <v>0</v>
      </c>
      <c r="X63" s="101">
        <v>0</v>
      </c>
      <c r="Y63" s="101">
        <v>0</v>
      </c>
      <c r="Z63" s="101">
        <v>0</v>
      </c>
      <c r="AA63" s="101">
        <v>0</v>
      </c>
      <c r="AB63" s="101">
        <v>0</v>
      </c>
      <c r="AC63" s="101">
        <f>IFERROR(VLOOKUP(E63,[5]Sheet1!$A:$F,6,0),0)</f>
        <v>0</v>
      </c>
      <c r="AD63" s="101">
        <v>0</v>
      </c>
      <c r="AE63" s="101">
        <v>0</v>
      </c>
      <c r="AF63" s="101">
        <v>0</v>
      </c>
      <c r="AG63" s="101">
        <v>0</v>
      </c>
      <c r="AH63" s="101">
        <v>0</v>
      </c>
      <c r="AI63" s="101">
        <f t="shared" si="1"/>
        <v>312.12599999999998</v>
      </c>
    </row>
    <row r="64" spans="1:35" ht="18" customHeight="1" x14ac:dyDescent="0.2">
      <c r="A64" s="27" t="s">
        <v>1586</v>
      </c>
      <c r="B64" s="27" t="s">
        <v>1571</v>
      </c>
      <c r="C64" s="27" t="s">
        <v>1597</v>
      </c>
      <c r="D64" s="26">
        <v>3129153766</v>
      </c>
      <c r="E64" s="26">
        <v>10036735</v>
      </c>
      <c r="F64" s="78" t="s">
        <v>15</v>
      </c>
      <c r="G64" s="48" t="s">
        <v>319</v>
      </c>
      <c r="H64" s="53">
        <v>45681</v>
      </c>
      <c r="I64" s="50">
        <v>45681</v>
      </c>
      <c r="J64" s="14">
        <v>194.90299999999999</v>
      </c>
      <c r="K64" s="14">
        <f t="shared" si="4"/>
        <v>194.90299999999999</v>
      </c>
      <c r="L64" s="49" t="s">
        <v>318</v>
      </c>
      <c r="M64" s="101">
        <v>0</v>
      </c>
      <c r="N64" s="101">
        <v>194.90299999999999</v>
      </c>
      <c r="O64" s="101">
        <v>0</v>
      </c>
      <c r="P64" s="101">
        <v>0</v>
      </c>
      <c r="Q64" s="101">
        <v>0</v>
      </c>
      <c r="R64" s="101">
        <v>0</v>
      </c>
      <c r="S64" s="101">
        <v>0</v>
      </c>
      <c r="T64" s="101">
        <v>0</v>
      </c>
      <c r="U64" s="101">
        <v>0</v>
      </c>
      <c r="V64" s="101">
        <v>0</v>
      </c>
      <c r="W64" s="101">
        <v>0</v>
      </c>
      <c r="X64" s="101">
        <v>0</v>
      </c>
      <c r="Y64" s="101">
        <v>0</v>
      </c>
      <c r="Z64" s="101">
        <v>0</v>
      </c>
      <c r="AA64" s="101">
        <v>0</v>
      </c>
      <c r="AB64" s="101">
        <v>0</v>
      </c>
      <c r="AC64" s="101">
        <f>IFERROR(VLOOKUP(E64,[5]Sheet1!$A:$F,6,0),0)</f>
        <v>0</v>
      </c>
      <c r="AD64" s="101">
        <v>0</v>
      </c>
      <c r="AE64" s="101">
        <v>0</v>
      </c>
      <c r="AF64" s="101">
        <v>0</v>
      </c>
      <c r="AG64" s="101">
        <v>0</v>
      </c>
      <c r="AH64" s="101">
        <v>0</v>
      </c>
      <c r="AI64" s="101">
        <f t="shared" si="1"/>
        <v>194.90299999999999</v>
      </c>
    </row>
    <row r="65" spans="1:35" ht="18" customHeight="1" x14ac:dyDescent="0.2">
      <c r="A65" s="27" t="s">
        <v>1586</v>
      </c>
      <c r="B65" s="27" t="s">
        <v>1567</v>
      </c>
      <c r="C65" s="27" t="s">
        <v>1597</v>
      </c>
      <c r="D65" s="26">
        <v>3449500361</v>
      </c>
      <c r="E65" s="26">
        <v>10070515</v>
      </c>
      <c r="F65" s="78" t="s">
        <v>41</v>
      </c>
      <c r="G65" s="48" t="s">
        <v>319</v>
      </c>
      <c r="H65" s="53">
        <v>45797</v>
      </c>
      <c r="I65" s="50">
        <v>45797</v>
      </c>
      <c r="J65" s="14">
        <v>146.643</v>
      </c>
      <c r="K65" s="14">
        <f t="shared" si="4"/>
        <v>146.643</v>
      </c>
      <c r="L65" s="51" t="s">
        <v>336</v>
      </c>
      <c r="M65" s="101">
        <v>0</v>
      </c>
      <c r="N65" s="101">
        <v>0</v>
      </c>
      <c r="O65" s="101">
        <v>0</v>
      </c>
      <c r="P65" s="101">
        <v>0</v>
      </c>
      <c r="Q65" s="101">
        <v>0</v>
      </c>
      <c r="R65" s="101">
        <v>146.643</v>
      </c>
      <c r="S65" s="101">
        <v>0</v>
      </c>
      <c r="T65" s="101">
        <v>0</v>
      </c>
      <c r="U65" s="101">
        <v>0</v>
      </c>
      <c r="V65" s="101">
        <v>0</v>
      </c>
      <c r="W65" s="101">
        <v>0</v>
      </c>
      <c r="X65" s="101">
        <v>0</v>
      </c>
      <c r="Y65" s="101">
        <v>0</v>
      </c>
      <c r="Z65" s="101">
        <v>0</v>
      </c>
      <c r="AA65" s="101">
        <v>0</v>
      </c>
      <c r="AB65" s="101">
        <v>0</v>
      </c>
      <c r="AC65" s="101">
        <f>IFERROR(VLOOKUP(E65,[5]Sheet1!$A:$F,6,0),0)</f>
        <v>0</v>
      </c>
      <c r="AD65" s="101">
        <v>0</v>
      </c>
      <c r="AE65" s="101">
        <v>0</v>
      </c>
      <c r="AF65" s="101">
        <v>0</v>
      </c>
      <c r="AG65" s="101">
        <v>0</v>
      </c>
      <c r="AH65" s="101">
        <v>0</v>
      </c>
      <c r="AI65" s="101">
        <f t="shared" si="1"/>
        <v>146.643</v>
      </c>
    </row>
    <row r="66" spans="1:35" ht="18" customHeight="1" x14ac:dyDescent="0.2">
      <c r="A66" s="27" t="s">
        <v>1598</v>
      </c>
      <c r="B66" s="27" t="s">
        <v>1563</v>
      </c>
      <c r="C66" s="27" t="s">
        <v>1496</v>
      </c>
      <c r="D66" s="26">
        <v>4038207697</v>
      </c>
      <c r="E66" s="26">
        <v>10037684</v>
      </c>
      <c r="F66" s="78" t="s">
        <v>1501</v>
      </c>
      <c r="G66" s="48" t="s">
        <v>319</v>
      </c>
      <c r="H66" s="53">
        <v>45807</v>
      </c>
      <c r="I66" s="53">
        <v>45888</v>
      </c>
      <c r="J66" s="14">
        <v>233.95299999999997</v>
      </c>
      <c r="K66" s="14">
        <f t="shared" si="4"/>
        <v>233.95299999999997</v>
      </c>
      <c r="L66" s="51" t="s">
        <v>336</v>
      </c>
      <c r="M66" s="101">
        <v>0</v>
      </c>
      <c r="N66" s="101">
        <v>0</v>
      </c>
      <c r="O66" s="101">
        <v>0</v>
      </c>
      <c r="P66" s="101">
        <v>0</v>
      </c>
      <c r="Q66" s="101">
        <v>0</v>
      </c>
      <c r="R66" s="101">
        <v>0</v>
      </c>
      <c r="S66" s="101">
        <v>0</v>
      </c>
      <c r="T66" s="101">
        <v>0</v>
      </c>
      <c r="U66" s="101">
        <v>233.953</v>
      </c>
      <c r="V66" s="101">
        <v>0</v>
      </c>
      <c r="W66" s="101">
        <v>0</v>
      </c>
      <c r="X66" s="101">
        <v>0</v>
      </c>
      <c r="Y66" s="101">
        <v>0</v>
      </c>
      <c r="Z66" s="101">
        <v>0</v>
      </c>
      <c r="AA66" s="101">
        <v>0</v>
      </c>
      <c r="AB66" s="101">
        <v>0</v>
      </c>
      <c r="AC66" s="101">
        <f>IFERROR(VLOOKUP(E66,[5]Sheet1!$A:$F,6,0),0)</f>
        <v>0</v>
      </c>
      <c r="AD66" s="101">
        <v>0</v>
      </c>
      <c r="AE66" s="101">
        <v>0</v>
      </c>
      <c r="AF66" s="101">
        <v>0</v>
      </c>
      <c r="AG66" s="101">
        <v>0</v>
      </c>
      <c r="AH66" s="101">
        <v>0</v>
      </c>
      <c r="AI66" s="101">
        <f t="shared" si="1"/>
        <v>233.953</v>
      </c>
    </row>
    <row r="67" spans="1:35" ht="18" customHeight="1" x14ac:dyDescent="0.2">
      <c r="A67" s="27" t="s">
        <v>1586</v>
      </c>
      <c r="B67" s="27" t="s">
        <v>1559</v>
      </c>
      <c r="C67" s="27" t="s">
        <v>1597</v>
      </c>
      <c r="D67" s="26">
        <v>4080598358</v>
      </c>
      <c r="E67" s="26">
        <v>10037863</v>
      </c>
      <c r="F67" s="25" t="s">
        <v>21</v>
      </c>
      <c r="G67" s="48" t="s">
        <v>1477</v>
      </c>
      <c r="H67" s="53" t="s">
        <v>1601</v>
      </c>
      <c r="I67" s="53"/>
      <c r="J67" s="14">
        <v>299.14582899999999</v>
      </c>
      <c r="K67" s="14">
        <f t="shared" si="4"/>
        <v>299.14582899999999</v>
      </c>
      <c r="L67" s="51"/>
      <c r="M67" s="101"/>
      <c r="N67" s="101"/>
      <c r="O67" s="101"/>
      <c r="P67" s="101"/>
      <c r="Q67" s="101"/>
      <c r="R67" s="101"/>
      <c r="S67" s="101"/>
      <c r="T67" s="101"/>
      <c r="U67" s="101"/>
      <c r="V67" s="101"/>
      <c r="W67" s="101"/>
      <c r="X67" s="101"/>
      <c r="Y67" s="101"/>
      <c r="Z67" s="101"/>
      <c r="AA67" s="101"/>
      <c r="AB67" s="101"/>
      <c r="AC67" s="101"/>
      <c r="AD67" s="101">
        <v>4.4690000000000003</v>
      </c>
      <c r="AE67" s="101">
        <v>6.5119999999999996</v>
      </c>
      <c r="AF67" s="101">
        <v>7.3339999999999996</v>
      </c>
      <c r="AG67" s="101">
        <v>7.516</v>
      </c>
      <c r="AH67" s="101">
        <v>6.61</v>
      </c>
      <c r="AI67" s="101">
        <f t="shared" si="1"/>
        <v>32.440999999999995</v>
      </c>
    </row>
    <row r="68" spans="1:35" ht="18" customHeight="1" x14ac:dyDescent="0.2">
      <c r="A68" s="27" t="s">
        <v>1586</v>
      </c>
      <c r="B68" s="27" t="s">
        <v>1559</v>
      </c>
      <c r="C68" s="27" t="s">
        <v>1597</v>
      </c>
      <c r="D68" s="26">
        <v>4080598358</v>
      </c>
      <c r="E68" s="26">
        <v>10037863</v>
      </c>
      <c r="F68" s="78" t="s">
        <v>21</v>
      </c>
      <c r="G68" s="48" t="s">
        <v>321</v>
      </c>
      <c r="H68" s="53">
        <v>45740</v>
      </c>
      <c r="I68" s="50">
        <v>45740</v>
      </c>
      <c r="J68" s="14">
        <v>100.053</v>
      </c>
      <c r="K68" s="14">
        <f t="shared" si="4"/>
        <v>100.053</v>
      </c>
      <c r="L68" s="49" t="s">
        <v>311</v>
      </c>
      <c r="M68" s="101">
        <v>0</v>
      </c>
      <c r="N68" s="101">
        <v>0</v>
      </c>
      <c r="O68" s="101">
        <v>0</v>
      </c>
      <c r="P68" s="101">
        <v>100.053</v>
      </c>
      <c r="Q68" s="101">
        <v>0</v>
      </c>
      <c r="R68" s="101">
        <v>0</v>
      </c>
      <c r="S68" s="101">
        <v>0</v>
      </c>
      <c r="T68" s="101">
        <v>0</v>
      </c>
      <c r="U68" s="101">
        <v>0</v>
      </c>
      <c r="V68" s="101">
        <v>0</v>
      </c>
      <c r="W68" s="101">
        <v>0</v>
      </c>
      <c r="X68" s="101">
        <v>0</v>
      </c>
      <c r="Y68" s="101">
        <v>0</v>
      </c>
      <c r="Z68" s="101">
        <v>0</v>
      </c>
      <c r="AA68" s="101">
        <v>0</v>
      </c>
      <c r="AB68" s="101">
        <v>0</v>
      </c>
      <c r="AC68" s="101">
        <f>IFERROR(VLOOKUP(E68,[5]Sheet1!$A:$F,6,0),0)</f>
        <v>0</v>
      </c>
      <c r="AD68" s="101">
        <v>0</v>
      </c>
      <c r="AE68" s="101">
        <v>0</v>
      </c>
      <c r="AF68" s="101">
        <v>0</v>
      </c>
      <c r="AG68" s="101">
        <v>0</v>
      </c>
      <c r="AH68" s="101">
        <v>0</v>
      </c>
      <c r="AI68" s="101">
        <f t="shared" si="1"/>
        <v>100.053</v>
      </c>
    </row>
    <row r="69" spans="1:35" ht="18" customHeight="1" x14ac:dyDescent="0.2">
      <c r="A69" s="27" t="s">
        <v>1586</v>
      </c>
      <c r="B69" s="27" t="s">
        <v>1555</v>
      </c>
      <c r="C69" s="27" t="s">
        <v>1597</v>
      </c>
      <c r="D69" s="26">
        <v>4092331145</v>
      </c>
      <c r="E69" s="26">
        <v>10038000</v>
      </c>
      <c r="F69" s="78" t="s">
        <v>105</v>
      </c>
      <c r="G69" s="48" t="s">
        <v>320</v>
      </c>
      <c r="H69" s="53">
        <v>45943</v>
      </c>
      <c r="I69" s="50">
        <v>45972</v>
      </c>
      <c r="J69" s="14">
        <v>378.15</v>
      </c>
      <c r="K69" s="14">
        <f t="shared" si="4"/>
        <v>378.15</v>
      </c>
      <c r="L69" s="49" t="s">
        <v>311</v>
      </c>
      <c r="M69" s="101">
        <v>0</v>
      </c>
      <c r="N69" s="101">
        <v>0</v>
      </c>
      <c r="O69" s="101">
        <v>0</v>
      </c>
      <c r="P69" s="101">
        <v>0</v>
      </c>
      <c r="Q69" s="101">
        <v>0</v>
      </c>
      <c r="R69" s="101">
        <v>0</v>
      </c>
      <c r="S69" s="101">
        <v>0</v>
      </c>
      <c r="T69" s="101">
        <v>0</v>
      </c>
      <c r="U69" s="101">
        <v>0</v>
      </c>
      <c r="V69" s="101">
        <v>0</v>
      </c>
      <c r="W69" s="101">
        <v>0</v>
      </c>
      <c r="X69" s="101">
        <v>378.15</v>
      </c>
      <c r="Y69" s="101">
        <v>0</v>
      </c>
      <c r="Z69" s="101">
        <v>0</v>
      </c>
      <c r="AA69" s="101">
        <v>0</v>
      </c>
      <c r="AB69" s="101">
        <v>0</v>
      </c>
      <c r="AC69" s="101">
        <f>IFERROR(VLOOKUP(E69,[5]Sheet1!$A:$F,6,0),0)</f>
        <v>0</v>
      </c>
      <c r="AD69" s="101">
        <v>0</v>
      </c>
      <c r="AE69" s="101">
        <v>0</v>
      </c>
      <c r="AF69" s="101">
        <v>0</v>
      </c>
      <c r="AG69" s="101">
        <v>0</v>
      </c>
      <c r="AH69" s="101">
        <v>21.78</v>
      </c>
      <c r="AI69" s="101">
        <f t="shared" si="1"/>
        <v>399.92999999999995</v>
      </c>
    </row>
    <row r="70" spans="1:35" ht="18" customHeight="1" x14ac:dyDescent="0.2">
      <c r="A70" s="27" t="s">
        <v>1586</v>
      </c>
      <c r="B70" s="27" t="s">
        <v>1569</v>
      </c>
      <c r="C70" s="27" t="s">
        <v>1597</v>
      </c>
      <c r="D70" s="26">
        <v>4099047917</v>
      </c>
      <c r="E70" s="26">
        <v>10038047</v>
      </c>
      <c r="F70" s="78" t="s">
        <v>18</v>
      </c>
      <c r="G70" s="48" t="s">
        <v>321</v>
      </c>
      <c r="H70" s="53">
        <v>45700</v>
      </c>
      <c r="I70" s="50">
        <v>45700</v>
      </c>
      <c r="J70" s="14">
        <v>215.12718999999998</v>
      </c>
      <c r="K70" s="14">
        <f t="shared" si="4"/>
        <v>215.12718999999998</v>
      </c>
      <c r="L70" s="49" t="s">
        <v>311</v>
      </c>
      <c r="M70" s="101">
        <v>0</v>
      </c>
      <c r="N70" s="101">
        <v>0</v>
      </c>
      <c r="O70" s="101">
        <v>215.12719000000001</v>
      </c>
      <c r="P70" s="101">
        <v>0</v>
      </c>
      <c r="Q70" s="101">
        <v>0</v>
      </c>
      <c r="R70" s="101">
        <v>0</v>
      </c>
      <c r="S70" s="101">
        <v>0</v>
      </c>
      <c r="T70" s="101">
        <v>0</v>
      </c>
      <c r="U70" s="101">
        <v>0</v>
      </c>
      <c r="V70" s="101">
        <v>0</v>
      </c>
      <c r="W70" s="101">
        <v>0</v>
      </c>
      <c r="X70" s="101">
        <v>0</v>
      </c>
      <c r="Y70" s="101">
        <v>0</v>
      </c>
      <c r="Z70" s="101">
        <v>0</v>
      </c>
      <c r="AA70" s="101">
        <v>0</v>
      </c>
      <c r="AB70" s="101">
        <v>0</v>
      </c>
      <c r="AC70" s="101">
        <f>IFERROR(VLOOKUP(E70,[5]Sheet1!$A:$F,6,0),0)</f>
        <v>0</v>
      </c>
      <c r="AD70" s="101">
        <v>0</v>
      </c>
      <c r="AE70" s="101">
        <v>0</v>
      </c>
      <c r="AF70" s="101">
        <v>0</v>
      </c>
      <c r="AG70" s="101">
        <v>0</v>
      </c>
      <c r="AH70" s="101">
        <v>0</v>
      </c>
      <c r="AI70" s="101">
        <f t="shared" ref="AI70:AI133" si="5">SUM(AA70,Z70,Y70,X70,W70,V70,U70,T70,S70,R70,Q70,P70,O70,N70,M70,AB70,AC70,AD70,AE70,AF70,AG70,AH70)</f>
        <v>215.12719000000001</v>
      </c>
    </row>
    <row r="71" spans="1:35" ht="18" customHeight="1" x14ac:dyDescent="0.2">
      <c r="A71" s="27" t="s">
        <v>1586</v>
      </c>
      <c r="B71" s="27" t="s">
        <v>1558</v>
      </c>
      <c r="C71" s="27" t="s">
        <v>1597</v>
      </c>
      <c r="D71" s="26">
        <v>4101186287</v>
      </c>
      <c r="E71" s="26">
        <v>10038116</v>
      </c>
      <c r="F71" s="78" t="s">
        <v>4</v>
      </c>
      <c r="G71" s="48" t="s">
        <v>319</v>
      </c>
      <c r="H71" s="53"/>
      <c r="I71" s="53">
        <v>45596</v>
      </c>
      <c r="J71" s="14">
        <v>180.57155</v>
      </c>
      <c r="K71" s="14">
        <f t="shared" si="4"/>
        <v>180.57155</v>
      </c>
      <c r="L71" s="49" t="s">
        <v>318</v>
      </c>
      <c r="M71" s="101">
        <v>180.57155</v>
      </c>
      <c r="N71" s="101">
        <v>0</v>
      </c>
      <c r="O71" s="101">
        <v>0</v>
      </c>
      <c r="P71" s="101">
        <v>0</v>
      </c>
      <c r="Q71" s="101">
        <v>0</v>
      </c>
      <c r="R71" s="101">
        <v>0</v>
      </c>
      <c r="S71" s="101">
        <v>0</v>
      </c>
      <c r="T71" s="101">
        <v>0</v>
      </c>
      <c r="U71" s="101">
        <v>0</v>
      </c>
      <c r="V71" s="101">
        <v>0</v>
      </c>
      <c r="W71" s="101">
        <v>0</v>
      </c>
      <c r="X71" s="101">
        <v>0</v>
      </c>
      <c r="Y71" s="101">
        <v>0</v>
      </c>
      <c r="Z71" s="101">
        <v>0</v>
      </c>
      <c r="AA71" s="101">
        <v>0</v>
      </c>
      <c r="AB71" s="101">
        <v>0</v>
      </c>
      <c r="AC71" s="101">
        <f>IFERROR(VLOOKUP(E71,[5]Sheet1!$A:$F,6,0),0)</f>
        <v>0</v>
      </c>
      <c r="AD71" s="101">
        <v>0</v>
      </c>
      <c r="AE71" s="101">
        <v>0</v>
      </c>
      <c r="AF71" s="101">
        <v>0</v>
      </c>
      <c r="AG71" s="101">
        <v>0</v>
      </c>
      <c r="AH71" s="101">
        <v>0</v>
      </c>
      <c r="AI71" s="101">
        <f t="shared" si="5"/>
        <v>180.57155</v>
      </c>
    </row>
    <row r="72" spans="1:35" ht="18" customHeight="1" x14ac:dyDescent="0.2">
      <c r="A72" s="27" t="s">
        <v>1598</v>
      </c>
      <c r="B72" s="27" t="s">
        <v>1572</v>
      </c>
      <c r="C72" s="27" t="s">
        <v>1496</v>
      </c>
      <c r="D72" s="26">
        <v>4118204274</v>
      </c>
      <c r="E72" s="26">
        <v>10038298</v>
      </c>
      <c r="F72" s="78" t="s">
        <v>28</v>
      </c>
      <c r="G72" s="48" t="s">
        <v>321</v>
      </c>
      <c r="H72" s="53">
        <v>45754</v>
      </c>
      <c r="I72" s="50">
        <v>45754</v>
      </c>
      <c r="J72" s="14">
        <v>170.792</v>
      </c>
      <c r="K72" s="14">
        <f t="shared" si="4"/>
        <v>170.792</v>
      </c>
      <c r="L72" s="49" t="s">
        <v>311</v>
      </c>
      <c r="M72" s="101">
        <v>0</v>
      </c>
      <c r="N72" s="101">
        <v>0</v>
      </c>
      <c r="O72" s="101">
        <v>0</v>
      </c>
      <c r="P72" s="101">
        <v>0</v>
      </c>
      <c r="Q72" s="101">
        <v>170.792</v>
      </c>
      <c r="R72" s="101">
        <v>0</v>
      </c>
      <c r="S72" s="101">
        <v>0</v>
      </c>
      <c r="T72" s="101">
        <v>0</v>
      </c>
      <c r="U72" s="101">
        <v>0</v>
      </c>
      <c r="V72" s="101">
        <v>0</v>
      </c>
      <c r="W72" s="101">
        <v>0</v>
      </c>
      <c r="X72" s="101">
        <v>0</v>
      </c>
      <c r="Y72" s="101">
        <v>0</v>
      </c>
      <c r="Z72" s="101">
        <v>0</v>
      </c>
      <c r="AA72" s="101">
        <v>0</v>
      </c>
      <c r="AB72" s="101">
        <v>0</v>
      </c>
      <c r="AC72" s="101">
        <f>IFERROR(VLOOKUP(E72,[5]Sheet1!$A:$F,6,0),0)</f>
        <v>0</v>
      </c>
      <c r="AD72" s="101">
        <v>0</v>
      </c>
      <c r="AE72" s="101">
        <v>0</v>
      </c>
      <c r="AF72" s="101">
        <v>0</v>
      </c>
      <c r="AG72" s="101">
        <v>0</v>
      </c>
      <c r="AH72" s="101">
        <v>0</v>
      </c>
      <c r="AI72" s="101">
        <f t="shared" si="5"/>
        <v>170.792</v>
      </c>
    </row>
    <row r="73" spans="1:35" ht="18" customHeight="1" x14ac:dyDescent="0.2">
      <c r="A73" s="27" t="s">
        <v>1598</v>
      </c>
      <c r="B73" s="27" t="s">
        <v>1559</v>
      </c>
      <c r="C73" s="27" t="s">
        <v>1496</v>
      </c>
      <c r="D73" s="26">
        <v>4118210102</v>
      </c>
      <c r="E73" s="26">
        <v>10038304</v>
      </c>
      <c r="F73" s="78" t="s">
        <v>2</v>
      </c>
      <c r="G73" s="48" t="s">
        <v>319</v>
      </c>
      <c r="H73" s="53"/>
      <c r="I73" s="53">
        <v>45565</v>
      </c>
      <c r="J73" s="14">
        <v>140.11969999999999</v>
      </c>
      <c r="K73" s="14">
        <f t="shared" si="4"/>
        <v>140.11969999999999</v>
      </c>
      <c r="L73" s="49" t="s">
        <v>318</v>
      </c>
      <c r="M73" s="101">
        <v>140.11969999999999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X73" s="101">
        <v>0</v>
      </c>
      <c r="Y73" s="101">
        <v>0</v>
      </c>
      <c r="Z73" s="101">
        <v>0</v>
      </c>
      <c r="AA73" s="101">
        <v>0</v>
      </c>
      <c r="AB73" s="101">
        <v>0</v>
      </c>
      <c r="AC73" s="101">
        <f>IFERROR(VLOOKUP(E73,[5]Sheet1!$A:$F,6,0),0)</f>
        <v>0</v>
      </c>
      <c r="AD73" s="101">
        <v>0</v>
      </c>
      <c r="AE73" s="101">
        <v>0</v>
      </c>
      <c r="AF73" s="101">
        <v>0</v>
      </c>
      <c r="AG73" s="101">
        <v>0</v>
      </c>
      <c r="AH73" s="101">
        <v>0</v>
      </c>
      <c r="AI73" s="101">
        <f t="shared" si="5"/>
        <v>140.11969999999999</v>
      </c>
    </row>
    <row r="74" spans="1:35" ht="18" customHeight="1" x14ac:dyDescent="0.2">
      <c r="A74" s="27" t="s">
        <v>1598</v>
      </c>
      <c r="B74" s="27" t="s">
        <v>1578</v>
      </c>
      <c r="C74" s="27" t="s">
        <v>1496</v>
      </c>
      <c r="D74" s="26">
        <v>4158200659</v>
      </c>
      <c r="E74" s="26">
        <v>10038434</v>
      </c>
      <c r="F74" s="78" t="s">
        <v>71</v>
      </c>
      <c r="G74" s="48" t="s">
        <v>320</v>
      </c>
      <c r="H74" s="53">
        <v>45847</v>
      </c>
      <c r="I74" s="50">
        <v>45916</v>
      </c>
      <c r="J74" s="14">
        <v>715.86900000000003</v>
      </c>
      <c r="K74" s="14">
        <f t="shared" si="4"/>
        <v>715.86900000000003</v>
      </c>
      <c r="L74" s="49" t="s">
        <v>311</v>
      </c>
      <c r="M74" s="101">
        <v>0</v>
      </c>
      <c r="N74" s="101">
        <v>0</v>
      </c>
      <c r="O74" s="101">
        <v>0</v>
      </c>
      <c r="P74" s="101">
        <v>0</v>
      </c>
      <c r="Q74" s="101">
        <v>0</v>
      </c>
      <c r="R74" s="101">
        <v>0</v>
      </c>
      <c r="S74" s="101">
        <v>0</v>
      </c>
      <c r="T74" s="101">
        <v>0</v>
      </c>
      <c r="U74" s="101">
        <v>0</v>
      </c>
      <c r="V74" s="101">
        <v>715.86900000000003</v>
      </c>
      <c r="W74" s="101">
        <v>0</v>
      </c>
      <c r="X74" s="101">
        <v>0</v>
      </c>
      <c r="Y74" s="101">
        <v>0</v>
      </c>
      <c r="Z74" s="101">
        <v>0</v>
      </c>
      <c r="AA74" s="101">
        <v>0</v>
      </c>
      <c r="AB74" s="101">
        <v>0</v>
      </c>
      <c r="AC74" s="101">
        <f>IFERROR(VLOOKUP(E74,[5]Sheet1!$A:$F,6,0),0)</f>
        <v>0</v>
      </c>
      <c r="AD74" s="101">
        <v>0</v>
      </c>
      <c r="AE74" s="101">
        <v>0</v>
      </c>
      <c r="AF74" s="101">
        <v>0</v>
      </c>
      <c r="AG74" s="101">
        <v>0</v>
      </c>
      <c r="AH74" s="101">
        <v>0</v>
      </c>
      <c r="AI74" s="101">
        <f t="shared" si="5"/>
        <v>715.86900000000003</v>
      </c>
    </row>
    <row r="75" spans="1:35" ht="18" customHeight="1" x14ac:dyDescent="0.2">
      <c r="A75" s="27" t="s">
        <v>1598</v>
      </c>
      <c r="B75" s="27" t="s">
        <v>1573</v>
      </c>
      <c r="C75" s="27" t="s">
        <v>1496</v>
      </c>
      <c r="D75" s="26">
        <v>4178204011</v>
      </c>
      <c r="E75" s="26">
        <v>10038606</v>
      </c>
      <c r="F75" s="25" t="s">
        <v>1502</v>
      </c>
      <c r="G75" s="48" t="s">
        <v>1477</v>
      </c>
      <c r="H75" s="53" t="s">
        <v>1603</v>
      </c>
      <c r="I75" s="50"/>
      <c r="J75" s="14">
        <v>786.70207000000005</v>
      </c>
      <c r="K75" s="14">
        <f t="shared" si="4"/>
        <v>786.70207000000005</v>
      </c>
      <c r="L75" s="49"/>
      <c r="M75" s="101"/>
      <c r="N75" s="101"/>
      <c r="O75" s="101"/>
      <c r="P75" s="101"/>
      <c r="Q75" s="101"/>
      <c r="R75" s="101"/>
      <c r="S75" s="101"/>
      <c r="T75" s="101"/>
      <c r="U75" s="101"/>
      <c r="V75" s="101"/>
      <c r="W75" s="101"/>
      <c r="X75" s="101"/>
      <c r="Y75" s="101"/>
      <c r="Z75" s="101"/>
      <c r="AA75" s="101"/>
      <c r="AB75" s="101"/>
      <c r="AC75" s="101"/>
      <c r="AD75" s="101">
        <v>10.734</v>
      </c>
      <c r="AE75" s="101">
        <v>14.428000000000001</v>
      </c>
      <c r="AF75" s="101">
        <v>11.959</v>
      </c>
      <c r="AG75" s="101">
        <v>13.728</v>
      </c>
      <c r="AH75" s="101">
        <v>9.9179999999999993</v>
      </c>
      <c r="AI75" s="101">
        <f t="shared" si="5"/>
        <v>60.766999999999996</v>
      </c>
    </row>
    <row r="76" spans="1:35" ht="18" customHeight="1" x14ac:dyDescent="0.2">
      <c r="A76" s="27" t="s">
        <v>1598</v>
      </c>
      <c r="B76" s="27" t="s">
        <v>1573</v>
      </c>
      <c r="C76" s="27" t="s">
        <v>1496</v>
      </c>
      <c r="D76" s="26">
        <v>4178204011</v>
      </c>
      <c r="E76" s="26">
        <v>10038606</v>
      </c>
      <c r="F76" s="78" t="s">
        <v>1502</v>
      </c>
      <c r="G76" s="48" t="s">
        <v>319</v>
      </c>
      <c r="H76" s="53">
        <v>45664</v>
      </c>
      <c r="I76" s="50">
        <v>45664</v>
      </c>
      <c r="J76" s="14">
        <v>139.36750000000001</v>
      </c>
      <c r="K76" s="14">
        <f t="shared" si="4"/>
        <v>139.36750000000001</v>
      </c>
      <c r="L76" s="51" t="s">
        <v>332</v>
      </c>
      <c r="M76" s="101">
        <v>0</v>
      </c>
      <c r="N76" s="101">
        <v>139.36750000000001</v>
      </c>
      <c r="O76" s="101">
        <v>0</v>
      </c>
      <c r="P76" s="101">
        <v>0</v>
      </c>
      <c r="Q76" s="101">
        <v>0</v>
      </c>
      <c r="R76" s="101">
        <v>0</v>
      </c>
      <c r="S76" s="101">
        <v>0</v>
      </c>
      <c r="T76" s="101">
        <v>0</v>
      </c>
      <c r="U76" s="101">
        <v>0</v>
      </c>
      <c r="V76" s="101">
        <v>0</v>
      </c>
      <c r="W76" s="101">
        <v>0</v>
      </c>
      <c r="X76" s="101">
        <v>0</v>
      </c>
      <c r="Y76" s="101">
        <v>0</v>
      </c>
      <c r="Z76" s="101">
        <v>0</v>
      </c>
      <c r="AA76" s="101">
        <v>0</v>
      </c>
      <c r="AB76" s="101">
        <v>0</v>
      </c>
      <c r="AC76" s="101">
        <f>IFERROR(VLOOKUP(E76,[5]Sheet1!$A:$F,6,0),0)</f>
        <v>0</v>
      </c>
      <c r="AD76" s="101">
        <v>0</v>
      </c>
      <c r="AE76" s="101">
        <v>0</v>
      </c>
      <c r="AF76" s="101">
        <v>0</v>
      </c>
      <c r="AG76" s="101">
        <v>0</v>
      </c>
      <c r="AH76" s="101">
        <v>0</v>
      </c>
      <c r="AI76" s="101">
        <f t="shared" si="5"/>
        <v>139.36750000000001</v>
      </c>
    </row>
    <row r="77" spans="1:35" ht="18" customHeight="1" x14ac:dyDescent="0.2">
      <c r="A77" s="27" t="s">
        <v>1586</v>
      </c>
      <c r="B77" s="27" t="s">
        <v>1569</v>
      </c>
      <c r="C77" s="27" t="s">
        <v>1597</v>
      </c>
      <c r="D77" s="26">
        <v>6089311526</v>
      </c>
      <c r="E77" s="26">
        <v>10092105</v>
      </c>
      <c r="F77" s="78" t="s">
        <v>47</v>
      </c>
      <c r="G77" s="48" t="s">
        <v>319</v>
      </c>
      <c r="H77" s="53">
        <v>45799</v>
      </c>
      <c r="I77" s="50">
        <v>45799</v>
      </c>
      <c r="J77" s="14">
        <v>73.512999999999991</v>
      </c>
      <c r="K77" s="14">
        <f t="shared" si="4"/>
        <v>73.512999999999991</v>
      </c>
      <c r="L77" s="51" t="s">
        <v>336</v>
      </c>
      <c r="M77" s="101">
        <v>0</v>
      </c>
      <c r="N77" s="101">
        <v>0</v>
      </c>
      <c r="O77" s="101">
        <v>0</v>
      </c>
      <c r="P77" s="101">
        <v>0</v>
      </c>
      <c r="Q77" s="101">
        <v>0</v>
      </c>
      <c r="R77" s="101">
        <v>73.513000000000005</v>
      </c>
      <c r="S77" s="101">
        <v>0</v>
      </c>
      <c r="T77" s="101">
        <v>0</v>
      </c>
      <c r="U77" s="101">
        <v>0</v>
      </c>
      <c r="V77" s="101">
        <v>0</v>
      </c>
      <c r="W77" s="101">
        <v>0</v>
      </c>
      <c r="X77" s="101">
        <v>0</v>
      </c>
      <c r="Y77" s="101">
        <v>0</v>
      </c>
      <c r="Z77" s="101">
        <v>0</v>
      </c>
      <c r="AA77" s="101">
        <v>0</v>
      </c>
      <c r="AB77" s="101">
        <v>0</v>
      </c>
      <c r="AC77" s="101">
        <f>IFERROR(VLOOKUP(E77,[5]Sheet1!$A:$F,6,0),0)</f>
        <v>0</v>
      </c>
      <c r="AD77" s="101">
        <v>0</v>
      </c>
      <c r="AE77" s="101">
        <v>0</v>
      </c>
      <c r="AF77" s="101">
        <v>0</v>
      </c>
      <c r="AG77" s="101">
        <v>0</v>
      </c>
      <c r="AH77" s="101">
        <v>0</v>
      </c>
      <c r="AI77" s="101">
        <f t="shared" si="5"/>
        <v>73.513000000000005</v>
      </c>
    </row>
    <row r="78" spans="1:35" ht="18" customHeight="1" x14ac:dyDescent="0.2">
      <c r="A78" s="27" t="str">
        <f t="shared" ref="A78:A136" si="6">IF(MID(D78,4,1)="8","법인","개인")</f>
        <v>개인</v>
      </c>
      <c r="B78" s="27" t="s">
        <v>1555</v>
      </c>
      <c r="C78" s="27" t="s">
        <v>1554</v>
      </c>
      <c r="D78" s="26">
        <v>8039701640</v>
      </c>
      <c r="E78" s="26">
        <v>10078174</v>
      </c>
      <c r="F78" s="78" t="s">
        <v>60</v>
      </c>
      <c r="G78" s="48" t="s">
        <v>321</v>
      </c>
      <c r="H78" s="53">
        <v>45831</v>
      </c>
      <c r="I78" s="50">
        <v>45903</v>
      </c>
      <c r="J78" s="14">
        <v>239</v>
      </c>
      <c r="K78" s="14">
        <f t="shared" ref="K78:K79" si="7">J78</f>
        <v>239</v>
      </c>
      <c r="L78" s="51" t="s">
        <v>332</v>
      </c>
      <c r="M78" s="101">
        <v>0</v>
      </c>
      <c r="N78" s="101">
        <v>0</v>
      </c>
      <c r="O78" s="101">
        <v>0</v>
      </c>
      <c r="P78" s="101">
        <v>0</v>
      </c>
      <c r="Q78" s="101">
        <v>0</v>
      </c>
      <c r="R78" s="101">
        <v>0</v>
      </c>
      <c r="S78" s="101">
        <v>0</v>
      </c>
      <c r="T78" s="101">
        <v>0</v>
      </c>
      <c r="U78" s="101">
        <v>239</v>
      </c>
      <c r="V78" s="101">
        <v>0</v>
      </c>
      <c r="W78" s="101">
        <v>0</v>
      </c>
      <c r="X78" s="101">
        <v>0</v>
      </c>
      <c r="Y78" s="101">
        <v>0</v>
      </c>
      <c r="Z78" s="101">
        <v>0</v>
      </c>
      <c r="AA78" s="101">
        <v>0</v>
      </c>
      <c r="AB78" s="101">
        <v>0</v>
      </c>
      <c r="AC78" s="101">
        <f>IFERROR(VLOOKUP(E78,[5]Sheet1!$A:$F,6,0),0)</f>
        <v>0</v>
      </c>
      <c r="AD78" s="101">
        <v>0</v>
      </c>
      <c r="AE78" s="101">
        <v>0</v>
      </c>
      <c r="AF78" s="101">
        <v>0</v>
      </c>
      <c r="AG78" s="101">
        <v>0</v>
      </c>
      <c r="AH78" s="101">
        <v>0</v>
      </c>
      <c r="AI78" s="101">
        <f t="shared" si="5"/>
        <v>239</v>
      </c>
    </row>
    <row r="79" spans="1:35" ht="18" customHeight="1" x14ac:dyDescent="0.2">
      <c r="A79" s="27" t="str">
        <f t="shared" si="6"/>
        <v>법인</v>
      </c>
      <c r="B79" s="27" t="s">
        <v>1559</v>
      </c>
      <c r="C79" s="27" t="s">
        <v>1496</v>
      </c>
      <c r="D79" s="26">
        <v>8908701140</v>
      </c>
      <c r="E79" s="89">
        <v>10100887</v>
      </c>
      <c r="F79" s="25" t="s">
        <v>334</v>
      </c>
      <c r="G79" s="48" t="s">
        <v>321</v>
      </c>
      <c r="H79" s="53">
        <v>45804</v>
      </c>
      <c r="I79" s="50">
        <v>45804</v>
      </c>
      <c r="J79" s="14">
        <v>195</v>
      </c>
      <c r="K79" s="14">
        <f t="shared" si="7"/>
        <v>195</v>
      </c>
      <c r="L79" s="49" t="s">
        <v>311</v>
      </c>
      <c r="M79" s="101">
        <v>0</v>
      </c>
      <c r="N79" s="101">
        <v>0</v>
      </c>
      <c r="O79" s="101">
        <v>0</v>
      </c>
      <c r="P79" s="101">
        <v>0</v>
      </c>
      <c r="Q79" s="101">
        <v>0</v>
      </c>
      <c r="R79" s="101">
        <v>194.99999970000002</v>
      </c>
      <c r="S79" s="101">
        <v>0</v>
      </c>
      <c r="T79" s="101">
        <v>0</v>
      </c>
      <c r="U79" s="101">
        <v>0</v>
      </c>
      <c r="V79" s="101">
        <v>0</v>
      </c>
      <c r="W79" s="101">
        <v>0</v>
      </c>
      <c r="X79" s="101">
        <v>0</v>
      </c>
      <c r="Y79" s="101">
        <v>0</v>
      </c>
      <c r="Z79" s="101">
        <v>0</v>
      </c>
      <c r="AA79" s="101">
        <v>0</v>
      </c>
      <c r="AB79" s="101">
        <v>0</v>
      </c>
      <c r="AC79" s="101">
        <f>IFERROR(VLOOKUP(E79,[5]Sheet1!$A:$F,6,0),0)</f>
        <v>0</v>
      </c>
      <c r="AD79" s="101">
        <v>0</v>
      </c>
      <c r="AE79" s="101">
        <v>0</v>
      </c>
      <c r="AF79" s="101">
        <v>0</v>
      </c>
      <c r="AG79" s="101">
        <v>0</v>
      </c>
      <c r="AH79" s="101">
        <v>0</v>
      </c>
      <c r="AI79" s="101">
        <f t="shared" si="5"/>
        <v>194.99999970000002</v>
      </c>
    </row>
    <row r="80" spans="1:35" ht="18" customHeight="1" x14ac:dyDescent="0.2">
      <c r="A80" s="27" t="str">
        <f t="shared" si="6"/>
        <v>법인</v>
      </c>
      <c r="B80" s="27" t="s">
        <v>1559</v>
      </c>
      <c r="C80" s="27" t="s">
        <v>1496</v>
      </c>
      <c r="D80" s="26">
        <v>8908701140</v>
      </c>
      <c r="E80" s="89">
        <v>10100887</v>
      </c>
      <c r="F80" s="25" t="s">
        <v>334</v>
      </c>
      <c r="G80" s="48" t="s">
        <v>320</v>
      </c>
      <c r="H80" s="53">
        <v>46042</v>
      </c>
      <c r="I80" s="50">
        <v>45804</v>
      </c>
      <c r="J80" s="14">
        <v>24.9</v>
      </c>
      <c r="K80" s="14">
        <f t="shared" ref="K80" si="8">J80</f>
        <v>24.9</v>
      </c>
      <c r="L80" s="49" t="s">
        <v>311</v>
      </c>
      <c r="M80" s="101">
        <v>0</v>
      </c>
      <c r="N80" s="101">
        <v>0</v>
      </c>
      <c r="O80" s="101">
        <v>0</v>
      </c>
      <c r="P80" s="101">
        <v>0</v>
      </c>
      <c r="Q80" s="101">
        <v>0</v>
      </c>
      <c r="R80" s="101">
        <v>0</v>
      </c>
      <c r="S80" s="101">
        <v>0</v>
      </c>
      <c r="T80" s="101">
        <v>0</v>
      </c>
      <c r="U80" s="101">
        <v>0</v>
      </c>
      <c r="V80" s="101">
        <v>0</v>
      </c>
      <c r="W80" s="101">
        <v>0</v>
      </c>
      <c r="X80" s="101">
        <v>0</v>
      </c>
      <c r="Y80" s="101">
        <v>0</v>
      </c>
      <c r="Z80" s="101">
        <v>0</v>
      </c>
      <c r="AA80" s="101">
        <v>0</v>
      </c>
      <c r="AB80" s="101">
        <v>24.92</v>
      </c>
      <c r="AC80" s="101">
        <f>IFERROR(VLOOKUP(E80,[5]Sheet1!$A:$F,6,0),0)</f>
        <v>0</v>
      </c>
      <c r="AD80" s="101">
        <v>0</v>
      </c>
      <c r="AE80" s="101">
        <v>0</v>
      </c>
      <c r="AF80" s="101">
        <v>0</v>
      </c>
      <c r="AG80" s="101">
        <v>0</v>
      </c>
      <c r="AH80" s="101">
        <v>0</v>
      </c>
      <c r="AI80" s="101">
        <f t="shared" si="5"/>
        <v>24.92</v>
      </c>
    </row>
    <row r="81" spans="1:35" ht="18" customHeight="1" x14ac:dyDescent="0.2">
      <c r="A81" s="27" t="str">
        <f t="shared" si="6"/>
        <v>개인</v>
      </c>
      <c r="B81" s="27" t="s">
        <v>1556</v>
      </c>
      <c r="C81" s="27" t="s">
        <v>1554</v>
      </c>
      <c r="D81" s="26">
        <v>1189601695</v>
      </c>
      <c r="E81" s="89">
        <v>10017056</v>
      </c>
      <c r="F81" s="25" t="s">
        <v>43</v>
      </c>
      <c r="G81" s="48" t="s">
        <v>322</v>
      </c>
      <c r="H81" s="53">
        <v>45975</v>
      </c>
      <c r="I81" s="50">
        <v>46035</v>
      </c>
      <c r="J81" s="14">
        <v>1047.33</v>
      </c>
      <c r="K81" s="14">
        <f t="shared" ref="K81:K133" si="9">J81/36</f>
        <v>29.092499999999998</v>
      </c>
      <c r="L81" s="49" t="s">
        <v>311</v>
      </c>
      <c r="M81" s="101">
        <v>0</v>
      </c>
      <c r="N81" s="101">
        <v>0</v>
      </c>
      <c r="O81" s="101">
        <v>0</v>
      </c>
      <c r="P81" s="101">
        <v>0</v>
      </c>
      <c r="Q81" s="101">
        <v>0</v>
      </c>
      <c r="R81" s="101">
        <v>202.99999940000001</v>
      </c>
      <c r="S81" s="101">
        <v>0</v>
      </c>
      <c r="T81" s="101">
        <v>0</v>
      </c>
      <c r="U81" s="101">
        <v>0</v>
      </c>
      <c r="V81" s="101">
        <v>0</v>
      </c>
      <c r="W81" s="101">
        <v>0</v>
      </c>
      <c r="X81" s="101">
        <v>0</v>
      </c>
      <c r="Y81" s="101">
        <v>-202.99999940000001</v>
      </c>
      <c r="Z81" s="101">
        <v>0</v>
      </c>
      <c r="AA81" s="101">
        <v>1.014</v>
      </c>
      <c r="AB81" s="101">
        <v>1.2609999999999999</v>
      </c>
      <c r="AC81" s="101">
        <f>IFERROR(VLOOKUP(E81,[5]Sheet1!$A:$F,6,0),0)</f>
        <v>4.7450000000000001</v>
      </c>
      <c r="AD81" s="101">
        <v>6.3440000000000003</v>
      </c>
      <c r="AE81" s="101">
        <v>7.202</v>
      </c>
      <c r="AF81" s="101">
        <v>7.4749999999999996</v>
      </c>
      <c r="AG81" s="101">
        <v>8.5020000000000007</v>
      </c>
      <c r="AH81" s="101">
        <v>16.367000000000001</v>
      </c>
      <c r="AI81" s="101">
        <f t="shared" si="5"/>
        <v>52.910000000000011</v>
      </c>
    </row>
    <row r="82" spans="1:35" ht="18" customHeight="1" x14ac:dyDescent="0.2">
      <c r="A82" s="27" t="str">
        <f t="shared" si="6"/>
        <v>법인</v>
      </c>
      <c r="B82" s="27" t="s">
        <v>1562</v>
      </c>
      <c r="C82" s="27" t="s">
        <v>1496</v>
      </c>
      <c r="D82" s="26">
        <v>1258212553</v>
      </c>
      <c r="E82" s="89">
        <v>10032728</v>
      </c>
      <c r="F82" s="25" t="s">
        <v>96</v>
      </c>
      <c r="G82" s="48" t="s">
        <v>322</v>
      </c>
      <c r="H82" s="53">
        <v>45827</v>
      </c>
      <c r="I82" s="50">
        <v>45909</v>
      </c>
      <c r="J82" s="14">
        <v>2025</v>
      </c>
      <c r="K82" s="14">
        <f t="shared" si="9"/>
        <v>56.25</v>
      </c>
      <c r="L82" s="49" t="s">
        <v>311</v>
      </c>
      <c r="M82" s="101">
        <v>0</v>
      </c>
      <c r="N82" s="101">
        <v>0</v>
      </c>
      <c r="O82" s="101">
        <v>0</v>
      </c>
      <c r="P82" s="101">
        <v>0</v>
      </c>
      <c r="Q82" s="101">
        <v>0</v>
      </c>
      <c r="R82" s="101">
        <v>0</v>
      </c>
      <c r="S82" s="101">
        <v>0</v>
      </c>
      <c r="T82" s="101">
        <v>0</v>
      </c>
      <c r="U82" s="101">
        <v>0</v>
      </c>
      <c r="V82" s="101">
        <v>0</v>
      </c>
      <c r="W82" s="101">
        <v>0.69499980000000006</v>
      </c>
      <c r="X82" s="101">
        <v>-0.69499980000000006</v>
      </c>
      <c r="Y82" s="101">
        <v>0</v>
      </c>
      <c r="Z82" s="101">
        <v>0</v>
      </c>
      <c r="AA82" s="101">
        <v>0</v>
      </c>
      <c r="AB82" s="101">
        <v>47.494999999999997</v>
      </c>
      <c r="AC82" s="101">
        <f>IFERROR(VLOOKUP(E82,[5]Sheet1!$A:$F,6,0),0)</f>
        <v>54.941000000000003</v>
      </c>
      <c r="AD82" s="101">
        <v>44.148000000000003</v>
      </c>
      <c r="AE82" s="101">
        <v>39.875999999999998</v>
      </c>
      <c r="AF82" s="101">
        <v>39.825000000000003</v>
      </c>
      <c r="AG82" s="101">
        <v>37.878</v>
      </c>
      <c r="AH82" s="101">
        <v>29.667999999999999</v>
      </c>
      <c r="AI82" s="101">
        <f t="shared" si="5"/>
        <v>293.83100000000002</v>
      </c>
    </row>
    <row r="83" spans="1:35" ht="18" customHeight="1" x14ac:dyDescent="0.2">
      <c r="A83" s="27" t="str">
        <f t="shared" si="6"/>
        <v>법인</v>
      </c>
      <c r="B83" s="27" t="s">
        <v>1569</v>
      </c>
      <c r="C83" s="27" t="s">
        <v>1496</v>
      </c>
      <c r="D83" s="26">
        <v>1328207422</v>
      </c>
      <c r="E83" s="89">
        <v>10014151</v>
      </c>
      <c r="F83" s="25" t="s">
        <v>167</v>
      </c>
      <c r="G83" s="48" t="s">
        <v>322</v>
      </c>
      <c r="H83" s="53">
        <v>45832</v>
      </c>
      <c r="I83" s="50">
        <v>45930</v>
      </c>
      <c r="J83" s="14">
        <v>799.99800000000005</v>
      </c>
      <c r="K83" s="14">
        <f t="shared" si="9"/>
        <v>22.222166666666666</v>
      </c>
      <c r="L83" s="49" t="s">
        <v>311</v>
      </c>
      <c r="M83" s="101">
        <v>0</v>
      </c>
      <c r="N83" s="101">
        <v>0</v>
      </c>
      <c r="O83" s="101">
        <v>0</v>
      </c>
      <c r="P83" s="101">
        <v>0</v>
      </c>
      <c r="Q83" s="101">
        <v>0</v>
      </c>
      <c r="R83" s="101">
        <v>0</v>
      </c>
      <c r="S83" s="101">
        <v>0</v>
      </c>
      <c r="T83" s="101">
        <v>0</v>
      </c>
      <c r="U83" s="101">
        <v>0</v>
      </c>
      <c r="V83" s="101">
        <v>0</v>
      </c>
      <c r="W83" s="101">
        <v>0</v>
      </c>
      <c r="X83" s="101">
        <v>0</v>
      </c>
      <c r="Y83" s="101">
        <v>0</v>
      </c>
      <c r="Z83" s="101">
        <v>41.737000000000002</v>
      </c>
      <c r="AA83" s="101">
        <v>14.467000000000001</v>
      </c>
      <c r="AB83" s="101">
        <v>16.103999999999999</v>
      </c>
      <c r="AC83" s="101">
        <f>IFERROR(VLOOKUP(E83,[5]Sheet1!$A:$F,6,0),0)</f>
        <v>22.724</v>
      </c>
      <c r="AD83" s="101">
        <v>24.146000000000001</v>
      </c>
      <c r="AE83" s="101">
        <v>21.613</v>
      </c>
      <c r="AF83" s="101">
        <v>25.08</v>
      </c>
      <c r="AG83" s="101">
        <v>27.015999999999998</v>
      </c>
      <c r="AH83" s="101">
        <v>27.981999999999999</v>
      </c>
      <c r="AI83" s="101">
        <f t="shared" si="5"/>
        <v>220.86899999999997</v>
      </c>
    </row>
    <row r="84" spans="1:35" ht="18" customHeight="1" x14ac:dyDescent="0.2">
      <c r="A84" s="27" t="str">
        <f t="shared" si="6"/>
        <v>개인</v>
      </c>
      <c r="B84" s="27" t="s">
        <v>1564</v>
      </c>
      <c r="C84" s="27" t="s">
        <v>1554</v>
      </c>
      <c r="D84" s="26">
        <v>1139456769</v>
      </c>
      <c r="E84" s="89">
        <v>10014653</v>
      </c>
      <c r="F84" s="25" t="s">
        <v>164</v>
      </c>
      <c r="G84" s="48" t="s">
        <v>322</v>
      </c>
      <c r="H84" s="53">
        <v>45870</v>
      </c>
      <c r="I84" s="50">
        <v>46000</v>
      </c>
      <c r="J84" s="14">
        <v>233.62700000000001</v>
      </c>
      <c r="K84" s="14">
        <f t="shared" si="9"/>
        <v>6.489638888888889</v>
      </c>
      <c r="L84" s="49" t="s">
        <v>311</v>
      </c>
      <c r="M84" s="101">
        <v>0</v>
      </c>
      <c r="N84" s="101">
        <v>0</v>
      </c>
      <c r="O84" s="101">
        <v>0</v>
      </c>
      <c r="P84" s="101">
        <v>0</v>
      </c>
      <c r="Q84" s="101">
        <v>0</v>
      </c>
      <c r="R84" s="101">
        <v>0</v>
      </c>
      <c r="S84" s="101">
        <v>0</v>
      </c>
      <c r="T84" s="101">
        <v>0</v>
      </c>
      <c r="U84" s="101">
        <v>0</v>
      </c>
      <c r="V84" s="101">
        <v>0</v>
      </c>
      <c r="W84" s="101">
        <v>0</v>
      </c>
      <c r="X84" s="101">
        <v>0</v>
      </c>
      <c r="Y84" s="101">
        <v>0</v>
      </c>
      <c r="Z84" s="101">
        <v>1.32</v>
      </c>
      <c r="AA84" s="101">
        <v>2.6909999999999998</v>
      </c>
      <c r="AB84" s="101">
        <v>1.6519999999999999</v>
      </c>
      <c r="AC84" s="101">
        <f>IFERROR(VLOOKUP(E84,[5]Sheet1!$A:$F,6,0),0)</f>
        <v>1.744</v>
      </c>
      <c r="AD84" s="101">
        <v>1.5</v>
      </c>
      <c r="AE84" s="101">
        <v>1.5</v>
      </c>
      <c r="AF84" s="101">
        <v>1.5</v>
      </c>
      <c r="AG84" s="101">
        <v>1.5</v>
      </c>
      <c r="AH84" s="101">
        <v>1.5</v>
      </c>
      <c r="AI84" s="101">
        <f t="shared" si="5"/>
        <v>14.907</v>
      </c>
    </row>
    <row r="85" spans="1:35" ht="18" customHeight="1" x14ac:dyDescent="0.2">
      <c r="A85" s="27" t="str">
        <f t="shared" si="6"/>
        <v>법인</v>
      </c>
      <c r="B85" s="27" t="s">
        <v>1555</v>
      </c>
      <c r="C85" s="27" t="s">
        <v>1496</v>
      </c>
      <c r="D85" s="26">
        <v>1408201185</v>
      </c>
      <c r="E85" s="89">
        <v>10021506</v>
      </c>
      <c r="F85" s="25" t="s">
        <v>168</v>
      </c>
      <c r="G85" s="48" t="s">
        <v>322</v>
      </c>
      <c r="H85" s="53">
        <v>45853</v>
      </c>
      <c r="I85" s="50">
        <v>45944</v>
      </c>
      <c r="J85" s="14">
        <v>1521.4965</v>
      </c>
      <c r="K85" s="14">
        <f t="shared" si="9"/>
        <v>42.263791666666663</v>
      </c>
      <c r="L85" s="49" t="s">
        <v>311</v>
      </c>
      <c r="M85" s="101">
        <v>0</v>
      </c>
      <c r="N85" s="101">
        <v>0</v>
      </c>
      <c r="O85" s="101">
        <v>0</v>
      </c>
      <c r="P85" s="101">
        <v>0</v>
      </c>
      <c r="Q85" s="101">
        <v>0</v>
      </c>
      <c r="R85" s="101">
        <v>0</v>
      </c>
      <c r="S85" s="101">
        <v>0</v>
      </c>
      <c r="T85" s="101">
        <v>0</v>
      </c>
      <c r="U85" s="101">
        <v>0</v>
      </c>
      <c r="V85" s="101">
        <v>0</v>
      </c>
      <c r="W85" s="101">
        <v>0</v>
      </c>
      <c r="X85" s="101">
        <v>0</v>
      </c>
      <c r="Y85" s="101">
        <v>0</v>
      </c>
      <c r="Z85" s="101">
        <v>6.6950000000000003</v>
      </c>
      <c r="AA85" s="101">
        <v>3.0059999999999998</v>
      </c>
      <c r="AB85" s="101">
        <v>43.426000000000002</v>
      </c>
      <c r="AC85" s="101">
        <v>34.921999999999997</v>
      </c>
      <c r="AD85" s="101">
        <v>13.186</v>
      </c>
      <c r="AE85" s="101">
        <v>27.210999999999999</v>
      </c>
      <c r="AF85" s="101">
        <v>23.62</v>
      </c>
      <c r="AG85" s="101">
        <v>25.779</v>
      </c>
      <c r="AH85" s="101">
        <v>18.495999999999999</v>
      </c>
      <c r="AI85" s="101">
        <f t="shared" si="5"/>
        <v>196.34100000000004</v>
      </c>
    </row>
    <row r="86" spans="1:35" ht="18" customHeight="1" x14ac:dyDescent="0.2">
      <c r="A86" s="27" t="str">
        <f t="shared" si="6"/>
        <v>법인</v>
      </c>
      <c r="B86" s="27" t="s">
        <v>1556</v>
      </c>
      <c r="C86" s="27" t="s">
        <v>1496</v>
      </c>
      <c r="D86" s="26">
        <v>1118202809</v>
      </c>
      <c r="E86" s="89">
        <v>10031830</v>
      </c>
      <c r="F86" s="25" t="s">
        <v>163</v>
      </c>
      <c r="G86" s="48" t="s">
        <v>322</v>
      </c>
      <c r="H86" s="53">
        <v>45930</v>
      </c>
      <c r="I86" s="50">
        <v>45971</v>
      </c>
      <c r="J86" s="14">
        <v>1560.0117</v>
      </c>
      <c r="K86" s="14">
        <f t="shared" si="9"/>
        <v>43.333658333333332</v>
      </c>
      <c r="L86" s="49" t="s">
        <v>311</v>
      </c>
      <c r="M86" s="101">
        <v>0</v>
      </c>
      <c r="N86" s="101">
        <v>0</v>
      </c>
      <c r="O86" s="101">
        <v>0</v>
      </c>
      <c r="P86" s="101">
        <v>0</v>
      </c>
      <c r="Q86" s="101">
        <v>0</v>
      </c>
      <c r="R86" s="101">
        <v>0</v>
      </c>
      <c r="S86" s="101">
        <v>0</v>
      </c>
      <c r="T86" s="101">
        <v>0</v>
      </c>
      <c r="U86" s="101">
        <v>0</v>
      </c>
      <c r="V86" s="101">
        <v>0</v>
      </c>
      <c r="W86" s="101">
        <v>0</v>
      </c>
      <c r="X86" s="101">
        <v>0</v>
      </c>
      <c r="Y86" s="101">
        <v>0</v>
      </c>
      <c r="Z86" s="101">
        <v>30.213000000000001</v>
      </c>
      <c r="AA86" s="101">
        <v>40.579000000000001</v>
      </c>
      <c r="AB86" s="101">
        <v>35.194000000000003</v>
      </c>
      <c r="AC86" s="101">
        <f>IFERROR(VLOOKUP(E86,[5]Sheet1!$A:$F,6,0),0)</f>
        <v>41.631999999999998</v>
      </c>
      <c r="AD86" s="101">
        <v>49.075000000000003</v>
      </c>
      <c r="AE86" s="101">
        <v>47.353000000000002</v>
      </c>
      <c r="AF86" s="101">
        <v>45.954000000000001</v>
      </c>
      <c r="AG86" s="101">
        <v>52.921999999999997</v>
      </c>
      <c r="AH86" s="101">
        <v>49.362000000000002</v>
      </c>
      <c r="AI86" s="101">
        <f t="shared" si="5"/>
        <v>392.28400000000005</v>
      </c>
    </row>
    <row r="87" spans="1:35" ht="18" customHeight="1" x14ac:dyDescent="0.2">
      <c r="A87" s="27" t="str">
        <f t="shared" si="6"/>
        <v>법인</v>
      </c>
      <c r="B87" s="27" t="s">
        <v>1556</v>
      </c>
      <c r="C87" s="27" t="s">
        <v>1496</v>
      </c>
      <c r="D87" s="26">
        <v>1278215707</v>
      </c>
      <c r="E87" s="89">
        <v>10032898</v>
      </c>
      <c r="F87" s="25" t="s">
        <v>166</v>
      </c>
      <c r="G87" s="48" t="s">
        <v>322</v>
      </c>
      <c r="H87" s="53">
        <v>45838</v>
      </c>
      <c r="I87" s="50">
        <v>45958</v>
      </c>
      <c r="J87" s="14">
        <v>573.96500000000003</v>
      </c>
      <c r="K87" s="14">
        <f t="shared" si="9"/>
        <v>15.943472222222223</v>
      </c>
      <c r="L87" s="49" t="s">
        <v>311</v>
      </c>
      <c r="M87" s="101">
        <v>0</v>
      </c>
      <c r="N87" s="101">
        <v>0</v>
      </c>
      <c r="O87" s="101">
        <v>0</v>
      </c>
      <c r="P87" s="101">
        <v>0</v>
      </c>
      <c r="Q87" s="101">
        <v>0</v>
      </c>
      <c r="R87" s="101">
        <v>0</v>
      </c>
      <c r="S87" s="101">
        <v>0</v>
      </c>
      <c r="T87" s="101">
        <v>0</v>
      </c>
      <c r="U87" s="101">
        <v>0</v>
      </c>
      <c r="V87" s="101">
        <v>0</v>
      </c>
      <c r="W87" s="101">
        <v>0</v>
      </c>
      <c r="X87" s="101">
        <v>0</v>
      </c>
      <c r="Y87" s="101">
        <v>0</v>
      </c>
      <c r="Z87" s="101">
        <v>5</v>
      </c>
      <c r="AA87" s="101">
        <v>5</v>
      </c>
      <c r="AB87" s="101">
        <v>5</v>
      </c>
      <c r="AC87" s="101">
        <f>IFERROR(VLOOKUP(E87,[5]Sheet1!$A:$F,6,0),0)</f>
        <v>5</v>
      </c>
      <c r="AD87" s="101">
        <v>5</v>
      </c>
      <c r="AE87" s="101">
        <v>5</v>
      </c>
      <c r="AF87" s="101">
        <v>5.3440000000000003</v>
      </c>
      <c r="AG87" s="101">
        <v>5</v>
      </c>
      <c r="AH87" s="101">
        <v>5</v>
      </c>
      <c r="AI87" s="101">
        <f t="shared" si="5"/>
        <v>45.344000000000001</v>
      </c>
    </row>
    <row r="88" spans="1:35" ht="18" customHeight="1" x14ac:dyDescent="0.2">
      <c r="A88" s="27" t="str">
        <f t="shared" si="6"/>
        <v>개인</v>
      </c>
      <c r="B88" s="27" t="s">
        <v>1559</v>
      </c>
      <c r="C88" s="27" t="s">
        <v>1554</v>
      </c>
      <c r="D88" s="26">
        <v>2109203614</v>
      </c>
      <c r="E88" s="89">
        <v>10034942</v>
      </c>
      <c r="F88" s="25" t="s">
        <v>171</v>
      </c>
      <c r="G88" s="48" t="s">
        <v>322</v>
      </c>
      <c r="H88" s="53">
        <v>45853</v>
      </c>
      <c r="I88" s="50">
        <v>45965</v>
      </c>
      <c r="J88" s="14">
        <v>886.53039999999999</v>
      </c>
      <c r="K88" s="14">
        <f t="shared" si="9"/>
        <v>24.625844444444443</v>
      </c>
      <c r="L88" s="49" t="s">
        <v>311</v>
      </c>
      <c r="M88" s="101">
        <v>0</v>
      </c>
      <c r="N88" s="101">
        <v>0</v>
      </c>
      <c r="O88" s="101">
        <v>0</v>
      </c>
      <c r="P88" s="101">
        <v>0</v>
      </c>
      <c r="Q88" s="101">
        <v>0</v>
      </c>
      <c r="R88" s="101">
        <v>0</v>
      </c>
      <c r="S88" s="101">
        <v>0</v>
      </c>
      <c r="T88" s="101">
        <v>0</v>
      </c>
      <c r="U88" s="101">
        <v>0</v>
      </c>
      <c r="V88" s="101">
        <v>0</v>
      </c>
      <c r="W88" s="101">
        <v>0</v>
      </c>
      <c r="X88" s="101">
        <v>0</v>
      </c>
      <c r="Y88" s="101">
        <v>0</v>
      </c>
      <c r="Z88" s="101">
        <v>4.1349999999999998</v>
      </c>
      <c r="AA88" s="101">
        <v>15.279</v>
      </c>
      <c r="AB88" s="101">
        <v>9.7240000000000002</v>
      </c>
      <c r="AC88" s="101">
        <f>IFERROR(VLOOKUP(E88,[5]Sheet1!$A:$F,6,0),0)</f>
        <v>9.0530000000000008</v>
      </c>
      <c r="AD88" s="101">
        <v>9.5790000000000006</v>
      </c>
      <c r="AE88" s="101">
        <v>12.058</v>
      </c>
      <c r="AF88" s="101">
        <v>13.757</v>
      </c>
      <c r="AG88" s="101">
        <v>15.561999999999999</v>
      </c>
      <c r="AH88" s="101">
        <v>17.356999999999999</v>
      </c>
      <c r="AI88" s="101">
        <f t="shared" si="5"/>
        <v>106.504</v>
      </c>
    </row>
    <row r="89" spans="1:35" ht="18" customHeight="1" x14ac:dyDescent="0.2">
      <c r="A89" s="27" t="str">
        <f t="shared" si="6"/>
        <v>법인</v>
      </c>
      <c r="B89" s="27" t="s">
        <v>1555</v>
      </c>
      <c r="C89" s="27" t="s">
        <v>1496</v>
      </c>
      <c r="D89" s="26">
        <v>2248207134</v>
      </c>
      <c r="E89" s="89">
        <v>10035562</v>
      </c>
      <c r="F89" s="25" t="s">
        <v>172</v>
      </c>
      <c r="G89" s="48" t="s">
        <v>322</v>
      </c>
      <c r="H89" s="53">
        <v>45859</v>
      </c>
      <c r="I89" s="50">
        <v>45972</v>
      </c>
      <c r="J89" s="14">
        <v>572.94799999999998</v>
      </c>
      <c r="K89" s="14">
        <f t="shared" si="9"/>
        <v>15.915222222222221</v>
      </c>
      <c r="L89" s="49" t="s">
        <v>311</v>
      </c>
      <c r="M89" s="101">
        <v>0</v>
      </c>
      <c r="N89" s="101">
        <v>0</v>
      </c>
      <c r="O89" s="101">
        <v>0</v>
      </c>
      <c r="P89" s="101">
        <v>0</v>
      </c>
      <c r="Q89" s="101">
        <v>0</v>
      </c>
      <c r="R89" s="101">
        <v>0</v>
      </c>
      <c r="S89" s="101">
        <v>0</v>
      </c>
      <c r="T89" s="101">
        <v>0</v>
      </c>
      <c r="U89" s="101">
        <v>0</v>
      </c>
      <c r="V89" s="101">
        <v>0</v>
      </c>
      <c r="W89" s="101">
        <v>0</v>
      </c>
      <c r="X89" s="101">
        <v>0</v>
      </c>
      <c r="Y89" s="101">
        <v>0</v>
      </c>
      <c r="Z89" s="101">
        <v>2.7360000000000002</v>
      </c>
      <c r="AA89" s="101">
        <v>18.061</v>
      </c>
      <c r="AB89" s="101">
        <v>17.876000000000001</v>
      </c>
      <c r="AC89" s="101">
        <f>IFERROR(VLOOKUP(E89,[5]Sheet1!$A:$F,6,0),0)</f>
        <v>18.84</v>
      </c>
      <c r="AD89" s="101">
        <v>15.093</v>
      </c>
      <c r="AE89" s="101">
        <v>12.766</v>
      </c>
      <c r="AF89" s="101">
        <v>10.933</v>
      </c>
      <c r="AG89" s="101">
        <v>15.613</v>
      </c>
      <c r="AH89" s="101">
        <v>16.236999999999998</v>
      </c>
      <c r="AI89" s="101">
        <f t="shared" si="5"/>
        <v>128.155</v>
      </c>
    </row>
    <row r="90" spans="1:35" ht="18" customHeight="1" x14ac:dyDescent="0.2">
      <c r="A90" s="27" t="str">
        <f t="shared" si="6"/>
        <v>개인</v>
      </c>
      <c r="B90" s="27" t="s">
        <v>1556</v>
      </c>
      <c r="C90" s="27" t="s">
        <v>1554</v>
      </c>
      <c r="D90" s="26">
        <v>2649600117</v>
      </c>
      <c r="E90" s="89">
        <v>10035927</v>
      </c>
      <c r="F90" s="25" t="s">
        <v>173</v>
      </c>
      <c r="G90" s="48" t="s">
        <v>322</v>
      </c>
      <c r="H90" s="53">
        <v>45930</v>
      </c>
      <c r="I90" s="50">
        <v>45992</v>
      </c>
      <c r="J90" s="14">
        <v>543.90493300000003</v>
      </c>
      <c r="K90" s="14">
        <f t="shared" si="9"/>
        <v>15.108470361111111</v>
      </c>
      <c r="L90" s="49" t="s">
        <v>311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X90" s="101">
        <v>0</v>
      </c>
      <c r="Y90" s="101">
        <v>0</v>
      </c>
      <c r="Z90" s="101">
        <v>3.0550000000000002</v>
      </c>
      <c r="AA90" s="101">
        <v>12.194000000000001</v>
      </c>
      <c r="AB90" s="101">
        <v>10.061999999999999</v>
      </c>
      <c r="AC90" s="101">
        <f>IFERROR(VLOOKUP(E90,[5]Sheet1!$A:$F,6,0),0)</f>
        <v>15.743</v>
      </c>
      <c r="AD90" s="101">
        <v>13.273</v>
      </c>
      <c r="AE90" s="101">
        <v>12.414999999999999</v>
      </c>
      <c r="AF90" s="101">
        <v>13.923</v>
      </c>
      <c r="AG90" s="101">
        <v>10.282999999999999</v>
      </c>
      <c r="AH90" s="101">
        <v>10.153</v>
      </c>
      <c r="AI90" s="101">
        <f t="shared" si="5"/>
        <v>101.101</v>
      </c>
    </row>
    <row r="91" spans="1:35" ht="18" customHeight="1" x14ac:dyDescent="0.2">
      <c r="A91" s="27" t="str">
        <f t="shared" si="6"/>
        <v>법인</v>
      </c>
      <c r="B91" s="27" t="s">
        <v>1574</v>
      </c>
      <c r="C91" s="27" t="s">
        <v>1496</v>
      </c>
      <c r="D91" s="26">
        <v>3088207903</v>
      </c>
      <c r="E91" s="89">
        <v>10036531</v>
      </c>
      <c r="F91" s="25" t="s">
        <v>176</v>
      </c>
      <c r="G91" s="48" t="s">
        <v>322</v>
      </c>
      <c r="H91" s="53">
        <v>45881</v>
      </c>
      <c r="I91" s="50">
        <v>45986</v>
      </c>
      <c r="J91" s="14">
        <v>283.31200000000001</v>
      </c>
      <c r="K91" s="14">
        <f t="shared" si="9"/>
        <v>7.8697777777777782</v>
      </c>
      <c r="L91" s="49" t="s">
        <v>311</v>
      </c>
      <c r="M91" s="101">
        <v>0</v>
      </c>
      <c r="N91" s="101">
        <v>0</v>
      </c>
      <c r="O91" s="101">
        <v>0</v>
      </c>
      <c r="P91" s="101">
        <v>0</v>
      </c>
      <c r="Q91" s="101">
        <v>0</v>
      </c>
      <c r="R91" s="101">
        <v>0</v>
      </c>
      <c r="S91" s="101">
        <v>0</v>
      </c>
      <c r="T91" s="101">
        <v>0</v>
      </c>
      <c r="U91" s="101">
        <v>0</v>
      </c>
      <c r="V91" s="101">
        <v>0</v>
      </c>
      <c r="W91" s="101">
        <v>0</v>
      </c>
      <c r="X91" s="101">
        <v>0</v>
      </c>
      <c r="Y91" s="101">
        <v>0</v>
      </c>
      <c r="Z91" s="101">
        <v>3.12</v>
      </c>
      <c r="AA91" s="101">
        <v>4.9139999999999997</v>
      </c>
      <c r="AB91" s="101">
        <v>3.2759999999999998</v>
      </c>
      <c r="AC91" s="101">
        <f>IFERROR(VLOOKUP(E91,[5]Sheet1!$A:$F,6,0),0)</f>
        <v>4.7190000000000003</v>
      </c>
      <c r="AD91" s="101">
        <v>4.524</v>
      </c>
      <c r="AE91" s="101">
        <v>5.0679999999999996</v>
      </c>
      <c r="AF91" s="101">
        <v>5.2649999999999997</v>
      </c>
      <c r="AG91" s="101">
        <v>7.774</v>
      </c>
      <c r="AH91" s="101">
        <v>6.4740000000000002</v>
      </c>
      <c r="AI91" s="101">
        <f t="shared" si="5"/>
        <v>45.134</v>
      </c>
    </row>
    <row r="92" spans="1:35" ht="18" customHeight="1" x14ac:dyDescent="0.2">
      <c r="A92" s="27" t="str">
        <f t="shared" si="6"/>
        <v>개인</v>
      </c>
      <c r="B92" s="27" t="s">
        <v>1558</v>
      </c>
      <c r="C92" s="27" t="s">
        <v>1554</v>
      </c>
      <c r="D92" s="26">
        <v>3119602309</v>
      </c>
      <c r="E92" s="89">
        <v>10036639</v>
      </c>
      <c r="F92" s="25" t="s">
        <v>177</v>
      </c>
      <c r="G92" s="48" t="s">
        <v>322</v>
      </c>
      <c r="H92" s="53">
        <v>45870</v>
      </c>
      <c r="I92" s="50">
        <v>45979</v>
      </c>
      <c r="J92" s="14">
        <v>1714.7349999999999</v>
      </c>
      <c r="K92" s="14">
        <f t="shared" si="9"/>
        <v>47.631527777777777</v>
      </c>
      <c r="L92" s="49" t="s">
        <v>311</v>
      </c>
      <c r="M92" s="101">
        <v>0</v>
      </c>
      <c r="N92" s="101">
        <v>0</v>
      </c>
      <c r="O92" s="101">
        <v>0</v>
      </c>
      <c r="P92" s="101">
        <v>0</v>
      </c>
      <c r="Q92" s="101">
        <v>0</v>
      </c>
      <c r="R92" s="101">
        <v>0</v>
      </c>
      <c r="S92" s="101">
        <v>0</v>
      </c>
      <c r="T92" s="101">
        <v>0</v>
      </c>
      <c r="U92" s="101">
        <v>0</v>
      </c>
      <c r="V92" s="101">
        <v>0</v>
      </c>
      <c r="W92" s="101">
        <v>0</v>
      </c>
      <c r="X92" s="101">
        <v>0</v>
      </c>
      <c r="Y92" s="101">
        <v>0</v>
      </c>
      <c r="Z92" s="101">
        <v>0.89400000000000002</v>
      </c>
      <c r="AA92" s="101">
        <v>14.4</v>
      </c>
      <c r="AB92" s="101">
        <v>24.294</v>
      </c>
      <c r="AC92" s="101">
        <f>IFERROR(VLOOKUP(E92,[5]Sheet1!$A:$F,6,0),0)</f>
        <v>59.082000000000001</v>
      </c>
      <c r="AD92" s="101">
        <v>73.19</v>
      </c>
      <c r="AE92" s="101">
        <v>68.334999999999994</v>
      </c>
      <c r="AF92" s="101">
        <v>85.936000000000007</v>
      </c>
      <c r="AG92" s="101">
        <v>90.043000000000006</v>
      </c>
      <c r="AH92" s="101">
        <v>76.537999999999997</v>
      </c>
      <c r="AI92" s="101">
        <f t="shared" si="5"/>
        <v>492.71199999999999</v>
      </c>
    </row>
    <row r="93" spans="1:35" ht="18" customHeight="1" x14ac:dyDescent="0.2">
      <c r="A93" s="27" t="str">
        <f t="shared" si="6"/>
        <v>개인</v>
      </c>
      <c r="B93" s="27" t="s">
        <v>1559</v>
      </c>
      <c r="C93" s="27" t="s">
        <v>1554</v>
      </c>
      <c r="D93" s="26">
        <v>4109607163</v>
      </c>
      <c r="E93" s="89">
        <v>10038259</v>
      </c>
      <c r="F93" s="25" t="s">
        <v>181</v>
      </c>
      <c r="G93" s="48" t="s">
        <v>322</v>
      </c>
      <c r="H93" s="53">
        <v>45923</v>
      </c>
      <c r="I93" s="50">
        <v>45986</v>
      </c>
      <c r="J93" s="14">
        <v>541.98009999999999</v>
      </c>
      <c r="K93" s="14">
        <f t="shared" si="9"/>
        <v>15.055002777777778</v>
      </c>
      <c r="L93" s="49" t="s">
        <v>311</v>
      </c>
      <c r="M93" s="101">
        <v>0</v>
      </c>
      <c r="N93" s="101">
        <v>0</v>
      </c>
      <c r="O93" s="101">
        <v>0</v>
      </c>
      <c r="P93" s="101">
        <v>0</v>
      </c>
      <c r="Q93" s="101">
        <v>0</v>
      </c>
      <c r="R93" s="101">
        <v>0</v>
      </c>
      <c r="S93" s="101">
        <v>0</v>
      </c>
      <c r="T93" s="101">
        <v>0</v>
      </c>
      <c r="U93" s="101">
        <v>0</v>
      </c>
      <c r="V93" s="101">
        <v>0</v>
      </c>
      <c r="W93" s="101">
        <v>0</v>
      </c>
      <c r="X93" s="101">
        <v>0</v>
      </c>
      <c r="Y93" s="101">
        <v>0</v>
      </c>
      <c r="Z93" s="101">
        <v>5.3550000000000004</v>
      </c>
      <c r="AA93" s="101">
        <v>8.1210000000000004</v>
      </c>
      <c r="AB93" s="101">
        <v>10.372</v>
      </c>
      <c r="AC93" s="101">
        <f>IFERROR(VLOOKUP(E93,[5]Sheet1!$A:$F,6,0),0)</f>
        <v>6.1120000000000001</v>
      </c>
      <c r="AD93" s="101">
        <v>5.8879999999999999</v>
      </c>
      <c r="AE93" s="101">
        <v>8.7720000000000002</v>
      </c>
      <c r="AF93" s="101">
        <v>9.4220000000000006</v>
      </c>
      <c r="AG93" s="101">
        <v>9.7880000000000003</v>
      </c>
      <c r="AH93" s="101">
        <v>16.061</v>
      </c>
      <c r="AI93" s="101">
        <f t="shared" si="5"/>
        <v>79.890999999999991</v>
      </c>
    </row>
    <row r="94" spans="1:35" ht="18" customHeight="1" x14ac:dyDescent="0.2">
      <c r="A94" s="27" t="str">
        <f t="shared" si="6"/>
        <v>개인</v>
      </c>
      <c r="B94" s="27" t="s">
        <v>1565</v>
      </c>
      <c r="C94" s="27" t="s">
        <v>1554</v>
      </c>
      <c r="D94" s="26">
        <v>4160973375</v>
      </c>
      <c r="E94" s="89">
        <v>10038463</v>
      </c>
      <c r="F94" s="25" t="s">
        <v>182</v>
      </c>
      <c r="G94" s="48" t="s">
        <v>322</v>
      </c>
      <c r="H94" s="53">
        <v>45861</v>
      </c>
      <c r="I94" s="50">
        <v>45972</v>
      </c>
      <c r="J94" s="14">
        <v>347.39400000000001</v>
      </c>
      <c r="K94" s="14">
        <f t="shared" si="9"/>
        <v>9.6498333333333335</v>
      </c>
      <c r="L94" s="49" t="s">
        <v>311</v>
      </c>
      <c r="M94" s="101">
        <v>0</v>
      </c>
      <c r="N94" s="101">
        <v>0</v>
      </c>
      <c r="O94" s="101">
        <v>0</v>
      </c>
      <c r="P94" s="101">
        <v>0</v>
      </c>
      <c r="Q94" s="101">
        <v>0</v>
      </c>
      <c r="R94" s="101">
        <v>0</v>
      </c>
      <c r="S94" s="101">
        <v>0</v>
      </c>
      <c r="T94" s="101">
        <v>0</v>
      </c>
      <c r="U94" s="101">
        <v>0</v>
      </c>
      <c r="V94" s="101">
        <v>0</v>
      </c>
      <c r="W94" s="101">
        <v>0</v>
      </c>
      <c r="X94" s="101">
        <v>0</v>
      </c>
      <c r="Y94" s="101">
        <v>0</v>
      </c>
      <c r="Z94" s="101">
        <v>10.291</v>
      </c>
      <c r="AA94" s="101">
        <v>11.637</v>
      </c>
      <c r="AB94" s="101">
        <v>7.1970000000000001</v>
      </c>
      <c r="AC94" s="101">
        <f>IFERROR(VLOOKUP(E94,[5]Sheet1!$A:$F,6,0),0)</f>
        <v>9.1950000000000003</v>
      </c>
      <c r="AD94" s="101">
        <v>6.1840000000000002</v>
      </c>
      <c r="AE94" s="101">
        <v>7.4749999999999996</v>
      </c>
      <c r="AF94" s="101">
        <v>7.9029999999999996</v>
      </c>
      <c r="AG94" s="101">
        <v>7.8250000000000002</v>
      </c>
      <c r="AH94" s="101">
        <v>6.093</v>
      </c>
      <c r="AI94" s="101">
        <f t="shared" si="5"/>
        <v>73.8</v>
      </c>
    </row>
    <row r="95" spans="1:35" ht="18" customHeight="1" x14ac:dyDescent="0.2">
      <c r="A95" s="27" t="str">
        <f t="shared" si="6"/>
        <v>법인</v>
      </c>
      <c r="B95" s="27" t="s">
        <v>1559</v>
      </c>
      <c r="C95" s="27" t="s">
        <v>1496</v>
      </c>
      <c r="D95" s="26">
        <v>4238200140</v>
      </c>
      <c r="E95" s="89">
        <v>10038694</v>
      </c>
      <c r="F95" s="25" t="s">
        <v>183</v>
      </c>
      <c r="G95" s="48" t="s">
        <v>322</v>
      </c>
      <c r="H95" s="53">
        <v>45881</v>
      </c>
      <c r="I95" s="50">
        <v>45979</v>
      </c>
      <c r="J95" s="14">
        <v>2157.0328</v>
      </c>
      <c r="K95" s="14">
        <f t="shared" si="9"/>
        <v>59.91757777777778</v>
      </c>
      <c r="L95" s="49" t="s">
        <v>311</v>
      </c>
      <c r="M95" s="101">
        <v>0</v>
      </c>
      <c r="N95" s="101">
        <v>0</v>
      </c>
      <c r="O95" s="101">
        <v>0</v>
      </c>
      <c r="P95" s="101">
        <v>0</v>
      </c>
      <c r="Q95" s="101">
        <v>0</v>
      </c>
      <c r="R95" s="101">
        <v>0</v>
      </c>
      <c r="S95" s="101">
        <v>0</v>
      </c>
      <c r="T95" s="101">
        <v>0</v>
      </c>
      <c r="U95" s="101">
        <v>0</v>
      </c>
      <c r="V95" s="101">
        <v>0</v>
      </c>
      <c r="W95" s="101">
        <v>0</v>
      </c>
      <c r="X95" s="101">
        <v>0</v>
      </c>
      <c r="Y95" s="101">
        <v>0</v>
      </c>
      <c r="Z95" s="101">
        <v>2.9380000000000002</v>
      </c>
      <c r="AA95" s="101">
        <v>19.297999999999998</v>
      </c>
      <c r="AB95" s="101">
        <v>14.372</v>
      </c>
      <c r="AC95" s="101">
        <f>IFERROR(VLOOKUP(E95,[5]Sheet1!$A:$F,6,0),0)</f>
        <v>0</v>
      </c>
      <c r="AD95" s="101">
        <v>39.65</v>
      </c>
      <c r="AE95" s="101">
        <v>0</v>
      </c>
      <c r="AF95" s="101">
        <v>42.25</v>
      </c>
      <c r="AG95" s="101">
        <v>1.3</v>
      </c>
      <c r="AH95" s="101">
        <v>59.8</v>
      </c>
      <c r="AI95" s="101">
        <f t="shared" si="5"/>
        <v>179.608</v>
      </c>
    </row>
    <row r="96" spans="1:35" ht="18" customHeight="1" x14ac:dyDescent="0.2">
      <c r="A96" s="27" t="str">
        <f t="shared" si="6"/>
        <v>개인</v>
      </c>
      <c r="B96" s="27" t="s">
        <v>1569</v>
      </c>
      <c r="C96" s="27" t="s">
        <v>1554</v>
      </c>
      <c r="D96" s="26">
        <v>6109097133</v>
      </c>
      <c r="E96" s="89">
        <v>10040095</v>
      </c>
      <c r="F96" s="25" t="s">
        <v>188</v>
      </c>
      <c r="G96" s="48" t="s">
        <v>322</v>
      </c>
      <c r="H96" s="53">
        <v>45891</v>
      </c>
      <c r="I96" s="50">
        <v>45986</v>
      </c>
      <c r="J96" s="14">
        <v>255.917</v>
      </c>
      <c r="K96" s="14">
        <f t="shared" si="9"/>
        <v>7.1088055555555556</v>
      </c>
      <c r="L96" s="49" t="s">
        <v>311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X96" s="101">
        <v>0</v>
      </c>
      <c r="Y96" s="101">
        <v>0</v>
      </c>
      <c r="Z96" s="101">
        <v>7.234</v>
      </c>
      <c r="AA96" s="101">
        <v>7.1440000000000001</v>
      </c>
      <c r="AB96" s="101">
        <v>6.4640000000000004</v>
      </c>
      <c r="AC96" s="101">
        <f>IFERROR(VLOOKUP(E96,[5]Sheet1!$A:$F,6,0),0)</f>
        <v>8.2759999999999998</v>
      </c>
      <c r="AD96" s="101">
        <v>7.1959999999999997</v>
      </c>
      <c r="AE96" s="101">
        <v>7.1260000000000003</v>
      </c>
      <c r="AF96" s="101">
        <v>6.609</v>
      </c>
      <c r="AG96" s="101">
        <v>10.144</v>
      </c>
      <c r="AH96" s="101">
        <v>11.824</v>
      </c>
      <c r="AI96" s="101">
        <f t="shared" si="5"/>
        <v>72.016999999999996</v>
      </c>
    </row>
    <row r="97" spans="1:35" ht="18" customHeight="1" x14ac:dyDescent="0.2">
      <c r="A97" s="27" t="str">
        <f t="shared" si="6"/>
        <v>법인</v>
      </c>
      <c r="B97" s="27" t="s">
        <v>1560</v>
      </c>
      <c r="C97" s="27" t="s">
        <v>1496</v>
      </c>
      <c r="D97" s="26">
        <v>6108205190</v>
      </c>
      <c r="E97" s="89">
        <v>10041141</v>
      </c>
      <c r="F97" s="25" t="s">
        <v>187</v>
      </c>
      <c r="G97" s="48" t="s">
        <v>322</v>
      </c>
      <c r="H97" s="53">
        <v>45904</v>
      </c>
      <c r="I97" s="50">
        <v>45985</v>
      </c>
      <c r="J97" s="14">
        <v>995.79349999999999</v>
      </c>
      <c r="K97" s="14">
        <f t="shared" si="9"/>
        <v>27.660930555555556</v>
      </c>
      <c r="L97" s="49" t="s">
        <v>311</v>
      </c>
      <c r="M97" s="101">
        <v>0</v>
      </c>
      <c r="N97" s="101">
        <v>0</v>
      </c>
      <c r="O97" s="101">
        <v>0</v>
      </c>
      <c r="P97" s="101">
        <v>0</v>
      </c>
      <c r="Q97" s="101">
        <v>0</v>
      </c>
      <c r="R97" s="101">
        <v>0</v>
      </c>
      <c r="S97" s="101">
        <v>0</v>
      </c>
      <c r="T97" s="101">
        <v>0</v>
      </c>
      <c r="U97" s="101">
        <v>0</v>
      </c>
      <c r="V97" s="101">
        <v>0</v>
      </c>
      <c r="W97" s="101">
        <v>0</v>
      </c>
      <c r="X97" s="101">
        <v>0</v>
      </c>
      <c r="Y97" s="101">
        <v>0</v>
      </c>
      <c r="Z97" s="101">
        <v>11.76</v>
      </c>
      <c r="AA97" s="101">
        <v>14.08</v>
      </c>
      <c r="AB97" s="101">
        <v>12.512</v>
      </c>
      <c r="AC97" s="101">
        <v>10.256</v>
      </c>
      <c r="AD97" s="101">
        <v>11.568</v>
      </c>
      <c r="AE97" s="101">
        <v>11.071999999999999</v>
      </c>
      <c r="AF97" s="101">
        <v>9.3919999999999995</v>
      </c>
      <c r="AG97" s="101">
        <v>11.375999999999999</v>
      </c>
      <c r="AH97" s="101">
        <v>11.664</v>
      </c>
      <c r="AI97" s="101">
        <f t="shared" si="5"/>
        <v>103.68</v>
      </c>
    </row>
    <row r="98" spans="1:35" ht="18" customHeight="1" x14ac:dyDescent="0.2">
      <c r="A98" s="27" t="str">
        <f t="shared" si="6"/>
        <v>개인</v>
      </c>
      <c r="B98" s="27" t="s">
        <v>1556</v>
      </c>
      <c r="C98" s="27" t="s">
        <v>1554</v>
      </c>
      <c r="D98" s="26">
        <v>6129235248</v>
      </c>
      <c r="E98" s="89">
        <v>10041259</v>
      </c>
      <c r="F98" s="25" t="s">
        <v>189</v>
      </c>
      <c r="G98" s="48" t="s">
        <v>322</v>
      </c>
      <c r="H98" s="53">
        <v>45924</v>
      </c>
      <c r="I98" s="50">
        <v>45971</v>
      </c>
      <c r="J98" s="14">
        <v>803.43799999999999</v>
      </c>
      <c r="K98" s="14">
        <f t="shared" si="9"/>
        <v>22.317722222222223</v>
      </c>
      <c r="L98" s="49" t="s">
        <v>311</v>
      </c>
      <c r="M98" s="101">
        <v>0</v>
      </c>
      <c r="N98" s="101">
        <v>0</v>
      </c>
      <c r="O98" s="101">
        <v>0</v>
      </c>
      <c r="P98" s="101">
        <v>0</v>
      </c>
      <c r="Q98" s="101">
        <v>0</v>
      </c>
      <c r="R98" s="101">
        <v>0</v>
      </c>
      <c r="S98" s="101">
        <v>0</v>
      </c>
      <c r="T98" s="101">
        <v>0</v>
      </c>
      <c r="U98" s="101">
        <v>0</v>
      </c>
      <c r="V98" s="101">
        <v>0</v>
      </c>
      <c r="W98" s="101">
        <v>0</v>
      </c>
      <c r="X98" s="101">
        <v>0</v>
      </c>
      <c r="Y98" s="101">
        <v>0</v>
      </c>
      <c r="Z98" s="101">
        <v>2.004</v>
      </c>
      <c r="AA98" s="101">
        <v>1.032</v>
      </c>
      <c r="AB98" s="101">
        <v>5.3219999999999992</v>
      </c>
      <c r="AC98" s="101">
        <f>IFERROR(VLOOKUP(E98,[5]Sheet1!$A:$F,6,0),0)</f>
        <v>0</v>
      </c>
      <c r="AD98" s="101">
        <v>1.7749999999999999</v>
      </c>
      <c r="AE98" s="101">
        <v>18.202000000000002</v>
      </c>
      <c r="AF98" s="101">
        <v>20.486999999999998</v>
      </c>
      <c r="AG98" s="101">
        <v>23.667999999999999</v>
      </c>
      <c r="AH98" s="101">
        <v>20.100999999999999</v>
      </c>
      <c r="AI98" s="101">
        <f t="shared" si="5"/>
        <v>92.591000000000008</v>
      </c>
    </row>
    <row r="99" spans="1:35" ht="18" customHeight="1" x14ac:dyDescent="0.2">
      <c r="A99" s="27" t="str">
        <f t="shared" si="6"/>
        <v>개인</v>
      </c>
      <c r="B99" s="27" t="s">
        <v>1558</v>
      </c>
      <c r="C99" s="27" t="s">
        <v>1554</v>
      </c>
      <c r="D99" s="26">
        <v>6159083712</v>
      </c>
      <c r="E99" s="89">
        <v>10041441</v>
      </c>
      <c r="F99" s="25" t="s">
        <v>190</v>
      </c>
      <c r="G99" s="48" t="s">
        <v>322</v>
      </c>
      <c r="H99" s="53">
        <v>45930</v>
      </c>
      <c r="I99" s="50">
        <v>45978</v>
      </c>
      <c r="J99" s="14">
        <v>567.79060000000004</v>
      </c>
      <c r="K99" s="14">
        <f t="shared" si="9"/>
        <v>15.771961111111112</v>
      </c>
      <c r="L99" s="49" t="s">
        <v>311</v>
      </c>
      <c r="M99" s="101">
        <v>0</v>
      </c>
      <c r="N99" s="101">
        <v>0</v>
      </c>
      <c r="O99" s="101">
        <v>0</v>
      </c>
      <c r="P99" s="101">
        <v>0</v>
      </c>
      <c r="Q99" s="101">
        <v>0</v>
      </c>
      <c r="R99" s="101">
        <v>0</v>
      </c>
      <c r="S99" s="101">
        <v>0</v>
      </c>
      <c r="T99" s="101">
        <v>0</v>
      </c>
      <c r="U99" s="101">
        <v>0</v>
      </c>
      <c r="V99" s="101">
        <v>0</v>
      </c>
      <c r="W99" s="101">
        <v>0</v>
      </c>
      <c r="X99" s="101">
        <v>0</v>
      </c>
      <c r="Y99" s="101">
        <v>0</v>
      </c>
      <c r="Z99" s="101">
        <v>1.4239999999999999</v>
      </c>
      <c r="AA99" s="101">
        <v>1.1519999999999999</v>
      </c>
      <c r="AB99" s="101">
        <v>1.264</v>
      </c>
      <c r="AC99" s="101">
        <f>IFERROR(VLOOKUP(E99,[5]Sheet1!$A:$F,6,0),0)</f>
        <v>1.216</v>
      </c>
      <c r="AD99" s="101">
        <v>0.89600000000000002</v>
      </c>
      <c r="AE99" s="101">
        <v>0.36799999999999999</v>
      </c>
      <c r="AF99" s="101">
        <v>0.24</v>
      </c>
      <c r="AG99" s="101">
        <v>0.27200000000000002</v>
      </c>
      <c r="AH99" s="101">
        <v>0.16</v>
      </c>
      <c r="AI99" s="101">
        <f t="shared" si="5"/>
        <v>6.9920000000000009</v>
      </c>
    </row>
    <row r="100" spans="1:35" ht="18" customHeight="1" x14ac:dyDescent="0.2">
      <c r="A100" s="27" t="str">
        <f t="shared" si="6"/>
        <v>법인</v>
      </c>
      <c r="B100" s="27" t="s">
        <v>1558</v>
      </c>
      <c r="C100" s="27" t="s">
        <v>1496</v>
      </c>
      <c r="D100" s="26">
        <v>5058204846</v>
      </c>
      <c r="E100" s="89">
        <v>10046731</v>
      </c>
      <c r="F100" s="25" t="s">
        <v>184</v>
      </c>
      <c r="G100" s="48" t="s">
        <v>322</v>
      </c>
      <c r="H100" s="53">
        <v>45882</v>
      </c>
      <c r="I100" s="50">
        <v>45986</v>
      </c>
      <c r="J100" s="14">
        <v>852.24400000000003</v>
      </c>
      <c r="K100" s="14">
        <f t="shared" si="9"/>
        <v>23.673444444444446</v>
      </c>
      <c r="L100" s="49" t="s">
        <v>311</v>
      </c>
      <c r="M100" s="101">
        <v>0</v>
      </c>
      <c r="N100" s="101">
        <v>0</v>
      </c>
      <c r="O100" s="101">
        <v>0</v>
      </c>
      <c r="P100" s="101">
        <v>0</v>
      </c>
      <c r="Q100" s="101">
        <v>0</v>
      </c>
      <c r="R100" s="101">
        <v>0</v>
      </c>
      <c r="S100" s="101">
        <v>0</v>
      </c>
      <c r="T100" s="101">
        <v>0</v>
      </c>
      <c r="U100" s="101">
        <v>0</v>
      </c>
      <c r="V100" s="101">
        <v>0</v>
      </c>
      <c r="W100" s="101">
        <v>0</v>
      </c>
      <c r="X100" s="101">
        <v>0</v>
      </c>
      <c r="Y100" s="101">
        <v>0</v>
      </c>
      <c r="Z100" s="101">
        <v>15.472</v>
      </c>
      <c r="AA100" s="101">
        <v>42.16</v>
      </c>
      <c r="AB100" s="101">
        <v>39.152000000000001</v>
      </c>
      <c r="AC100" s="101">
        <f>IFERROR(VLOOKUP(E100,[5]Sheet1!$A:$F,6,0),0)</f>
        <v>0</v>
      </c>
      <c r="AD100" s="101">
        <v>78.207999999999998</v>
      </c>
      <c r="AE100" s="101">
        <v>38.799999999999997</v>
      </c>
      <c r="AF100" s="101">
        <v>34.911999999999999</v>
      </c>
      <c r="AG100" s="101">
        <v>36.24</v>
      </c>
      <c r="AH100" s="101">
        <v>37.904000000000003</v>
      </c>
      <c r="AI100" s="101">
        <f t="shared" si="5"/>
        <v>322.84799999999996</v>
      </c>
    </row>
    <row r="101" spans="1:35" ht="18" customHeight="1" x14ac:dyDescent="0.2">
      <c r="A101" s="27" t="str">
        <f t="shared" si="6"/>
        <v>법인</v>
      </c>
      <c r="B101" s="27" t="s">
        <v>1556</v>
      </c>
      <c r="C101" s="27" t="s">
        <v>1496</v>
      </c>
      <c r="D101" s="26">
        <v>7368200013</v>
      </c>
      <c r="E101" s="89">
        <v>10053087</v>
      </c>
      <c r="F101" s="25" t="s">
        <v>381</v>
      </c>
      <c r="G101" s="48" t="s">
        <v>319</v>
      </c>
      <c r="H101" s="53">
        <v>45961</v>
      </c>
      <c r="I101" s="50">
        <v>46028</v>
      </c>
      <c r="J101" s="14">
        <v>196.23956000000001</v>
      </c>
      <c r="K101" s="14">
        <f>J101</f>
        <v>196.23956000000001</v>
      </c>
      <c r="L101" s="49" t="s">
        <v>311</v>
      </c>
      <c r="M101" s="101">
        <v>0</v>
      </c>
      <c r="N101" s="101">
        <v>0</v>
      </c>
      <c r="O101" s="101">
        <v>0</v>
      </c>
      <c r="P101" s="101">
        <v>0</v>
      </c>
      <c r="Q101" s="101">
        <v>0</v>
      </c>
      <c r="R101" s="101">
        <v>0</v>
      </c>
      <c r="S101" s="101">
        <v>0</v>
      </c>
      <c r="T101" s="101">
        <v>0</v>
      </c>
      <c r="U101" s="101">
        <v>0</v>
      </c>
      <c r="V101" s="101">
        <v>0</v>
      </c>
      <c r="W101" s="101">
        <v>0</v>
      </c>
      <c r="X101" s="101">
        <v>0</v>
      </c>
      <c r="Y101" s="101">
        <v>0</v>
      </c>
      <c r="Z101" s="101">
        <v>196.23955999999998</v>
      </c>
      <c r="AA101" s="101">
        <v>0</v>
      </c>
      <c r="AB101" s="101">
        <v>0</v>
      </c>
      <c r="AC101" s="101">
        <f>IFERROR(VLOOKUP(E101,[5]Sheet1!$A:$F,6,0),0)</f>
        <v>0</v>
      </c>
      <c r="AD101" s="101">
        <v>0</v>
      </c>
      <c r="AE101" s="101">
        <v>0</v>
      </c>
      <c r="AF101" s="101">
        <v>0</v>
      </c>
      <c r="AG101" s="101">
        <v>0</v>
      </c>
      <c r="AH101" s="101">
        <v>0</v>
      </c>
      <c r="AI101" s="101">
        <f t="shared" si="5"/>
        <v>196.23955999999998</v>
      </c>
    </row>
    <row r="102" spans="1:35" ht="18" customHeight="1" x14ac:dyDescent="0.2">
      <c r="A102" s="27" t="str">
        <f t="shared" si="6"/>
        <v>법인</v>
      </c>
      <c r="B102" s="27" t="s">
        <v>1575</v>
      </c>
      <c r="C102" s="27" t="s">
        <v>1496</v>
      </c>
      <c r="D102" s="26">
        <v>7158200205</v>
      </c>
      <c r="E102" s="89">
        <v>10063044</v>
      </c>
      <c r="F102" s="25" t="s">
        <v>382</v>
      </c>
      <c r="G102" s="48" t="s">
        <v>322</v>
      </c>
      <c r="H102" s="53">
        <v>45967</v>
      </c>
      <c r="I102" s="50">
        <v>45978</v>
      </c>
      <c r="J102" s="14">
        <v>1114.876</v>
      </c>
      <c r="K102" s="14">
        <f t="shared" si="9"/>
        <v>30.968777777777778</v>
      </c>
      <c r="L102" s="49" t="s">
        <v>311</v>
      </c>
      <c r="M102" s="101">
        <v>0</v>
      </c>
      <c r="N102" s="101">
        <v>0</v>
      </c>
      <c r="O102" s="101">
        <v>0</v>
      </c>
      <c r="P102" s="101">
        <v>0</v>
      </c>
      <c r="Q102" s="101">
        <v>0</v>
      </c>
      <c r="R102" s="101">
        <v>0</v>
      </c>
      <c r="S102" s="101">
        <v>0</v>
      </c>
      <c r="T102" s="101">
        <v>0</v>
      </c>
      <c r="U102" s="101">
        <v>0</v>
      </c>
      <c r="V102" s="101">
        <v>0</v>
      </c>
      <c r="W102" s="101">
        <v>0</v>
      </c>
      <c r="X102" s="101">
        <v>0</v>
      </c>
      <c r="Y102" s="101">
        <v>0</v>
      </c>
      <c r="Z102" s="101">
        <v>33.488</v>
      </c>
      <c r="AA102" s="101">
        <v>32.008000000000003</v>
      </c>
      <c r="AB102" s="101">
        <v>25.7</v>
      </c>
      <c r="AC102" s="101">
        <f>IFERROR(VLOOKUP(E102,[5]Sheet1!$A:$F,6,0),0)</f>
        <v>37.501199999999997</v>
      </c>
      <c r="AD102" s="101">
        <v>45.207999999999998</v>
      </c>
      <c r="AE102" s="101">
        <v>41.301600000000001</v>
      </c>
      <c r="AF102" s="101">
        <v>42.015599999999999</v>
      </c>
      <c r="AG102" s="101">
        <v>38.683199999999999</v>
      </c>
      <c r="AH102" s="101">
        <v>41.035200000000003</v>
      </c>
      <c r="AI102" s="101">
        <f t="shared" si="5"/>
        <v>336.94079999999997</v>
      </c>
    </row>
    <row r="103" spans="1:35" ht="18" customHeight="1" x14ac:dyDescent="0.2">
      <c r="A103" s="27" t="str">
        <f t="shared" si="6"/>
        <v>법인</v>
      </c>
      <c r="B103" s="27" t="s">
        <v>1567</v>
      </c>
      <c r="C103" s="27" t="s">
        <v>1496</v>
      </c>
      <c r="D103" s="26">
        <v>3348200383</v>
      </c>
      <c r="E103" s="89">
        <v>10081683</v>
      </c>
      <c r="F103" s="25" t="s">
        <v>383</v>
      </c>
      <c r="G103" s="48" t="s">
        <v>319</v>
      </c>
      <c r="H103" s="53">
        <v>45961</v>
      </c>
      <c r="I103" s="50">
        <v>46028</v>
      </c>
      <c r="J103" s="14">
        <v>252.02177</v>
      </c>
      <c r="K103" s="14">
        <f>J103</f>
        <v>252.02177</v>
      </c>
      <c r="L103" s="49" t="s">
        <v>311</v>
      </c>
      <c r="M103" s="101">
        <v>0</v>
      </c>
      <c r="N103" s="101">
        <v>0</v>
      </c>
      <c r="O103" s="101">
        <v>0</v>
      </c>
      <c r="P103" s="101">
        <v>0</v>
      </c>
      <c r="Q103" s="101">
        <v>0</v>
      </c>
      <c r="R103" s="101">
        <v>0</v>
      </c>
      <c r="S103" s="101">
        <v>0</v>
      </c>
      <c r="T103" s="101">
        <v>0</v>
      </c>
      <c r="U103" s="101">
        <v>0</v>
      </c>
      <c r="V103" s="101">
        <v>0</v>
      </c>
      <c r="W103" s="101">
        <v>0</v>
      </c>
      <c r="X103" s="101">
        <v>0</v>
      </c>
      <c r="Y103" s="101">
        <v>0</v>
      </c>
      <c r="Z103" s="101">
        <v>252.02177</v>
      </c>
      <c r="AA103" s="101">
        <v>0</v>
      </c>
      <c r="AB103" s="101">
        <v>0</v>
      </c>
      <c r="AC103" s="101">
        <f>IFERROR(VLOOKUP(E103,[5]Sheet1!$A:$F,6,0),0)</f>
        <v>0</v>
      </c>
      <c r="AD103" s="101">
        <v>0</v>
      </c>
      <c r="AE103" s="101">
        <v>0</v>
      </c>
      <c r="AF103" s="101">
        <v>0</v>
      </c>
      <c r="AG103" s="101">
        <v>0</v>
      </c>
      <c r="AH103" s="101">
        <v>-238.02055999999999</v>
      </c>
      <c r="AI103" s="101">
        <f t="shared" si="5"/>
        <v>14.001210000000015</v>
      </c>
    </row>
    <row r="104" spans="1:35" ht="18" customHeight="1" x14ac:dyDescent="0.2">
      <c r="A104" s="27" t="str">
        <f t="shared" si="6"/>
        <v>개인</v>
      </c>
      <c r="B104" s="27" t="s">
        <v>1565</v>
      </c>
      <c r="C104" s="27" t="s">
        <v>1554</v>
      </c>
      <c r="D104" s="26">
        <v>3639300316</v>
      </c>
      <c r="E104" s="89">
        <v>10103688</v>
      </c>
      <c r="F104" s="25" t="s">
        <v>178</v>
      </c>
      <c r="G104" s="48" t="s">
        <v>322</v>
      </c>
      <c r="H104" s="53">
        <v>45961</v>
      </c>
      <c r="I104" s="50">
        <v>46007</v>
      </c>
      <c r="J104" s="14">
        <v>739.47429999999997</v>
      </c>
      <c r="K104" s="14">
        <f t="shared" si="9"/>
        <v>20.540952777777775</v>
      </c>
      <c r="L104" s="49" t="s">
        <v>311</v>
      </c>
      <c r="M104" s="101">
        <v>0</v>
      </c>
      <c r="N104" s="101">
        <v>0</v>
      </c>
      <c r="O104" s="101">
        <v>0</v>
      </c>
      <c r="P104" s="101">
        <v>0</v>
      </c>
      <c r="Q104" s="101">
        <v>0</v>
      </c>
      <c r="R104" s="101">
        <v>0</v>
      </c>
      <c r="S104" s="101">
        <v>0</v>
      </c>
      <c r="T104" s="101">
        <v>0</v>
      </c>
      <c r="U104" s="101">
        <v>0</v>
      </c>
      <c r="V104" s="101">
        <v>0</v>
      </c>
      <c r="W104" s="101">
        <v>0</v>
      </c>
      <c r="X104" s="101">
        <v>0</v>
      </c>
      <c r="Y104" s="101">
        <v>0</v>
      </c>
      <c r="Z104" s="101">
        <v>1.2869999999999999</v>
      </c>
      <c r="AA104" s="101">
        <v>12.363</v>
      </c>
      <c r="AB104" s="101">
        <v>16.678999999999998</v>
      </c>
      <c r="AC104" s="101">
        <f>IFERROR(VLOOKUP(E104,[5]Sheet1!$A:$F,6,0),0)</f>
        <v>21.670999999999999</v>
      </c>
      <c r="AD104" s="101">
        <v>17.940000000000001</v>
      </c>
      <c r="AE104" s="101">
        <v>10.231</v>
      </c>
      <c r="AF104" s="101">
        <v>8.6059999999999999</v>
      </c>
      <c r="AG104" s="101">
        <v>10.387</v>
      </c>
      <c r="AH104" s="101">
        <v>10.686</v>
      </c>
      <c r="AI104" s="101">
        <f t="shared" si="5"/>
        <v>109.85</v>
      </c>
    </row>
    <row r="105" spans="1:35" ht="18" customHeight="1" x14ac:dyDescent="0.2">
      <c r="A105" s="27" t="str">
        <f t="shared" si="6"/>
        <v>법인</v>
      </c>
      <c r="B105" s="27" t="s">
        <v>1568</v>
      </c>
      <c r="C105" s="27" t="s">
        <v>1496</v>
      </c>
      <c r="D105" s="26">
        <v>1358216196</v>
      </c>
      <c r="E105" s="89">
        <v>10033740</v>
      </c>
      <c r="F105" s="25" t="s">
        <v>385</v>
      </c>
      <c r="G105" s="48" t="s">
        <v>322</v>
      </c>
      <c r="H105" s="50">
        <v>46006</v>
      </c>
      <c r="I105" s="50">
        <v>46056</v>
      </c>
      <c r="J105" s="14">
        <v>329.17</v>
      </c>
      <c r="K105" s="14">
        <f t="shared" si="9"/>
        <v>9.1436111111111114</v>
      </c>
      <c r="L105" s="41" t="s">
        <v>311</v>
      </c>
      <c r="M105" s="101"/>
      <c r="N105" s="101"/>
      <c r="O105" s="101"/>
      <c r="P105" s="101"/>
      <c r="Q105" s="101"/>
      <c r="R105" s="101"/>
      <c r="S105" s="101"/>
      <c r="T105" s="101"/>
      <c r="U105" s="101"/>
      <c r="V105" s="101"/>
      <c r="W105" s="101"/>
      <c r="X105" s="101"/>
      <c r="Y105" s="101"/>
      <c r="Z105" s="101">
        <v>0</v>
      </c>
      <c r="AA105" s="101">
        <v>329.16999999999996</v>
      </c>
      <c r="AB105" s="101">
        <v>0</v>
      </c>
      <c r="AC105" s="101">
        <f>IFERROR(VLOOKUP(E105,[5]Sheet1!$A:$F,6,0),0)</f>
        <v>0</v>
      </c>
      <c r="AD105" s="101">
        <v>0</v>
      </c>
      <c r="AE105" s="101">
        <v>0</v>
      </c>
      <c r="AF105" s="101">
        <v>0</v>
      </c>
      <c r="AG105" s="101">
        <v>0</v>
      </c>
      <c r="AH105" s="101">
        <v>0</v>
      </c>
      <c r="AI105" s="101">
        <f t="shared" si="5"/>
        <v>329.16999999999996</v>
      </c>
    </row>
    <row r="106" spans="1:35" ht="18" customHeight="1" x14ac:dyDescent="0.2">
      <c r="A106" s="27" t="str">
        <f t="shared" si="6"/>
        <v>법인</v>
      </c>
      <c r="B106" s="27" t="s">
        <v>1555</v>
      </c>
      <c r="C106" s="27" t="s">
        <v>1496</v>
      </c>
      <c r="D106" s="26">
        <v>1298204787</v>
      </c>
      <c r="E106" s="89">
        <v>10033160</v>
      </c>
      <c r="F106" s="25" t="s">
        <v>386</v>
      </c>
      <c r="G106" s="48" t="s">
        <v>322</v>
      </c>
      <c r="H106" s="53">
        <v>45883</v>
      </c>
      <c r="I106" s="50">
        <v>45944</v>
      </c>
      <c r="J106" s="14">
        <v>2054.0659999999998</v>
      </c>
      <c r="K106" s="14">
        <f t="shared" si="9"/>
        <v>57.05738888888888</v>
      </c>
      <c r="L106" s="49" t="s">
        <v>311</v>
      </c>
      <c r="M106" s="101"/>
      <c r="N106" s="101"/>
      <c r="O106" s="101"/>
      <c r="P106" s="101"/>
      <c r="Q106" s="101"/>
      <c r="R106" s="101"/>
      <c r="S106" s="101"/>
      <c r="T106" s="101"/>
      <c r="U106" s="101"/>
      <c r="V106" s="101"/>
      <c r="W106" s="101"/>
      <c r="X106" s="101"/>
      <c r="Y106" s="101"/>
      <c r="Z106" s="101">
        <v>69.818169999999995</v>
      </c>
      <c r="AA106" s="101">
        <v>53.531052000000003</v>
      </c>
      <c r="AB106" s="101">
        <v>69.865391000000002</v>
      </c>
      <c r="AC106" s="101">
        <f>IFERROR(VLOOKUP(E106,[5]Sheet1!$A:$F,6,0),0)</f>
        <v>69.563040000000001</v>
      </c>
      <c r="AD106" s="101">
        <v>64.716280999999995</v>
      </c>
      <c r="AE106" s="101">
        <v>67.012353000000004</v>
      </c>
      <c r="AF106" s="101">
        <v>68.347815999999995</v>
      </c>
      <c r="AG106" s="101">
        <v>76.497268000000005</v>
      </c>
      <c r="AH106" s="101">
        <v>73.493371999999994</v>
      </c>
      <c r="AI106" s="101">
        <f t="shared" si="5"/>
        <v>612.84474299999999</v>
      </c>
    </row>
    <row r="107" spans="1:35" ht="18" customHeight="1" x14ac:dyDescent="0.2">
      <c r="A107" s="27" t="str">
        <f t="shared" si="6"/>
        <v>개인</v>
      </c>
      <c r="B107" s="27" t="s">
        <v>1556</v>
      </c>
      <c r="C107" s="27" t="s">
        <v>1554</v>
      </c>
      <c r="D107" s="26">
        <v>5061723853</v>
      </c>
      <c r="E107" s="89">
        <v>10014574</v>
      </c>
      <c r="F107" s="25" t="s">
        <v>387</v>
      </c>
      <c r="G107" s="48" t="s">
        <v>322</v>
      </c>
      <c r="H107" s="53">
        <v>45930</v>
      </c>
      <c r="I107" s="50">
        <v>46000</v>
      </c>
      <c r="J107" s="14">
        <v>961.95799999999997</v>
      </c>
      <c r="K107" s="14">
        <f t="shared" si="9"/>
        <v>26.721055555555555</v>
      </c>
      <c r="L107" s="49" t="s">
        <v>311</v>
      </c>
      <c r="M107" s="101"/>
      <c r="N107" s="101"/>
      <c r="O107" s="101"/>
      <c r="P107" s="101"/>
      <c r="Q107" s="101"/>
      <c r="R107" s="101"/>
      <c r="S107" s="101"/>
      <c r="T107" s="101"/>
      <c r="U107" s="101"/>
      <c r="V107" s="101"/>
      <c r="W107" s="101"/>
      <c r="X107" s="101"/>
      <c r="Y107" s="101"/>
      <c r="Z107" s="101">
        <v>0</v>
      </c>
      <c r="AA107" s="101">
        <v>26.79</v>
      </c>
      <c r="AB107" s="101">
        <v>28.747</v>
      </c>
      <c r="AC107" s="101">
        <f>IFERROR(VLOOKUP(E107,[5]Sheet1!$A:$F,6,0),0)</f>
        <v>28.603000000000002</v>
      </c>
      <c r="AD107" s="101">
        <v>32.683</v>
      </c>
      <c r="AE107" s="101">
        <v>34.250999999999998</v>
      </c>
      <c r="AF107" s="101">
        <v>32.838999999999999</v>
      </c>
      <c r="AG107" s="101">
        <v>32.347000000000001</v>
      </c>
      <c r="AH107" s="101">
        <v>33.484999999999999</v>
      </c>
      <c r="AI107" s="101">
        <f t="shared" si="5"/>
        <v>249.745</v>
      </c>
    </row>
    <row r="108" spans="1:35" ht="18" customHeight="1" x14ac:dyDescent="0.2">
      <c r="A108" s="27" t="str">
        <f t="shared" si="6"/>
        <v>법인</v>
      </c>
      <c r="B108" s="27" t="s">
        <v>1566</v>
      </c>
      <c r="C108" s="27" t="s">
        <v>1496</v>
      </c>
      <c r="D108" s="26">
        <v>1288206410</v>
      </c>
      <c r="E108" s="89">
        <v>10033023</v>
      </c>
      <c r="F108" s="25" t="s">
        <v>388</v>
      </c>
      <c r="G108" s="108" t="s">
        <v>320</v>
      </c>
      <c r="H108" s="53">
        <v>46073</v>
      </c>
      <c r="I108" s="50">
        <v>46072</v>
      </c>
      <c r="J108" s="120">
        <v>115</v>
      </c>
      <c r="K108" s="14">
        <f>J108</f>
        <v>115</v>
      </c>
      <c r="L108" s="49" t="s">
        <v>311</v>
      </c>
      <c r="M108" s="101"/>
      <c r="N108" s="101"/>
      <c r="O108" s="101"/>
      <c r="P108" s="101"/>
      <c r="Q108" s="101"/>
      <c r="R108" s="101"/>
      <c r="S108" s="101"/>
      <c r="T108" s="101"/>
      <c r="U108" s="101"/>
      <c r="V108" s="101"/>
      <c r="W108" s="101"/>
      <c r="X108" s="101"/>
      <c r="Y108" s="101"/>
      <c r="Z108" s="101">
        <v>0</v>
      </c>
      <c r="AA108" s="101">
        <v>26.15</v>
      </c>
      <c r="AB108" s="101">
        <v>88.85</v>
      </c>
      <c r="AC108" s="101">
        <f>IFERROR(VLOOKUP(E108,[5]Sheet1!$A:$F,6,0),0)</f>
        <v>0</v>
      </c>
      <c r="AD108" s="101">
        <v>0</v>
      </c>
      <c r="AE108" s="101">
        <v>0</v>
      </c>
      <c r="AF108" s="101">
        <v>0</v>
      </c>
      <c r="AG108" s="101">
        <v>0</v>
      </c>
      <c r="AH108" s="101">
        <v>0</v>
      </c>
      <c r="AI108" s="101">
        <f t="shared" si="5"/>
        <v>115</v>
      </c>
    </row>
    <row r="109" spans="1:35" ht="18" customHeight="1" x14ac:dyDescent="0.2">
      <c r="A109" s="27" t="str">
        <f t="shared" si="6"/>
        <v>법인</v>
      </c>
      <c r="B109" s="27" t="s">
        <v>1556</v>
      </c>
      <c r="C109" s="27" t="s">
        <v>1496</v>
      </c>
      <c r="D109" s="26">
        <v>6058204243</v>
      </c>
      <c r="E109" s="89">
        <v>10040639</v>
      </c>
      <c r="F109" s="25" t="s">
        <v>185</v>
      </c>
      <c r="G109" s="48" t="s">
        <v>322</v>
      </c>
      <c r="H109" s="53">
        <v>45905</v>
      </c>
      <c r="I109" s="50">
        <v>45979</v>
      </c>
      <c r="J109" s="14">
        <v>2143.89</v>
      </c>
      <c r="K109" s="14">
        <f t="shared" si="9"/>
        <v>59.552499999999995</v>
      </c>
      <c r="L109" s="49" t="s">
        <v>311</v>
      </c>
      <c r="M109" s="101"/>
      <c r="N109" s="101"/>
      <c r="O109" s="101"/>
      <c r="P109" s="101"/>
      <c r="Q109" s="101"/>
      <c r="R109" s="101"/>
      <c r="S109" s="101"/>
      <c r="T109" s="101"/>
      <c r="U109" s="101"/>
      <c r="V109" s="101"/>
      <c r="W109" s="101"/>
      <c r="X109" s="101"/>
      <c r="Y109" s="101"/>
      <c r="Z109" s="101">
        <v>0</v>
      </c>
      <c r="AA109" s="101">
        <v>9.4730000000000008</v>
      </c>
      <c r="AB109" s="101">
        <v>8.2089999999999996</v>
      </c>
      <c r="AC109" s="101">
        <f>IFERROR(VLOOKUP(E109,[5]Sheet1!$A:$F,6,0),0)</f>
        <v>14.536</v>
      </c>
      <c r="AD109" s="101">
        <v>29.472000000000001</v>
      </c>
      <c r="AE109" s="101">
        <v>20.407</v>
      </c>
      <c r="AF109" s="101">
        <v>17.920999999999999</v>
      </c>
      <c r="AG109" s="101">
        <v>18.251000000000001</v>
      </c>
      <c r="AH109" s="101">
        <v>15.566000000000001</v>
      </c>
      <c r="AI109" s="101">
        <f t="shared" si="5"/>
        <v>133.83500000000001</v>
      </c>
    </row>
    <row r="110" spans="1:35" ht="18" customHeight="1" x14ac:dyDescent="0.2">
      <c r="A110" s="27" t="str">
        <f t="shared" si="6"/>
        <v>개인</v>
      </c>
      <c r="B110" s="27" t="s">
        <v>1555</v>
      </c>
      <c r="C110" s="27" t="s">
        <v>1554</v>
      </c>
      <c r="D110" s="26">
        <v>4109207035</v>
      </c>
      <c r="E110" s="89">
        <v>10038249</v>
      </c>
      <c r="F110" s="25" t="s">
        <v>180</v>
      </c>
      <c r="G110" s="48" t="s">
        <v>322</v>
      </c>
      <c r="H110" s="53">
        <v>45911</v>
      </c>
      <c r="I110" s="50">
        <v>46006</v>
      </c>
      <c r="J110" s="14">
        <v>1096.4629</v>
      </c>
      <c r="K110" s="14">
        <f t="shared" si="9"/>
        <v>30.457302777777777</v>
      </c>
      <c r="L110" s="49" t="s">
        <v>311</v>
      </c>
      <c r="M110" s="101"/>
      <c r="N110" s="101"/>
      <c r="O110" s="101"/>
      <c r="P110" s="101"/>
      <c r="Q110" s="101"/>
      <c r="R110" s="101"/>
      <c r="S110" s="101"/>
      <c r="T110" s="101"/>
      <c r="U110" s="101"/>
      <c r="V110" s="101"/>
      <c r="W110" s="101"/>
      <c r="X110" s="101"/>
      <c r="Y110" s="101"/>
      <c r="Z110" s="101">
        <v>0</v>
      </c>
      <c r="AA110" s="101">
        <v>15.984</v>
      </c>
      <c r="AB110" s="101">
        <v>25.181999999999999</v>
      </c>
      <c r="AC110" s="101">
        <f>IFERROR(VLOOKUP(E110,[5]Sheet1!$A:$F,6,0),0)</f>
        <v>24.911999999999999</v>
      </c>
      <c r="AD110" s="101">
        <v>27.422000000000001</v>
      </c>
      <c r="AE110" s="101">
        <v>27.963000000000001</v>
      </c>
      <c r="AF110" s="101">
        <v>26.85</v>
      </c>
      <c r="AG110" s="101">
        <v>30.829000000000001</v>
      </c>
      <c r="AH110" s="101">
        <v>26.166</v>
      </c>
      <c r="AI110" s="101">
        <f t="shared" si="5"/>
        <v>205.30799999999999</v>
      </c>
    </row>
    <row r="111" spans="1:35" ht="18" customHeight="1" x14ac:dyDescent="0.2">
      <c r="A111" s="27" t="str">
        <f t="shared" si="6"/>
        <v>개인</v>
      </c>
      <c r="B111" s="27" t="s">
        <v>1558</v>
      </c>
      <c r="C111" s="27" t="s">
        <v>1554</v>
      </c>
      <c r="D111" s="26">
        <v>4099164290</v>
      </c>
      <c r="E111" s="89">
        <v>10002829</v>
      </c>
      <c r="F111" s="25" t="s">
        <v>179</v>
      </c>
      <c r="G111" s="48" t="s">
        <v>322</v>
      </c>
      <c r="H111" s="53">
        <v>45911</v>
      </c>
      <c r="I111" s="50">
        <v>46006</v>
      </c>
      <c r="J111" s="14">
        <v>1553.1581000000001</v>
      </c>
      <c r="K111" s="14">
        <f t="shared" si="9"/>
        <v>43.143280555555556</v>
      </c>
      <c r="L111" s="49" t="s">
        <v>311</v>
      </c>
      <c r="M111" s="101"/>
      <c r="N111" s="101"/>
      <c r="O111" s="101"/>
      <c r="P111" s="101"/>
      <c r="Q111" s="101"/>
      <c r="R111" s="101"/>
      <c r="S111" s="101"/>
      <c r="T111" s="101"/>
      <c r="U111" s="101"/>
      <c r="V111" s="101"/>
      <c r="W111" s="101"/>
      <c r="X111" s="101"/>
      <c r="Y111" s="101"/>
      <c r="Z111" s="101">
        <v>0</v>
      </c>
      <c r="AA111" s="101">
        <v>5.3120000000000003</v>
      </c>
      <c r="AB111" s="101">
        <v>21.216000000000001</v>
      </c>
      <c r="AC111" s="101">
        <f>IFERROR(VLOOKUP(E111,[5]Sheet1!$A:$F,6,0),0)</f>
        <v>24.24</v>
      </c>
      <c r="AD111" s="101">
        <v>20.847999999999999</v>
      </c>
      <c r="AE111" s="101">
        <v>25.312000000000001</v>
      </c>
      <c r="AF111" s="101">
        <v>23.391999999999999</v>
      </c>
      <c r="AG111" s="101">
        <v>19.295999999999999</v>
      </c>
      <c r="AH111" s="101">
        <v>23.344000000000001</v>
      </c>
      <c r="AI111" s="101">
        <f t="shared" si="5"/>
        <v>162.95999999999998</v>
      </c>
    </row>
    <row r="112" spans="1:35" ht="18" customHeight="1" x14ac:dyDescent="0.2">
      <c r="A112" s="27" t="str">
        <f t="shared" si="6"/>
        <v>법인</v>
      </c>
      <c r="B112" s="27" t="s">
        <v>1555</v>
      </c>
      <c r="C112" s="27" t="s">
        <v>1496</v>
      </c>
      <c r="D112" s="26">
        <v>1228230509</v>
      </c>
      <c r="E112" s="89">
        <v>10032388</v>
      </c>
      <c r="F112" s="25" t="s">
        <v>165</v>
      </c>
      <c r="G112" s="48" t="s">
        <v>322</v>
      </c>
      <c r="H112" s="53">
        <v>45880</v>
      </c>
      <c r="I112" s="50">
        <v>45979</v>
      </c>
      <c r="J112" s="14">
        <v>420.22199999999998</v>
      </c>
      <c r="K112" s="14">
        <f t="shared" si="9"/>
        <v>11.672833333333333</v>
      </c>
      <c r="L112" s="49" t="s">
        <v>311</v>
      </c>
      <c r="M112" s="101"/>
      <c r="N112" s="101"/>
      <c r="O112" s="101"/>
      <c r="P112" s="101"/>
      <c r="Q112" s="101"/>
      <c r="R112" s="101"/>
      <c r="S112" s="101"/>
      <c r="T112" s="101"/>
      <c r="U112" s="101"/>
      <c r="V112" s="101"/>
      <c r="W112" s="101"/>
      <c r="X112" s="101"/>
      <c r="Y112" s="101"/>
      <c r="Z112" s="101">
        <v>0</v>
      </c>
      <c r="AA112" s="101">
        <v>3.91</v>
      </c>
      <c r="AB112" s="101">
        <v>2.3530000000000002</v>
      </c>
      <c r="AC112" s="101">
        <f>IFERROR(VLOOKUP(E112,[5]Sheet1!$A:$F,6,0),0)</f>
        <v>7.4669999999999996</v>
      </c>
      <c r="AD112" s="101">
        <v>8.2129999999999992</v>
      </c>
      <c r="AE112" s="101">
        <v>7.0460000000000003</v>
      </c>
      <c r="AF112" s="101">
        <v>8.1579999999999995</v>
      </c>
      <c r="AG112" s="101">
        <v>7.9509999999999996</v>
      </c>
      <c r="AH112" s="101">
        <v>8.0250000000000004</v>
      </c>
      <c r="AI112" s="101">
        <f t="shared" si="5"/>
        <v>53.122999999999998</v>
      </c>
    </row>
    <row r="113" spans="1:35" ht="18" customHeight="1" x14ac:dyDescent="0.2">
      <c r="A113" s="27" t="str">
        <f t="shared" si="6"/>
        <v>개인</v>
      </c>
      <c r="B113" s="27" t="s">
        <v>1576</v>
      </c>
      <c r="C113" s="27" t="s">
        <v>1554</v>
      </c>
      <c r="D113" s="26">
        <v>3052995077</v>
      </c>
      <c r="E113" s="89">
        <v>10061981</v>
      </c>
      <c r="F113" s="25" t="s">
        <v>175</v>
      </c>
      <c r="G113" s="48" t="s">
        <v>322</v>
      </c>
      <c r="H113" s="53">
        <v>45916</v>
      </c>
      <c r="I113" s="50">
        <v>45986</v>
      </c>
      <c r="J113" s="14">
        <v>513.91079999999999</v>
      </c>
      <c r="K113" s="14">
        <f t="shared" si="9"/>
        <v>14.2753</v>
      </c>
      <c r="L113" s="49" t="s">
        <v>311</v>
      </c>
      <c r="M113" s="101"/>
      <c r="N113" s="101"/>
      <c r="O113" s="101"/>
      <c r="P113" s="101"/>
      <c r="Q113" s="101"/>
      <c r="R113" s="101"/>
      <c r="S113" s="101"/>
      <c r="T113" s="101"/>
      <c r="U113" s="101"/>
      <c r="V113" s="101"/>
      <c r="W113" s="101"/>
      <c r="X113" s="101"/>
      <c r="Y113" s="101"/>
      <c r="Z113" s="101">
        <v>0</v>
      </c>
      <c r="AA113" s="101">
        <v>2.3140000000000001</v>
      </c>
      <c r="AB113" s="101">
        <v>3.6269999999999998</v>
      </c>
      <c r="AC113" s="101">
        <f>IFERROR(VLOOKUP(E113,[5]Sheet1!$A:$F,6,0),0)</f>
        <v>4.3940000000000001</v>
      </c>
      <c r="AD113" s="101">
        <v>4.1079999999999997</v>
      </c>
      <c r="AE113" s="101">
        <v>4.03</v>
      </c>
      <c r="AF113" s="101">
        <v>4.758</v>
      </c>
      <c r="AG113" s="101">
        <v>5.0570000000000004</v>
      </c>
      <c r="AH113" s="101">
        <v>4.9660000000000002</v>
      </c>
      <c r="AI113" s="101">
        <f t="shared" si="5"/>
        <v>33.254000000000005</v>
      </c>
    </row>
    <row r="114" spans="1:35" ht="18" customHeight="1" x14ac:dyDescent="0.2">
      <c r="A114" s="27" t="str">
        <f t="shared" si="6"/>
        <v>개인</v>
      </c>
      <c r="B114" s="27" t="s">
        <v>1566</v>
      </c>
      <c r="C114" s="27" t="s">
        <v>1554</v>
      </c>
      <c r="D114" s="26">
        <v>1469901371</v>
      </c>
      <c r="E114" s="89">
        <v>10075257</v>
      </c>
      <c r="F114" s="25" t="s">
        <v>389</v>
      </c>
      <c r="G114" s="48" t="s">
        <v>322</v>
      </c>
      <c r="H114" s="53">
        <v>45989</v>
      </c>
      <c r="I114" s="50">
        <v>46003</v>
      </c>
      <c r="J114" s="14">
        <v>330</v>
      </c>
      <c r="K114" s="14">
        <f t="shared" si="9"/>
        <v>9.1666666666666661</v>
      </c>
      <c r="L114" s="49" t="s">
        <v>311</v>
      </c>
      <c r="M114" s="101"/>
      <c r="N114" s="101"/>
      <c r="O114" s="101"/>
      <c r="P114" s="101"/>
      <c r="Q114" s="101"/>
      <c r="R114" s="101"/>
      <c r="S114" s="101"/>
      <c r="T114" s="101"/>
      <c r="U114" s="101"/>
      <c r="V114" s="101"/>
      <c r="W114" s="101"/>
      <c r="X114" s="101"/>
      <c r="Y114" s="101"/>
      <c r="Z114" s="101">
        <v>0</v>
      </c>
      <c r="AA114" s="101">
        <v>1.984</v>
      </c>
      <c r="AB114" s="101">
        <v>3.6320000000000001</v>
      </c>
      <c r="AC114" s="101">
        <f>IFERROR(VLOOKUP(E114,[5]Sheet1!$A:$F,6,0),0)</f>
        <v>4.6559999999999997</v>
      </c>
      <c r="AD114" s="101">
        <v>4.7880000000000003</v>
      </c>
      <c r="AE114" s="101">
        <v>4.2910000000000004</v>
      </c>
      <c r="AF114" s="101">
        <v>4.0960000000000001</v>
      </c>
      <c r="AG114" s="101">
        <v>3.012</v>
      </c>
      <c r="AH114" s="101">
        <v>3.524</v>
      </c>
      <c r="AI114" s="101">
        <f t="shared" si="5"/>
        <v>29.983000000000001</v>
      </c>
    </row>
    <row r="115" spans="1:35" ht="18" customHeight="1" x14ac:dyDescent="0.2">
      <c r="A115" s="27" t="str">
        <f t="shared" si="6"/>
        <v>개인</v>
      </c>
      <c r="B115" s="27" t="s">
        <v>1556</v>
      </c>
      <c r="C115" s="27" t="s">
        <v>1554</v>
      </c>
      <c r="D115" s="26">
        <v>4102672846</v>
      </c>
      <c r="E115" s="89">
        <v>10038148</v>
      </c>
      <c r="F115" s="25" t="s">
        <v>390</v>
      </c>
      <c r="G115" s="48" t="s">
        <v>322</v>
      </c>
      <c r="H115" s="53">
        <v>45968</v>
      </c>
      <c r="I115" s="50">
        <v>46028</v>
      </c>
      <c r="J115" s="14">
        <v>249.23699999999999</v>
      </c>
      <c r="K115" s="14">
        <f t="shared" si="9"/>
        <v>6.9232499999999995</v>
      </c>
      <c r="L115" s="49" t="s">
        <v>311</v>
      </c>
      <c r="M115" s="101"/>
      <c r="N115" s="101"/>
      <c r="O115" s="101"/>
      <c r="P115" s="101"/>
      <c r="Q115" s="101"/>
      <c r="R115" s="101"/>
      <c r="S115" s="101"/>
      <c r="T115" s="101"/>
      <c r="U115" s="101"/>
      <c r="V115" s="101"/>
      <c r="W115" s="101"/>
      <c r="X115" s="101"/>
      <c r="Y115" s="101"/>
      <c r="Z115" s="101">
        <v>0</v>
      </c>
      <c r="AA115" s="101">
        <v>1.353</v>
      </c>
      <c r="AB115" s="101">
        <v>5.7949999999999999</v>
      </c>
      <c r="AC115" s="101">
        <f>IFERROR(VLOOKUP(E115,[5]Sheet1!$A:$F,6,0),0)</f>
        <v>6.9370000000000003</v>
      </c>
      <c r="AD115" s="101">
        <v>7.7290000000000001</v>
      </c>
      <c r="AE115" s="101">
        <v>8.8070000000000004</v>
      </c>
      <c r="AF115" s="101">
        <v>9.7720000000000002</v>
      </c>
      <c r="AG115" s="101">
        <v>11.18</v>
      </c>
      <c r="AH115" s="101">
        <v>14.722</v>
      </c>
      <c r="AI115" s="101">
        <f t="shared" si="5"/>
        <v>66.295000000000002</v>
      </c>
    </row>
    <row r="116" spans="1:35" ht="18" customHeight="1" x14ac:dyDescent="0.2">
      <c r="A116" s="27" t="str">
        <f t="shared" si="6"/>
        <v>개인</v>
      </c>
      <c r="B116" s="27" t="s">
        <v>1559</v>
      </c>
      <c r="C116" s="27" t="s">
        <v>1554</v>
      </c>
      <c r="D116" s="26">
        <v>6091320031</v>
      </c>
      <c r="E116" s="89">
        <v>10040990</v>
      </c>
      <c r="F116" s="25" t="s">
        <v>186</v>
      </c>
      <c r="G116" s="48" t="s">
        <v>322</v>
      </c>
      <c r="H116" s="53">
        <v>45924</v>
      </c>
      <c r="I116" s="50">
        <v>45964</v>
      </c>
      <c r="J116" s="14">
        <v>354.88310000000001</v>
      </c>
      <c r="K116" s="14">
        <f t="shared" si="9"/>
        <v>9.8578638888888896</v>
      </c>
      <c r="L116" s="49" t="s">
        <v>311</v>
      </c>
      <c r="M116" s="101"/>
      <c r="N116" s="101"/>
      <c r="O116" s="101"/>
      <c r="P116" s="101"/>
      <c r="Q116" s="101"/>
      <c r="R116" s="101"/>
      <c r="S116" s="101"/>
      <c r="T116" s="101"/>
      <c r="U116" s="101"/>
      <c r="V116" s="101"/>
      <c r="W116" s="101"/>
      <c r="X116" s="101"/>
      <c r="Y116" s="101"/>
      <c r="Z116" s="101">
        <v>0</v>
      </c>
      <c r="AA116" s="101">
        <v>0.96</v>
      </c>
      <c r="AB116" s="101">
        <v>2.2400000000000002</v>
      </c>
      <c r="AC116" s="101">
        <f>IFERROR(VLOOKUP(E116,[5]Sheet1!$A:$F,6,0),0)</f>
        <v>3.36</v>
      </c>
      <c r="AD116" s="101">
        <v>2.3519999999999999</v>
      </c>
      <c r="AE116" s="101">
        <v>2.2240000000000002</v>
      </c>
      <c r="AF116" s="101">
        <v>2.5680000000000001</v>
      </c>
      <c r="AG116" s="101">
        <v>4.5979999999999999</v>
      </c>
      <c r="AH116" s="101">
        <v>7.351</v>
      </c>
      <c r="AI116" s="101">
        <f t="shared" si="5"/>
        <v>25.652999999999999</v>
      </c>
    </row>
    <row r="117" spans="1:35" ht="18" customHeight="1" x14ac:dyDescent="0.2">
      <c r="A117" s="27" t="str">
        <f t="shared" si="6"/>
        <v>법인</v>
      </c>
      <c r="B117" s="27" t="s">
        <v>1582</v>
      </c>
      <c r="C117" s="27" t="s">
        <v>1496</v>
      </c>
      <c r="D117" s="26">
        <v>2088201633</v>
      </c>
      <c r="E117" s="89">
        <v>10006513</v>
      </c>
      <c r="F117" s="25" t="s">
        <v>170</v>
      </c>
      <c r="G117" s="48" t="s">
        <v>322</v>
      </c>
      <c r="H117" s="53">
        <v>45959</v>
      </c>
      <c r="I117" s="50">
        <v>45975</v>
      </c>
      <c r="J117" s="14">
        <v>198</v>
      </c>
      <c r="K117" s="14">
        <f t="shared" si="9"/>
        <v>5.5</v>
      </c>
      <c r="L117" s="49" t="s">
        <v>311</v>
      </c>
      <c r="M117" s="101"/>
      <c r="N117" s="101"/>
      <c r="O117" s="101"/>
      <c r="P117" s="101"/>
      <c r="Q117" s="101"/>
      <c r="R117" s="101"/>
      <c r="S117" s="101"/>
      <c r="T117" s="101"/>
      <c r="U117" s="101"/>
      <c r="V117" s="101"/>
      <c r="W117" s="101"/>
      <c r="X117" s="101"/>
      <c r="Y117" s="101"/>
      <c r="Z117" s="101">
        <v>0</v>
      </c>
      <c r="AA117" s="101">
        <v>0</v>
      </c>
      <c r="AB117" s="101">
        <v>2.4420000000000002</v>
      </c>
      <c r="AC117" s="101">
        <f>IFERROR(VLOOKUP(E117,[5]Sheet1!$A:$F,6,0),0)</f>
        <v>2.145</v>
      </c>
      <c r="AD117" s="101">
        <v>3.5750000000000002</v>
      </c>
      <c r="AE117" s="101">
        <v>2.5089999999999999</v>
      </c>
      <c r="AF117" s="101">
        <v>2.73</v>
      </c>
      <c r="AG117" s="101">
        <v>3.601</v>
      </c>
      <c r="AH117" s="101">
        <v>5.1479999999999997</v>
      </c>
      <c r="AI117" s="101">
        <f t="shared" si="5"/>
        <v>22.15</v>
      </c>
    </row>
    <row r="118" spans="1:35" ht="18" customHeight="1" x14ac:dyDescent="0.2">
      <c r="A118" s="27" t="str">
        <f t="shared" si="6"/>
        <v>개인</v>
      </c>
      <c r="B118" s="27" t="s">
        <v>1556</v>
      </c>
      <c r="C118" s="27" t="s">
        <v>1554</v>
      </c>
      <c r="D118" s="26">
        <v>6179208917</v>
      </c>
      <c r="E118" s="89">
        <v>10015909</v>
      </c>
      <c r="F118" s="25" t="s">
        <v>419</v>
      </c>
      <c r="G118" s="48" t="s">
        <v>322</v>
      </c>
      <c r="H118" s="53">
        <v>45989</v>
      </c>
      <c r="I118" s="50">
        <v>46035</v>
      </c>
      <c r="J118" s="14">
        <v>983.75914</v>
      </c>
      <c r="K118" s="14">
        <f t="shared" si="9"/>
        <v>27.326642777777778</v>
      </c>
      <c r="L118" s="49" t="s">
        <v>311</v>
      </c>
      <c r="M118" s="101"/>
      <c r="N118" s="101"/>
      <c r="O118" s="101"/>
      <c r="P118" s="101"/>
      <c r="Q118" s="101"/>
      <c r="R118" s="101"/>
      <c r="S118" s="101"/>
      <c r="T118" s="101"/>
      <c r="U118" s="101"/>
      <c r="V118" s="101"/>
      <c r="W118" s="101"/>
      <c r="X118" s="101"/>
      <c r="Y118" s="101"/>
      <c r="Z118" s="101">
        <v>0</v>
      </c>
      <c r="AA118" s="101">
        <v>0</v>
      </c>
      <c r="AB118" s="101">
        <v>8.9440000000000008</v>
      </c>
      <c r="AC118" s="101">
        <f>IFERROR(VLOOKUP(E118,[5]Sheet1!$A:$F,6,0),0)</f>
        <v>16.132999999999999</v>
      </c>
      <c r="AD118" s="101">
        <v>0</v>
      </c>
      <c r="AE118" s="101">
        <v>0</v>
      </c>
      <c r="AF118" s="101">
        <v>0</v>
      </c>
      <c r="AG118" s="101">
        <v>0</v>
      </c>
      <c r="AH118" s="101">
        <v>0</v>
      </c>
      <c r="AI118" s="101">
        <f t="shared" si="5"/>
        <v>25.076999999999998</v>
      </c>
    </row>
    <row r="119" spans="1:35" ht="18" customHeight="1" x14ac:dyDescent="0.2">
      <c r="A119" s="27" t="str">
        <f t="shared" si="6"/>
        <v>개인</v>
      </c>
      <c r="B119" s="27" t="s">
        <v>1558</v>
      </c>
      <c r="C119" s="27" t="s">
        <v>1554</v>
      </c>
      <c r="D119" s="26">
        <v>2249051334</v>
      </c>
      <c r="E119" s="89">
        <v>10019113</v>
      </c>
      <c r="F119" s="25" t="s">
        <v>420</v>
      </c>
      <c r="G119" s="48" t="s">
        <v>322</v>
      </c>
      <c r="H119" s="53">
        <v>46008</v>
      </c>
      <c r="I119" s="50">
        <v>46063</v>
      </c>
      <c r="J119" s="14">
        <v>287.37400000000002</v>
      </c>
      <c r="K119" s="14">
        <f t="shared" si="9"/>
        <v>7.9826111111111118</v>
      </c>
      <c r="L119" s="49" t="s">
        <v>311</v>
      </c>
      <c r="M119" s="101"/>
      <c r="N119" s="101"/>
      <c r="O119" s="101"/>
      <c r="P119" s="101"/>
      <c r="Q119" s="101"/>
      <c r="R119" s="101"/>
      <c r="S119" s="101"/>
      <c r="T119" s="101"/>
      <c r="U119" s="101"/>
      <c r="V119" s="101"/>
      <c r="W119" s="101"/>
      <c r="X119" s="101"/>
      <c r="Y119" s="101"/>
      <c r="Z119" s="101">
        <v>0</v>
      </c>
      <c r="AA119" s="101">
        <v>0</v>
      </c>
      <c r="AB119" s="101">
        <v>0.94699999999999995</v>
      </c>
      <c r="AC119" s="101">
        <f>IFERROR(VLOOKUP(E119,[5]Sheet1!$A:$F,6,0),0)</f>
        <v>2.258</v>
      </c>
      <c r="AD119" s="101">
        <v>2.2509999999999999</v>
      </c>
      <c r="AE119" s="101">
        <v>1.853</v>
      </c>
      <c r="AF119" s="101">
        <v>2.4500000000000002</v>
      </c>
      <c r="AG119" s="101">
        <v>2.117</v>
      </c>
      <c r="AH119" s="101">
        <v>2.6160000000000001</v>
      </c>
      <c r="AI119" s="101">
        <f t="shared" si="5"/>
        <v>14.492000000000001</v>
      </c>
    </row>
    <row r="120" spans="1:35" ht="18" customHeight="1" x14ac:dyDescent="0.2">
      <c r="A120" s="27" t="str">
        <f t="shared" si="6"/>
        <v>개인</v>
      </c>
      <c r="B120" s="27" t="s">
        <v>1569</v>
      </c>
      <c r="C120" s="27" t="s">
        <v>1554</v>
      </c>
      <c r="D120" s="26">
        <v>4159055955</v>
      </c>
      <c r="E120" s="89">
        <v>10026494</v>
      </c>
      <c r="F120" s="25" t="s">
        <v>421</v>
      </c>
      <c r="G120" s="48" t="s">
        <v>322</v>
      </c>
      <c r="H120" s="53">
        <v>45980</v>
      </c>
      <c r="I120" s="50">
        <v>46042</v>
      </c>
      <c r="J120" s="14">
        <v>516.31819299999995</v>
      </c>
      <c r="K120" s="14">
        <f t="shared" si="9"/>
        <v>14.342172027777776</v>
      </c>
      <c r="L120" s="49" t="s">
        <v>311</v>
      </c>
      <c r="M120" s="101"/>
      <c r="N120" s="101"/>
      <c r="O120" s="101"/>
      <c r="P120" s="101"/>
      <c r="Q120" s="101"/>
      <c r="R120" s="101"/>
      <c r="S120" s="101"/>
      <c r="T120" s="101"/>
      <c r="U120" s="101"/>
      <c r="V120" s="101"/>
      <c r="W120" s="101"/>
      <c r="X120" s="101"/>
      <c r="Y120" s="101"/>
      <c r="Z120" s="101">
        <v>0</v>
      </c>
      <c r="AA120" s="101">
        <v>0</v>
      </c>
      <c r="AB120" s="101">
        <v>6.9980000000000002</v>
      </c>
      <c r="AC120" s="101">
        <f>IFERROR(VLOOKUP(E120,[5]Sheet1!$A:$F,6,0),0)</f>
        <v>10.976000000000001</v>
      </c>
      <c r="AD120" s="101">
        <v>9.5060000000000002</v>
      </c>
      <c r="AE120" s="101">
        <v>10.439</v>
      </c>
      <c r="AF120" s="101">
        <v>10.608000000000001</v>
      </c>
      <c r="AG120" s="101">
        <v>28.114999999999998</v>
      </c>
      <c r="AH120" s="101">
        <v>26.167000000000002</v>
      </c>
      <c r="AI120" s="101">
        <f t="shared" si="5"/>
        <v>102.809</v>
      </c>
    </row>
    <row r="121" spans="1:35" ht="18" customHeight="1" x14ac:dyDescent="0.2">
      <c r="A121" s="27" t="str">
        <f t="shared" si="6"/>
        <v>법인</v>
      </c>
      <c r="B121" s="27" t="s">
        <v>1556</v>
      </c>
      <c r="C121" s="27" t="s">
        <v>1496</v>
      </c>
      <c r="D121" s="26">
        <v>1228213795</v>
      </c>
      <c r="E121" s="89">
        <v>10032387</v>
      </c>
      <c r="F121" s="25" t="s">
        <v>422</v>
      </c>
      <c r="G121" s="48" t="s">
        <v>322</v>
      </c>
      <c r="H121" s="53">
        <v>45985</v>
      </c>
      <c r="I121" s="50">
        <v>46042</v>
      </c>
      <c r="J121" s="14">
        <v>1502.824646</v>
      </c>
      <c r="K121" s="14">
        <f t="shared" si="9"/>
        <v>41.745129055555559</v>
      </c>
      <c r="L121" s="49" t="s">
        <v>311</v>
      </c>
      <c r="M121" s="101"/>
      <c r="N121" s="101"/>
      <c r="O121" s="101"/>
      <c r="P121" s="101"/>
      <c r="Q121" s="101"/>
      <c r="R121" s="101"/>
      <c r="S121" s="101"/>
      <c r="T121" s="101"/>
      <c r="U121" s="101"/>
      <c r="V121" s="101"/>
      <c r="W121" s="101"/>
      <c r="X121" s="101"/>
      <c r="Y121" s="101"/>
      <c r="Z121" s="101">
        <v>0</v>
      </c>
      <c r="AA121" s="101">
        <v>0</v>
      </c>
      <c r="AB121" s="101">
        <v>0.67600000000000005</v>
      </c>
      <c r="AC121" s="101">
        <f>IFERROR(VLOOKUP(E121,[5]Sheet1!$A:$F,6,0),0)</f>
        <v>11.856</v>
      </c>
      <c r="AD121" s="101">
        <v>14.365</v>
      </c>
      <c r="AE121" s="101">
        <v>11.651</v>
      </c>
      <c r="AF121" s="101">
        <v>11.385</v>
      </c>
      <c r="AG121" s="101">
        <v>12.568</v>
      </c>
      <c r="AH121" s="101">
        <v>8.4090000000000007</v>
      </c>
      <c r="AI121" s="101">
        <f t="shared" si="5"/>
        <v>70.91</v>
      </c>
    </row>
    <row r="122" spans="1:35" ht="18" customHeight="1" x14ac:dyDescent="0.2">
      <c r="A122" s="27" t="str">
        <f t="shared" si="6"/>
        <v>법인</v>
      </c>
      <c r="B122" s="27" t="s">
        <v>1566</v>
      </c>
      <c r="C122" s="27" t="s">
        <v>1496</v>
      </c>
      <c r="D122" s="26">
        <v>1308213383</v>
      </c>
      <c r="E122" s="89">
        <v>10033277</v>
      </c>
      <c r="F122" s="25" t="s">
        <v>423</v>
      </c>
      <c r="G122" s="48" t="s">
        <v>322</v>
      </c>
      <c r="H122" s="53">
        <v>45972</v>
      </c>
      <c r="I122" s="50">
        <v>46035</v>
      </c>
      <c r="J122" s="14">
        <v>490.97750000000002</v>
      </c>
      <c r="K122" s="14">
        <f t="shared" si="9"/>
        <v>13.63826388888889</v>
      </c>
      <c r="L122" s="49" t="s">
        <v>311</v>
      </c>
      <c r="M122" s="101"/>
      <c r="N122" s="101"/>
      <c r="O122" s="101"/>
      <c r="P122" s="101"/>
      <c r="Q122" s="101"/>
      <c r="R122" s="101"/>
      <c r="S122" s="101"/>
      <c r="T122" s="101"/>
      <c r="U122" s="101"/>
      <c r="V122" s="101"/>
      <c r="W122" s="101"/>
      <c r="X122" s="101"/>
      <c r="Y122" s="101"/>
      <c r="Z122" s="101">
        <v>0</v>
      </c>
      <c r="AA122" s="101">
        <v>0</v>
      </c>
      <c r="AB122" s="101">
        <v>13.904</v>
      </c>
      <c r="AC122" s="101">
        <f>IFERROR(VLOOKUP(E122,[5]Sheet1!$A:$F,6,0),0)</f>
        <v>17.28</v>
      </c>
      <c r="AD122" s="101">
        <v>17.824000000000002</v>
      </c>
      <c r="AE122" s="101">
        <v>17.088000000000001</v>
      </c>
      <c r="AF122" s="101">
        <v>19.888000000000002</v>
      </c>
      <c r="AG122" s="101">
        <v>20.591999999999999</v>
      </c>
      <c r="AH122" s="101">
        <v>18.271999999999998</v>
      </c>
      <c r="AI122" s="101">
        <f t="shared" si="5"/>
        <v>124.84800000000001</v>
      </c>
    </row>
    <row r="123" spans="1:35" ht="18" customHeight="1" x14ac:dyDescent="0.2">
      <c r="A123" s="27" t="str">
        <f t="shared" si="6"/>
        <v>법인</v>
      </c>
      <c r="B123" s="27" t="s">
        <v>1576</v>
      </c>
      <c r="C123" s="27" t="s">
        <v>1496</v>
      </c>
      <c r="D123" s="26">
        <v>1348207603</v>
      </c>
      <c r="E123" s="89">
        <v>10033614</v>
      </c>
      <c r="F123" s="25" t="s">
        <v>424</v>
      </c>
      <c r="G123" s="48" t="s">
        <v>322</v>
      </c>
      <c r="H123" s="53">
        <v>46007</v>
      </c>
      <c r="I123" s="50">
        <v>46020</v>
      </c>
      <c r="J123" s="14">
        <v>1621.24</v>
      </c>
      <c r="K123" s="14">
        <f t="shared" si="9"/>
        <v>45.034444444444446</v>
      </c>
      <c r="L123" s="49" t="s">
        <v>311</v>
      </c>
      <c r="M123" s="101"/>
      <c r="N123" s="101"/>
      <c r="O123" s="101"/>
      <c r="P123" s="101"/>
      <c r="Q123" s="101"/>
      <c r="R123" s="101"/>
      <c r="S123" s="101"/>
      <c r="T123" s="101"/>
      <c r="U123" s="101"/>
      <c r="V123" s="101"/>
      <c r="W123" s="101"/>
      <c r="X123" s="101"/>
      <c r="Y123" s="101"/>
      <c r="Z123" s="101">
        <v>0</v>
      </c>
      <c r="AA123" s="101">
        <v>0</v>
      </c>
      <c r="AB123" s="101">
        <v>7.7064000000000004</v>
      </c>
      <c r="AC123" s="101">
        <f>IFERROR(VLOOKUP(E123,[5]Sheet1!$A:$F,6,0),0)</f>
        <v>14.976000000000001</v>
      </c>
      <c r="AD123" s="101">
        <v>12.09</v>
      </c>
      <c r="AE123" s="101">
        <v>26.988</v>
      </c>
      <c r="AF123" s="101">
        <v>26.988</v>
      </c>
      <c r="AG123" s="101">
        <v>26.2392</v>
      </c>
      <c r="AH123" s="101">
        <v>27.799199999999999</v>
      </c>
      <c r="AI123" s="101">
        <f t="shared" si="5"/>
        <v>142.7868</v>
      </c>
    </row>
    <row r="124" spans="1:35" ht="18" customHeight="1" x14ac:dyDescent="0.2">
      <c r="A124" s="27" t="str">
        <f t="shared" si="6"/>
        <v>법인</v>
      </c>
      <c r="B124" s="27" t="s">
        <v>1563</v>
      </c>
      <c r="C124" s="27" t="s">
        <v>1496</v>
      </c>
      <c r="D124" s="26">
        <v>1378209745</v>
      </c>
      <c r="E124" s="89">
        <v>10033888</v>
      </c>
      <c r="F124" s="25" t="s">
        <v>425</v>
      </c>
      <c r="G124" s="48" t="s">
        <v>322</v>
      </c>
      <c r="H124" s="53">
        <v>46009</v>
      </c>
      <c r="I124" s="50">
        <v>46042</v>
      </c>
      <c r="J124" s="14">
        <v>949</v>
      </c>
      <c r="K124" s="14">
        <f t="shared" si="9"/>
        <v>26.361111111111111</v>
      </c>
      <c r="L124" s="49" t="s">
        <v>311</v>
      </c>
      <c r="M124" s="101"/>
      <c r="N124" s="101"/>
      <c r="O124" s="101"/>
      <c r="P124" s="101"/>
      <c r="Q124" s="101"/>
      <c r="R124" s="101"/>
      <c r="S124" s="101"/>
      <c r="T124" s="101"/>
      <c r="U124" s="101"/>
      <c r="V124" s="101"/>
      <c r="W124" s="101"/>
      <c r="X124" s="101"/>
      <c r="Y124" s="101"/>
      <c r="Z124" s="101">
        <v>0</v>
      </c>
      <c r="AA124" s="101">
        <v>0</v>
      </c>
      <c r="AB124" s="101">
        <v>10.593999999999999</v>
      </c>
      <c r="AC124" s="101">
        <f>IFERROR(VLOOKUP(E124,[5]Sheet1!$A:$F,6,0),0)</f>
        <v>25.524999999999999</v>
      </c>
      <c r="AD124" s="101">
        <v>31.449000000000002</v>
      </c>
      <c r="AE124" s="101">
        <v>30.081</v>
      </c>
      <c r="AF124" s="101">
        <v>18.353000000000002</v>
      </c>
      <c r="AG124" s="101">
        <v>17.370999999999999</v>
      </c>
      <c r="AH124" s="101">
        <v>14.097</v>
      </c>
      <c r="AI124" s="101">
        <f t="shared" si="5"/>
        <v>147.47000000000003</v>
      </c>
    </row>
    <row r="125" spans="1:35" ht="18" customHeight="1" x14ac:dyDescent="0.2">
      <c r="A125" s="27" t="str">
        <f t="shared" si="6"/>
        <v>법인</v>
      </c>
      <c r="B125" s="27" t="s">
        <v>1568</v>
      </c>
      <c r="C125" s="27" t="s">
        <v>1496</v>
      </c>
      <c r="D125" s="26">
        <v>1398200376</v>
      </c>
      <c r="E125" s="89">
        <v>10033992</v>
      </c>
      <c r="F125" s="25" t="s">
        <v>255</v>
      </c>
      <c r="G125" s="48" t="s">
        <v>320</v>
      </c>
      <c r="H125" s="53">
        <v>45988</v>
      </c>
      <c r="I125" s="50">
        <v>46042</v>
      </c>
      <c r="J125" s="14">
        <v>99.882000000000005</v>
      </c>
      <c r="K125" s="14">
        <f>J125</f>
        <v>99.882000000000005</v>
      </c>
      <c r="L125" s="49" t="s">
        <v>311</v>
      </c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>
        <v>0</v>
      </c>
      <c r="AA125" s="101">
        <v>0</v>
      </c>
      <c r="AB125" s="101">
        <v>99.881999999999991</v>
      </c>
      <c r="AC125" s="101">
        <f>IFERROR(VLOOKUP(E125,[5]Sheet1!$A:$F,6,0),0)</f>
        <v>0</v>
      </c>
      <c r="AD125" s="101">
        <v>0</v>
      </c>
      <c r="AE125" s="101">
        <v>0</v>
      </c>
      <c r="AF125" s="101">
        <v>0</v>
      </c>
      <c r="AG125" s="101">
        <v>0</v>
      </c>
      <c r="AH125" s="101">
        <v>0</v>
      </c>
      <c r="AI125" s="101">
        <f t="shared" si="5"/>
        <v>99.881999999999991</v>
      </c>
    </row>
    <row r="126" spans="1:35" ht="18" customHeight="1" x14ac:dyDescent="0.2">
      <c r="A126" s="27" t="str">
        <f t="shared" si="6"/>
        <v>법인</v>
      </c>
      <c r="B126" s="27" t="s">
        <v>1577</v>
      </c>
      <c r="C126" s="27" t="s">
        <v>1496</v>
      </c>
      <c r="D126" s="26">
        <v>2738200017</v>
      </c>
      <c r="E126" s="89">
        <v>10035968</v>
      </c>
      <c r="F126" s="25" t="s">
        <v>426</v>
      </c>
      <c r="G126" s="48" t="s">
        <v>322</v>
      </c>
      <c r="H126" s="53">
        <v>45895</v>
      </c>
      <c r="I126" s="50">
        <v>46000</v>
      </c>
      <c r="J126" s="14">
        <v>1856.6058499999999</v>
      </c>
      <c r="K126" s="14">
        <f t="shared" si="9"/>
        <v>51.572384722222218</v>
      </c>
      <c r="L126" s="49" t="s">
        <v>311</v>
      </c>
      <c r="M126" s="101"/>
      <c r="N126" s="101"/>
      <c r="O126" s="101"/>
      <c r="P126" s="101"/>
      <c r="Q126" s="101"/>
      <c r="R126" s="101"/>
      <c r="S126" s="101"/>
      <c r="T126" s="101"/>
      <c r="U126" s="101"/>
      <c r="V126" s="101"/>
      <c r="W126" s="101"/>
      <c r="X126" s="101"/>
      <c r="Y126" s="101"/>
      <c r="Z126" s="101">
        <v>0</v>
      </c>
      <c r="AA126" s="101">
        <v>0</v>
      </c>
      <c r="AB126" s="101">
        <v>9.4710000000000001</v>
      </c>
      <c r="AC126" s="101">
        <v>4.0289999999999999</v>
      </c>
      <c r="AD126" s="101">
        <v>10.692</v>
      </c>
      <c r="AE126" s="101">
        <v>13.7</v>
      </c>
      <c r="AF126" s="101">
        <v>26.776</v>
      </c>
      <c r="AG126" s="101">
        <v>36.764000000000003</v>
      </c>
      <c r="AH126" s="101">
        <v>34.667000000000002</v>
      </c>
      <c r="AI126" s="101">
        <f t="shared" si="5"/>
        <v>136.09899999999999</v>
      </c>
    </row>
    <row r="127" spans="1:35" ht="18" customHeight="1" x14ac:dyDescent="0.2">
      <c r="A127" s="27" t="str">
        <f t="shared" si="6"/>
        <v>법인</v>
      </c>
      <c r="B127" s="27" t="s">
        <v>1555</v>
      </c>
      <c r="C127" s="27" t="s">
        <v>1496</v>
      </c>
      <c r="D127" s="26">
        <v>4038202289</v>
      </c>
      <c r="E127" s="89">
        <v>10037680</v>
      </c>
      <c r="F127" s="25" t="s">
        <v>427</v>
      </c>
      <c r="G127" s="48" t="s">
        <v>322</v>
      </c>
      <c r="H127" s="53">
        <v>45889</v>
      </c>
      <c r="I127" s="50">
        <v>46000</v>
      </c>
      <c r="J127" s="14">
        <v>1553.171</v>
      </c>
      <c r="K127" s="14">
        <f t="shared" si="9"/>
        <v>43.143638888888887</v>
      </c>
      <c r="L127" s="49" t="s">
        <v>311</v>
      </c>
      <c r="M127" s="101"/>
      <c r="N127" s="101"/>
      <c r="O127" s="101"/>
      <c r="P127" s="101"/>
      <c r="Q127" s="101"/>
      <c r="R127" s="101"/>
      <c r="S127" s="101"/>
      <c r="T127" s="101"/>
      <c r="U127" s="101"/>
      <c r="V127" s="101"/>
      <c r="W127" s="101"/>
      <c r="X127" s="101"/>
      <c r="Y127" s="101"/>
      <c r="Z127" s="101">
        <v>0</v>
      </c>
      <c r="AA127" s="101">
        <v>0</v>
      </c>
      <c r="AB127" s="101">
        <v>12.75</v>
      </c>
      <c r="AC127" s="101">
        <f>IFERROR(VLOOKUP(E127,[5]Sheet1!$A:$F,6,0),0)</f>
        <v>36.81</v>
      </c>
      <c r="AD127" s="101">
        <v>17.91</v>
      </c>
      <c r="AE127" s="101">
        <v>10.773999999999999</v>
      </c>
      <c r="AF127" s="101">
        <v>28.731999999999999</v>
      </c>
      <c r="AG127" s="101">
        <v>27.783999999999999</v>
      </c>
      <c r="AH127" s="101">
        <v>30.884</v>
      </c>
      <c r="AI127" s="101">
        <f t="shared" si="5"/>
        <v>165.64400000000001</v>
      </c>
    </row>
    <row r="128" spans="1:35" ht="18" customHeight="1" x14ac:dyDescent="0.2">
      <c r="A128" s="27" t="str">
        <f t="shared" si="6"/>
        <v>법인</v>
      </c>
      <c r="B128" s="27" t="s">
        <v>1559</v>
      </c>
      <c r="C128" s="27" t="s">
        <v>1496</v>
      </c>
      <c r="D128" s="26">
        <v>4168211504</v>
      </c>
      <c r="E128" s="89">
        <v>10038513</v>
      </c>
      <c r="F128" s="25" t="s">
        <v>428</v>
      </c>
      <c r="G128" s="48" t="s">
        <v>322</v>
      </c>
      <c r="H128" s="53">
        <v>45912</v>
      </c>
      <c r="I128" s="50">
        <v>46035</v>
      </c>
      <c r="J128" s="14">
        <v>659.97699999999998</v>
      </c>
      <c r="K128" s="14">
        <f t="shared" si="9"/>
        <v>18.332694444444442</v>
      </c>
      <c r="L128" s="49" t="s">
        <v>311</v>
      </c>
      <c r="M128" s="101"/>
      <c r="N128" s="101"/>
      <c r="O128" s="101"/>
      <c r="P128" s="101"/>
      <c r="Q128" s="101"/>
      <c r="R128" s="101"/>
      <c r="S128" s="101"/>
      <c r="T128" s="101"/>
      <c r="U128" s="101"/>
      <c r="V128" s="101"/>
      <c r="W128" s="101"/>
      <c r="X128" s="101"/>
      <c r="Y128" s="101"/>
      <c r="Z128" s="101">
        <v>0</v>
      </c>
      <c r="AA128" s="101">
        <v>0</v>
      </c>
      <c r="AB128" s="101">
        <v>1.274</v>
      </c>
      <c r="AC128" s="101">
        <f>IFERROR(VLOOKUP(E128,[5]Sheet1!$A:$F,6,0),0)</f>
        <v>5.7039999999999997</v>
      </c>
      <c r="AD128" s="101">
        <v>5.17</v>
      </c>
      <c r="AE128" s="101">
        <v>7.8339999999999996</v>
      </c>
      <c r="AF128" s="101">
        <v>11.616</v>
      </c>
      <c r="AG128" s="101">
        <v>11.004</v>
      </c>
      <c r="AH128" s="101">
        <v>8.0239999999999991</v>
      </c>
      <c r="AI128" s="101">
        <f t="shared" si="5"/>
        <v>50.625999999999998</v>
      </c>
    </row>
    <row r="129" spans="1:35" ht="18" customHeight="1" x14ac:dyDescent="0.2">
      <c r="A129" s="27" t="str">
        <f t="shared" si="6"/>
        <v>개인</v>
      </c>
      <c r="B129" s="27" t="s">
        <v>1559</v>
      </c>
      <c r="C129" s="27" t="s">
        <v>1554</v>
      </c>
      <c r="D129" s="26">
        <v>4189602686</v>
      </c>
      <c r="E129" s="89">
        <v>10038671</v>
      </c>
      <c r="F129" s="25" t="s">
        <v>429</v>
      </c>
      <c r="G129" s="48" t="s">
        <v>322</v>
      </c>
      <c r="H129" s="53">
        <v>45995</v>
      </c>
      <c r="I129" s="50">
        <v>46049</v>
      </c>
      <c r="J129" s="14">
        <v>370.80939999999998</v>
      </c>
      <c r="K129" s="14">
        <f t="shared" si="9"/>
        <v>10.30026111111111</v>
      </c>
      <c r="L129" s="49" t="s">
        <v>311</v>
      </c>
      <c r="M129" s="101"/>
      <c r="N129" s="101"/>
      <c r="O129" s="101"/>
      <c r="P129" s="101"/>
      <c r="Q129" s="101"/>
      <c r="R129" s="101"/>
      <c r="S129" s="101"/>
      <c r="T129" s="101"/>
      <c r="U129" s="101"/>
      <c r="V129" s="101"/>
      <c r="W129" s="101"/>
      <c r="X129" s="101"/>
      <c r="Y129" s="101"/>
      <c r="Z129" s="101">
        <v>0</v>
      </c>
      <c r="AA129" s="101">
        <v>0</v>
      </c>
      <c r="AB129" s="101">
        <v>0.93799999999999994</v>
      </c>
      <c r="AC129" s="101">
        <f>IFERROR(VLOOKUP(E129,[5]Sheet1!$A:$F,6,0),0)</f>
        <v>12.186999999999999</v>
      </c>
      <c r="AD129" s="101">
        <v>15.087999999999999</v>
      </c>
      <c r="AE129" s="101">
        <v>16.696000000000002</v>
      </c>
      <c r="AF129" s="101">
        <v>15.641999999999999</v>
      </c>
      <c r="AG129" s="101">
        <v>15.247999999999999</v>
      </c>
      <c r="AH129" s="101">
        <v>15.066000000000001</v>
      </c>
      <c r="AI129" s="101">
        <f t="shared" si="5"/>
        <v>90.865000000000009</v>
      </c>
    </row>
    <row r="130" spans="1:35" ht="18" customHeight="1" x14ac:dyDescent="0.2">
      <c r="A130" s="27" t="str">
        <f t="shared" si="6"/>
        <v>개인</v>
      </c>
      <c r="B130" s="27" t="s">
        <v>1556</v>
      </c>
      <c r="C130" s="27" t="s">
        <v>1554</v>
      </c>
      <c r="D130" s="26">
        <v>8839200093</v>
      </c>
      <c r="E130" s="89">
        <v>10038792</v>
      </c>
      <c r="F130" s="25" t="s">
        <v>430</v>
      </c>
      <c r="G130" s="48" t="s">
        <v>322</v>
      </c>
      <c r="H130" s="53">
        <v>45838</v>
      </c>
      <c r="I130" s="50">
        <v>46063</v>
      </c>
      <c r="J130" s="14">
        <v>232.14</v>
      </c>
      <c r="K130" s="14">
        <f t="shared" si="9"/>
        <v>6.4483333333333333</v>
      </c>
      <c r="L130" s="49" t="s">
        <v>311</v>
      </c>
      <c r="M130" s="101"/>
      <c r="N130" s="101"/>
      <c r="O130" s="101"/>
      <c r="P130" s="101"/>
      <c r="Q130" s="101"/>
      <c r="R130" s="101"/>
      <c r="S130" s="101"/>
      <c r="T130" s="101"/>
      <c r="U130" s="101"/>
      <c r="V130" s="101"/>
      <c r="W130" s="101"/>
      <c r="X130" s="101"/>
      <c r="Y130" s="101"/>
      <c r="Z130" s="101">
        <v>0</v>
      </c>
      <c r="AA130" s="101">
        <v>0</v>
      </c>
      <c r="AB130" s="101">
        <v>1.0629999999999999</v>
      </c>
      <c r="AC130" s="101">
        <f>IFERROR(VLOOKUP(E130,[5]Sheet1!$A:$F,6,0),0)</f>
        <v>2.641</v>
      </c>
      <c r="AD130" s="101">
        <v>2.5449999999999999</v>
      </c>
      <c r="AE130" s="101">
        <v>1.9830000000000001</v>
      </c>
      <c r="AF130" s="101">
        <v>2.056</v>
      </c>
      <c r="AG130" s="101">
        <v>2.1320000000000001</v>
      </c>
      <c r="AH130" s="101">
        <v>2.6120000000000001</v>
      </c>
      <c r="AI130" s="101">
        <f t="shared" si="5"/>
        <v>15.032</v>
      </c>
    </row>
    <row r="131" spans="1:35" ht="18" customHeight="1" x14ac:dyDescent="0.2">
      <c r="A131" s="27" t="str">
        <f t="shared" si="6"/>
        <v>개인</v>
      </c>
      <c r="B131" s="27" t="s">
        <v>1559</v>
      </c>
      <c r="C131" s="27" t="s">
        <v>1554</v>
      </c>
      <c r="D131" s="26">
        <v>6559100341</v>
      </c>
      <c r="E131" s="89">
        <v>10042063</v>
      </c>
      <c r="F131" s="25" t="s">
        <v>431</v>
      </c>
      <c r="G131" s="48" t="s">
        <v>322</v>
      </c>
      <c r="H131" s="53">
        <v>45880</v>
      </c>
      <c r="I131" s="50">
        <v>45993</v>
      </c>
      <c r="J131" s="14">
        <v>222.38900000000001</v>
      </c>
      <c r="K131" s="14">
        <f t="shared" si="9"/>
        <v>6.1774722222222227</v>
      </c>
      <c r="L131" s="49" t="s">
        <v>311</v>
      </c>
      <c r="M131" s="101"/>
      <c r="N131" s="101"/>
      <c r="O131" s="101"/>
      <c r="P131" s="101"/>
      <c r="Q131" s="101"/>
      <c r="R131" s="101"/>
      <c r="S131" s="101"/>
      <c r="T131" s="101"/>
      <c r="U131" s="101"/>
      <c r="V131" s="101"/>
      <c r="W131" s="101"/>
      <c r="X131" s="101"/>
      <c r="Y131" s="101"/>
      <c r="Z131" s="101">
        <v>0</v>
      </c>
      <c r="AA131" s="101">
        <v>0</v>
      </c>
      <c r="AB131" s="101">
        <v>1.5</v>
      </c>
      <c r="AC131" s="101">
        <f>IFERROR(VLOOKUP(E131,[5]Sheet1!$A:$F,6,0),0)</f>
        <v>1.5</v>
      </c>
      <c r="AD131" s="101">
        <v>1.5</v>
      </c>
      <c r="AE131" s="101">
        <v>1.748</v>
      </c>
      <c r="AF131" s="101">
        <v>1.5</v>
      </c>
      <c r="AG131" s="101">
        <v>1.5</v>
      </c>
      <c r="AH131" s="101">
        <v>1.7210000000000001</v>
      </c>
      <c r="AI131" s="101">
        <f t="shared" si="5"/>
        <v>10.969000000000001</v>
      </c>
    </row>
    <row r="132" spans="1:35" ht="18" customHeight="1" x14ac:dyDescent="0.2">
      <c r="A132" s="27" t="str">
        <f t="shared" si="6"/>
        <v>법인</v>
      </c>
      <c r="B132" s="27" t="s">
        <v>1563</v>
      </c>
      <c r="C132" s="27" t="s">
        <v>1496</v>
      </c>
      <c r="D132" s="26">
        <v>3048207366</v>
      </c>
      <c r="E132" s="89">
        <v>10050471</v>
      </c>
      <c r="F132" s="25" t="s">
        <v>432</v>
      </c>
      <c r="G132" s="48" t="s">
        <v>322</v>
      </c>
      <c r="H132" s="53">
        <v>45994</v>
      </c>
      <c r="I132" s="50">
        <v>46049</v>
      </c>
      <c r="J132" s="14">
        <v>221.839</v>
      </c>
      <c r="K132" s="14">
        <f t="shared" si="9"/>
        <v>6.1621944444444443</v>
      </c>
      <c r="L132" s="49" t="s">
        <v>311</v>
      </c>
      <c r="M132" s="101"/>
      <c r="N132" s="101"/>
      <c r="O132" s="101"/>
      <c r="P132" s="101"/>
      <c r="Q132" s="101"/>
      <c r="R132" s="101"/>
      <c r="S132" s="101"/>
      <c r="T132" s="101"/>
      <c r="U132" s="101"/>
      <c r="V132" s="101"/>
      <c r="W132" s="101"/>
      <c r="X132" s="101"/>
      <c r="Y132" s="101"/>
      <c r="Z132" s="101">
        <v>0</v>
      </c>
      <c r="AA132" s="101">
        <v>0</v>
      </c>
      <c r="AB132" s="101">
        <v>1.6830000000000001</v>
      </c>
      <c r="AC132" s="101">
        <f>IFERROR(VLOOKUP(E132,[5]Sheet1!$A:$F,6,0),0)</f>
        <v>5.4470000000000001</v>
      </c>
      <c r="AD132" s="101">
        <v>3.4969999999999999</v>
      </c>
      <c r="AE132" s="101">
        <v>4.5629999999999997</v>
      </c>
      <c r="AF132" s="101">
        <v>4.7839999999999998</v>
      </c>
      <c r="AG132" s="101">
        <v>5.0309999999999997</v>
      </c>
      <c r="AH132" s="101">
        <v>4.407</v>
      </c>
      <c r="AI132" s="101">
        <f t="shared" si="5"/>
        <v>29.411999999999995</v>
      </c>
    </row>
    <row r="133" spans="1:35" ht="18" customHeight="1" x14ac:dyDescent="0.2">
      <c r="A133" s="27" t="str">
        <f t="shared" si="6"/>
        <v>개인</v>
      </c>
      <c r="B133" s="27" t="s">
        <v>1555</v>
      </c>
      <c r="C133" s="27" t="s">
        <v>1554</v>
      </c>
      <c r="D133" s="26">
        <v>5789001589</v>
      </c>
      <c r="E133" s="89">
        <v>10067605</v>
      </c>
      <c r="F133" s="25" t="s">
        <v>433</v>
      </c>
      <c r="G133" s="48" t="s">
        <v>322</v>
      </c>
      <c r="H133" s="53">
        <v>45988</v>
      </c>
      <c r="I133" s="50">
        <v>46042</v>
      </c>
      <c r="J133" s="14">
        <v>686.85469699999999</v>
      </c>
      <c r="K133" s="14">
        <f t="shared" si="9"/>
        <v>19.07929713888889</v>
      </c>
      <c r="L133" s="49" t="s">
        <v>311</v>
      </c>
      <c r="M133" s="101"/>
      <c r="N133" s="101"/>
      <c r="O133" s="101"/>
      <c r="P133" s="101"/>
      <c r="Q133" s="101"/>
      <c r="R133" s="101"/>
      <c r="S133" s="101"/>
      <c r="T133" s="101"/>
      <c r="U133" s="101"/>
      <c r="V133" s="101"/>
      <c r="W133" s="101"/>
      <c r="X133" s="101"/>
      <c r="Y133" s="101"/>
      <c r="Z133" s="101">
        <v>0</v>
      </c>
      <c r="AA133" s="101">
        <v>0</v>
      </c>
      <c r="AB133" s="101">
        <v>5.4660000000000002</v>
      </c>
      <c r="AC133" s="101">
        <f>IFERROR(VLOOKUP(E133,[5]Sheet1!$A:$F,6,0),0)</f>
        <v>11.948</v>
      </c>
      <c r="AD133" s="101">
        <v>9.5850000000000009</v>
      </c>
      <c r="AE133" s="101">
        <v>9.9649999999999999</v>
      </c>
      <c r="AF133" s="101">
        <v>9.0039999999999996</v>
      </c>
      <c r="AG133" s="101">
        <v>9.2859999999999996</v>
      </c>
      <c r="AH133" s="101">
        <v>10.372999999999999</v>
      </c>
      <c r="AI133" s="101">
        <f t="shared" si="5"/>
        <v>65.626999999999995</v>
      </c>
    </row>
    <row r="134" spans="1:35" ht="18" customHeight="1" x14ac:dyDescent="0.2">
      <c r="A134" s="27" t="str">
        <f t="shared" si="6"/>
        <v>개인</v>
      </c>
      <c r="B134" s="27" t="s">
        <v>1559</v>
      </c>
      <c r="C134" s="27" t="s">
        <v>1554</v>
      </c>
      <c r="D134" s="26">
        <v>2999801310</v>
      </c>
      <c r="E134" s="89">
        <v>10068728</v>
      </c>
      <c r="F134" s="25" t="s">
        <v>434</v>
      </c>
      <c r="G134" s="48" t="s">
        <v>322</v>
      </c>
      <c r="H134" s="53">
        <v>45985</v>
      </c>
      <c r="I134" s="50">
        <v>46042</v>
      </c>
      <c r="J134" s="14">
        <v>862.13728200000003</v>
      </c>
      <c r="K134" s="14">
        <f t="shared" ref="K134:K197" si="10">J134/36</f>
        <v>23.948257833333333</v>
      </c>
      <c r="L134" s="49" t="s">
        <v>311</v>
      </c>
      <c r="M134" s="101"/>
      <c r="N134" s="101"/>
      <c r="O134" s="101"/>
      <c r="P134" s="101"/>
      <c r="Q134" s="101"/>
      <c r="R134" s="101"/>
      <c r="S134" s="101"/>
      <c r="T134" s="101"/>
      <c r="U134" s="101"/>
      <c r="V134" s="101"/>
      <c r="W134" s="101"/>
      <c r="X134" s="101"/>
      <c r="Y134" s="101"/>
      <c r="Z134" s="101">
        <v>0</v>
      </c>
      <c r="AA134" s="101">
        <v>0</v>
      </c>
      <c r="AB134" s="101">
        <v>10.704000000000001</v>
      </c>
      <c r="AC134" s="101">
        <f>IFERROR(VLOOKUP(E134,[5]Sheet1!$A:$F,6,0),0)</f>
        <v>16.736000000000001</v>
      </c>
      <c r="AD134" s="101">
        <v>19.376000000000001</v>
      </c>
      <c r="AE134" s="101">
        <v>17.408000000000001</v>
      </c>
      <c r="AF134" s="101">
        <v>0</v>
      </c>
      <c r="AG134" s="101">
        <v>0</v>
      </c>
      <c r="AH134" s="101">
        <v>0</v>
      </c>
      <c r="AI134" s="101">
        <f t="shared" ref="AI134:AI197" si="11">SUM(AA134,Z134,Y134,X134,W134,V134,U134,T134,S134,R134,Q134,P134,O134,N134,M134,AB134,AC134,AD134,AE134,AF134,AG134,AH134)</f>
        <v>64.224000000000004</v>
      </c>
    </row>
    <row r="135" spans="1:35" ht="18" customHeight="1" x14ac:dyDescent="0.2">
      <c r="A135" s="27" t="str">
        <f t="shared" si="6"/>
        <v>법인</v>
      </c>
      <c r="B135" s="27" t="s">
        <v>1556</v>
      </c>
      <c r="C135" s="27" t="s">
        <v>1496</v>
      </c>
      <c r="D135" s="26">
        <v>4098219449</v>
      </c>
      <c r="E135" s="89">
        <v>10069441</v>
      </c>
      <c r="F135" s="25" t="s">
        <v>435</v>
      </c>
      <c r="G135" s="48" t="s">
        <v>322</v>
      </c>
      <c r="H135" s="53">
        <v>46000</v>
      </c>
      <c r="I135" s="50">
        <v>46056</v>
      </c>
      <c r="J135" s="14">
        <v>590.11506399999996</v>
      </c>
      <c r="K135" s="14">
        <f t="shared" si="10"/>
        <v>16.392085111111111</v>
      </c>
      <c r="L135" s="49" t="s">
        <v>311</v>
      </c>
      <c r="M135" s="101"/>
      <c r="N135" s="101"/>
      <c r="O135" s="101"/>
      <c r="P135" s="101"/>
      <c r="Q135" s="101"/>
      <c r="R135" s="101"/>
      <c r="S135" s="101"/>
      <c r="T135" s="101"/>
      <c r="U135" s="101"/>
      <c r="V135" s="101"/>
      <c r="W135" s="101"/>
      <c r="X135" s="101"/>
      <c r="Y135" s="101"/>
      <c r="Z135" s="101">
        <v>0</v>
      </c>
      <c r="AA135" s="101">
        <v>0</v>
      </c>
      <c r="AB135" s="101">
        <v>3.375</v>
      </c>
      <c r="AC135" s="101">
        <f>IFERROR(VLOOKUP(E135,[5]Sheet1!$A:$F,6,0),0)</f>
        <v>5.5659999999999998</v>
      </c>
      <c r="AD135" s="101">
        <v>13.723000000000001</v>
      </c>
      <c r="AE135" s="101">
        <v>13.146000000000001</v>
      </c>
      <c r="AF135" s="101">
        <v>12.346</v>
      </c>
      <c r="AG135" s="101">
        <v>13.826000000000001</v>
      </c>
      <c r="AH135" s="101">
        <v>10.79</v>
      </c>
      <c r="AI135" s="101">
        <f t="shared" si="11"/>
        <v>72.772000000000006</v>
      </c>
    </row>
    <row r="136" spans="1:35" ht="18" customHeight="1" x14ac:dyDescent="0.2">
      <c r="A136" s="27" t="str">
        <f t="shared" si="6"/>
        <v>개인</v>
      </c>
      <c r="B136" s="27" t="s">
        <v>1565</v>
      </c>
      <c r="C136" s="27" t="s">
        <v>1554</v>
      </c>
      <c r="D136" s="26">
        <v>8449201739</v>
      </c>
      <c r="E136" s="89">
        <v>10082404</v>
      </c>
      <c r="F136" s="25" t="s">
        <v>436</v>
      </c>
      <c r="G136" s="48" t="s">
        <v>322</v>
      </c>
      <c r="H136" s="53">
        <v>46010</v>
      </c>
      <c r="I136" s="50">
        <v>46063</v>
      </c>
      <c r="J136" s="14">
        <v>710.767875</v>
      </c>
      <c r="K136" s="14">
        <f t="shared" si="10"/>
        <v>19.743552083333334</v>
      </c>
      <c r="L136" s="49" t="s">
        <v>311</v>
      </c>
      <c r="M136" s="101"/>
      <c r="N136" s="101"/>
      <c r="O136" s="101"/>
      <c r="P136" s="101"/>
      <c r="Q136" s="101"/>
      <c r="R136" s="101"/>
      <c r="S136" s="101"/>
      <c r="T136" s="101"/>
      <c r="U136" s="101"/>
      <c r="V136" s="101"/>
      <c r="W136" s="101"/>
      <c r="X136" s="101"/>
      <c r="Y136" s="101"/>
      <c r="Z136" s="101">
        <v>0</v>
      </c>
      <c r="AA136" s="101">
        <v>0</v>
      </c>
      <c r="AB136" s="101">
        <v>0.16</v>
      </c>
      <c r="AC136" s="101">
        <f>IFERROR(VLOOKUP(E136,[5]Sheet1!$A:$F,6,0),0)</f>
        <v>14.16</v>
      </c>
      <c r="AD136" s="101">
        <v>8.9920000000000009</v>
      </c>
      <c r="AE136" s="101">
        <v>5.3150000000000004</v>
      </c>
      <c r="AF136" s="101">
        <v>5.3639999999999999</v>
      </c>
      <c r="AG136" s="101">
        <v>5.6159999999999997</v>
      </c>
      <c r="AH136" s="101">
        <v>4.7050000000000001</v>
      </c>
      <c r="AI136" s="101">
        <f t="shared" si="11"/>
        <v>44.311999999999998</v>
      </c>
    </row>
    <row r="137" spans="1:35" ht="18" customHeight="1" x14ac:dyDescent="0.2">
      <c r="A137" s="27" t="str">
        <f t="shared" ref="A137:A190" si="12">IF(MID(D137,4,1)="8","법인","개인")</f>
        <v>개인</v>
      </c>
      <c r="B137" s="27" t="s">
        <v>1564</v>
      </c>
      <c r="C137" s="27" t="s">
        <v>1554</v>
      </c>
      <c r="D137" s="26">
        <v>3839202010</v>
      </c>
      <c r="E137" s="89">
        <v>10091292</v>
      </c>
      <c r="F137" s="25" t="s">
        <v>437</v>
      </c>
      <c r="G137" s="48" t="s">
        <v>322</v>
      </c>
      <c r="H137" s="53">
        <v>45979</v>
      </c>
      <c r="I137" s="50">
        <v>46036</v>
      </c>
      <c r="J137" s="14">
        <v>329.70859999999999</v>
      </c>
      <c r="K137" s="14">
        <f t="shared" si="10"/>
        <v>9.1585722222222223</v>
      </c>
      <c r="L137" s="49" t="s">
        <v>311</v>
      </c>
      <c r="M137" s="101"/>
      <c r="N137" s="101"/>
      <c r="O137" s="101"/>
      <c r="P137" s="101"/>
      <c r="Q137" s="101"/>
      <c r="R137" s="101"/>
      <c r="S137" s="101"/>
      <c r="T137" s="101"/>
      <c r="U137" s="101"/>
      <c r="V137" s="101"/>
      <c r="W137" s="101"/>
      <c r="X137" s="101"/>
      <c r="Y137" s="101"/>
      <c r="Z137" s="101">
        <v>0</v>
      </c>
      <c r="AA137" s="101">
        <v>0</v>
      </c>
      <c r="AB137" s="101">
        <v>2.0960000000000001</v>
      </c>
      <c r="AC137" s="101">
        <f>IFERROR(VLOOKUP(E137,[5]Sheet1!$A:$F,6,0),0)</f>
        <v>2.88</v>
      </c>
      <c r="AD137" s="101">
        <v>2.5920000000000001</v>
      </c>
      <c r="AE137" s="101">
        <v>1.952</v>
      </c>
      <c r="AF137" s="101">
        <v>2.8319999999999999</v>
      </c>
      <c r="AG137" s="101">
        <v>3.0419999999999998</v>
      </c>
      <c r="AH137" s="101">
        <v>2.7010000000000001</v>
      </c>
      <c r="AI137" s="101">
        <f t="shared" si="11"/>
        <v>18.094999999999999</v>
      </c>
    </row>
    <row r="138" spans="1:35" ht="18" customHeight="1" x14ac:dyDescent="0.2">
      <c r="A138" s="27" t="str">
        <f t="shared" si="12"/>
        <v>법인</v>
      </c>
      <c r="B138" s="27" t="s">
        <v>1576</v>
      </c>
      <c r="C138" s="27" t="s">
        <v>1496</v>
      </c>
      <c r="D138" s="26">
        <v>7698200425</v>
      </c>
      <c r="E138" s="89">
        <v>10096603</v>
      </c>
      <c r="F138" s="25" t="s">
        <v>438</v>
      </c>
      <c r="G138" s="48" t="s">
        <v>322</v>
      </c>
      <c r="H138" s="53">
        <v>45968</v>
      </c>
      <c r="I138" s="50">
        <v>46028</v>
      </c>
      <c r="J138" s="14">
        <v>2254.6824299999998</v>
      </c>
      <c r="K138" s="14">
        <f t="shared" si="10"/>
        <v>62.630067499999996</v>
      </c>
      <c r="L138" s="49" t="s">
        <v>311</v>
      </c>
      <c r="M138" s="101"/>
      <c r="N138" s="101"/>
      <c r="O138" s="101"/>
      <c r="P138" s="101"/>
      <c r="Q138" s="101"/>
      <c r="R138" s="101"/>
      <c r="S138" s="101"/>
      <c r="T138" s="101"/>
      <c r="U138" s="101"/>
      <c r="V138" s="101"/>
      <c r="W138" s="101"/>
      <c r="X138" s="101"/>
      <c r="Y138" s="101"/>
      <c r="Z138" s="101">
        <v>0</v>
      </c>
      <c r="AA138" s="101">
        <v>0</v>
      </c>
      <c r="AB138" s="101">
        <v>3.4489999999999998</v>
      </c>
      <c r="AC138" s="101">
        <f>IFERROR(VLOOKUP(E138,[5]Sheet1!$A:$F,6,0),0)</f>
        <v>7.4569999999999999</v>
      </c>
      <c r="AD138" s="101">
        <v>11.345000000000001</v>
      </c>
      <c r="AE138" s="101">
        <v>21.436</v>
      </c>
      <c r="AF138" s="101">
        <v>26.5</v>
      </c>
      <c r="AG138" s="101">
        <v>27.349</v>
      </c>
      <c r="AH138" s="101">
        <v>32</v>
      </c>
      <c r="AI138" s="101">
        <f t="shared" si="11"/>
        <v>129.536</v>
      </c>
    </row>
    <row r="139" spans="1:35" ht="18" customHeight="1" x14ac:dyDescent="0.2">
      <c r="A139" s="27" t="str">
        <f t="shared" si="12"/>
        <v>개인</v>
      </c>
      <c r="B139" s="27" t="s">
        <v>1570</v>
      </c>
      <c r="C139" s="27" t="s">
        <v>1554</v>
      </c>
      <c r="D139" s="26">
        <v>3669801736</v>
      </c>
      <c r="E139" s="89">
        <v>10099847</v>
      </c>
      <c r="F139" s="25" t="s">
        <v>439</v>
      </c>
      <c r="G139" s="48" t="s">
        <v>322</v>
      </c>
      <c r="H139" s="53">
        <v>45999</v>
      </c>
      <c r="I139" s="50">
        <v>46049</v>
      </c>
      <c r="J139" s="14">
        <v>688.65480200000002</v>
      </c>
      <c r="K139" s="14">
        <f t="shared" si="10"/>
        <v>19.129300055555557</v>
      </c>
      <c r="L139" s="49" t="s">
        <v>311</v>
      </c>
      <c r="M139" s="101"/>
      <c r="N139" s="101"/>
      <c r="O139" s="101"/>
      <c r="P139" s="101"/>
      <c r="Q139" s="101"/>
      <c r="R139" s="101"/>
      <c r="S139" s="101"/>
      <c r="T139" s="101"/>
      <c r="U139" s="101"/>
      <c r="V139" s="101"/>
      <c r="W139" s="101"/>
      <c r="X139" s="101"/>
      <c r="Y139" s="101"/>
      <c r="Z139" s="101">
        <v>0</v>
      </c>
      <c r="AA139" s="101">
        <v>0</v>
      </c>
      <c r="AB139" s="101">
        <v>12.128</v>
      </c>
      <c r="AC139" s="101">
        <f>IFERROR(VLOOKUP(E139,[5]Sheet1!$A:$F,6,0),0)</f>
        <v>19.654</v>
      </c>
      <c r="AD139" s="101">
        <v>15.919</v>
      </c>
      <c r="AE139" s="101">
        <v>19.603000000000002</v>
      </c>
      <c r="AF139" s="101">
        <v>27.472000000000001</v>
      </c>
      <c r="AG139" s="101">
        <v>34.058999999999997</v>
      </c>
      <c r="AH139" s="101">
        <v>39.767000000000003</v>
      </c>
      <c r="AI139" s="101">
        <f t="shared" si="11"/>
        <v>168.602</v>
      </c>
    </row>
    <row r="140" spans="1:35" ht="18" customHeight="1" x14ac:dyDescent="0.2">
      <c r="A140" s="27" t="str">
        <f t="shared" si="12"/>
        <v>개인</v>
      </c>
      <c r="B140" s="27" t="s">
        <v>1559</v>
      </c>
      <c r="C140" s="27" t="s">
        <v>1554</v>
      </c>
      <c r="D140" s="26">
        <v>7339000251</v>
      </c>
      <c r="E140" s="89">
        <v>10105796</v>
      </c>
      <c r="F140" s="25" t="s">
        <v>440</v>
      </c>
      <c r="G140" s="48" t="s">
        <v>320</v>
      </c>
      <c r="H140" s="53">
        <v>46056</v>
      </c>
      <c r="I140" s="50">
        <v>46105</v>
      </c>
      <c r="J140" s="14">
        <v>285</v>
      </c>
      <c r="K140" s="14">
        <f>J140</f>
        <v>285</v>
      </c>
      <c r="L140" s="49" t="s">
        <v>311</v>
      </c>
      <c r="M140" s="101"/>
      <c r="N140" s="101"/>
      <c r="O140" s="101"/>
      <c r="P140" s="101"/>
      <c r="Q140" s="101"/>
      <c r="R140" s="101"/>
      <c r="S140" s="101"/>
      <c r="T140" s="101"/>
      <c r="U140" s="101"/>
      <c r="V140" s="101"/>
      <c r="W140" s="101"/>
      <c r="X140" s="101"/>
      <c r="Y140" s="101"/>
      <c r="Z140" s="101">
        <v>0</v>
      </c>
      <c r="AA140" s="101">
        <v>0</v>
      </c>
      <c r="AB140" s="101">
        <v>285</v>
      </c>
      <c r="AC140" s="101">
        <f>IFERROR(VLOOKUP(E140,[5]Sheet1!$A:$F,6,0),0)</f>
        <v>0</v>
      </c>
      <c r="AD140" s="101">
        <v>0</v>
      </c>
      <c r="AE140" s="101">
        <v>0</v>
      </c>
      <c r="AF140" s="101">
        <v>0</v>
      </c>
      <c r="AG140" s="101">
        <v>0</v>
      </c>
      <c r="AH140" s="101">
        <v>0</v>
      </c>
      <c r="AI140" s="101">
        <f t="shared" si="11"/>
        <v>285</v>
      </c>
    </row>
    <row r="141" spans="1:35" ht="18" customHeight="1" x14ac:dyDescent="0.2">
      <c r="A141" s="27" t="str">
        <f t="shared" si="12"/>
        <v>개인</v>
      </c>
      <c r="B141" s="27" t="s">
        <v>1558</v>
      </c>
      <c r="C141" s="27" t="s">
        <v>1554</v>
      </c>
      <c r="D141" s="26">
        <v>1179601595</v>
      </c>
      <c r="E141" s="89">
        <v>10032062</v>
      </c>
      <c r="F141" s="25" t="s">
        <v>1437</v>
      </c>
      <c r="G141" s="48" t="s">
        <v>1477</v>
      </c>
      <c r="H141" s="53">
        <v>46013</v>
      </c>
      <c r="I141" s="50">
        <v>46063</v>
      </c>
      <c r="J141" s="127">
        <v>232.33699999999999</v>
      </c>
      <c r="K141" s="14">
        <f t="shared" si="10"/>
        <v>6.4538055555555554</v>
      </c>
      <c r="L141" s="49" t="s">
        <v>311</v>
      </c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>
        <v>0</v>
      </c>
      <c r="AA141" s="101">
        <v>0</v>
      </c>
      <c r="AB141" s="101">
        <v>0</v>
      </c>
      <c r="AC141" s="101">
        <f>IFERROR(VLOOKUP(E141,[5]Sheet1!$A:$F,6,0),0)</f>
        <v>5.1820000000000004</v>
      </c>
      <c r="AD141" s="101">
        <v>5.16</v>
      </c>
      <c r="AE141" s="101">
        <v>5.1609999999999996</v>
      </c>
      <c r="AF141" s="101">
        <v>5.0960000000000001</v>
      </c>
      <c r="AG141" s="101">
        <v>4.3520000000000003</v>
      </c>
      <c r="AH141" s="101">
        <v>4.5960000000000001</v>
      </c>
      <c r="AI141" s="101">
        <f t="shared" si="11"/>
        <v>29.547000000000001</v>
      </c>
    </row>
    <row r="142" spans="1:35" ht="18" customHeight="1" x14ac:dyDescent="0.2">
      <c r="A142" s="27" t="str">
        <f t="shared" si="12"/>
        <v>개인</v>
      </c>
      <c r="B142" s="27" t="s">
        <v>1569</v>
      </c>
      <c r="C142" s="27" t="s">
        <v>1554</v>
      </c>
      <c r="D142" s="26">
        <v>1219210232</v>
      </c>
      <c r="E142" s="89">
        <v>10032311</v>
      </c>
      <c r="F142" s="25" t="s">
        <v>1449</v>
      </c>
      <c r="G142" s="48" t="s">
        <v>1477</v>
      </c>
      <c r="H142" s="53">
        <v>46008</v>
      </c>
      <c r="I142" s="50">
        <v>46063</v>
      </c>
      <c r="J142" s="127">
        <v>435.15855699999997</v>
      </c>
      <c r="K142" s="14">
        <f t="shared" si="10"/>
        <v>12.087737694444444</v>
      </c>
      <c r="L142" s="49" t="s">
        <v>311</v>
      </c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>
        <v>0</v>
      </c>
      <c r="AA142" s="101">
        <v>0</v>
      </c>
      <c r="AB142" s="101">
        <v>0</v>
      </c>
      <c r="AC142" s="101">
        <f>IFERROR(VLOOKUP(E142,[5]Sheet1!$A:$F,6,0),0)</f>
        <v>2.528</v>
      </c>
      <c r="AD142" s="101">
        <v>4.1920000000000002</v>
      </c>
      <c r="AE142" s="101">
        <v>10.16</v>
      </c>
      <c r="AF142" s="101">
        <v>10.688000000000001</v>
      </c>
      <c r="AG142" s="101">
        <v>10.528</v>
      </c>
      <c r="AH142" s="101">
        <v>9.1519999999999992</v>
      </c>
      <c r="AI142" s="101">
        <f t="shared" si="11"/>
        <v>47.248000000000005</v>
      </c>
    </row>
    <row r="143" spans="1:35" ht="18" customHeight="1" x14ac:dyDescent="0.2">
      <c r="A143" s="27" t="str">
        <f t="shared" si="12"/>
        <v>법인</v>
      </c>
      <c r="B143" s="27" t="s">
        <v>1555</v>
      </c>
      <c r="C143" s="27" t="s">
        <v>1496</v>
      </c>
      <c r="D143" s="26">
        <v>1308202173</v>
      </c>
      <c r="E143" s="89">
        <v>10033270</v>
      </c>
      <c r="F143" s="25" t="s">
        <v>1453</v>
      </c>
      <c r="G143" s="48" t="s">
        <v>1477</v>
      </c>
      <c r="H143" s="53">
        <v>46010</v>
      </c>
      <c r="I143" s="50">
        <v>46087</v>
      </c>
      <c r="J143" s="127">
        <v>2445.0254660000001</v>
      </c>
      <c r="K143" s="14">
        <f t="shared" si="10"/>
        <v>67.917374055555555</v>
      </c>
      <c r="L143" s="49" t="s">
        <v>311</v>
      </c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>
        <v>0</v>
      </c>
      <c r="AA143" s="101">
        <v>0</v>
      </c>
      <c r="AB143" s="101">
        <v>0</v>
      </c>
      <c r="AC143" s="101">
        <f>IFERROR(VLOOKUP(E143,[5]Sheet1!$A:$F,6,0),0)</f>
        <v>50.61</v>
      </c>
      <c r="AD143" s="101">
        <v>70.906000000000006</v>
      </c>
      <c r="AE143" s="101">
        <v>62.372</v>
      </c>
      <c r="AF143" s="101">
        <v>36.195</v>
      </c>
      <c r="AG143" s="101">
        <v>39.765000000000001</v>
      </c>
      <c r="AH143" s="101">
        <v>30.152999999999999</v>
      </c>
      <c r="AI143" s="101">
        <f t="shared" si="11"/>
        <v>290.00100000000003</v>
      </c>
    </row>
    <row r="144" spans="1:35" ht="18" customHeight="1" x14ac:dyDescent="0.2">
      <c r="A144" s="27" t="str">
        <f t="shared" si="12"/>
        <v>법인</v>
      </c>
      <c r="B144" s="27" t="s">
        <v>1560</v>
      </c>
      <c r="C144" s="27" t="s">
        <v>1496</v>
      </c>
      <c r="D144" s="26">
        <v>4028200712</v>
      </c>
      <c r="E144" s="89">
        <v>10037576</v>
      </c>
      <c r="F144" s="25" t="s">
        <v>1457</v>
      </c>
      <c r="G144" s="48" t="s">
        <v>1477</v>
      </c>
      <c r="H144" s="53">
        <v>46007</v>
      </c>
      <c r="I144" s="50">
        <v>46056</v>
      </c>
      <c r="J144" s="127">
        <v>1799</v>
      </c>
      <c r="K144" s="14">
        <f t="shared" si="10"/>
        <v>49.972222222222221</v>
      </c>
      <c r="L144" s="49" t="s">
        <v>311</v>
      </c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>
        <v>0</v>
      </c>
      <c r="AA144" s="101">
        <v>0</v>
      </c>
      <c r="AB144" s="101">
        <v>0</v>
      </c>
      <c r="AC144" s="101">
        <f>IFERROR(VLOOKUP(E144,[5]Sheet1!$A:$F,6,0),0)</f>
        <v>27.908999999999999</v>
      </c>
      <c r="AD144" s="101">
        <v>28.263000000000002</v>
      </c>
      <c r="AE144" s="101">
        <v>25.475999999999999</v>
      </c>
      <c r="AF144" s="101">
        <v>39.83</v>
      </c>
      <c r="AG144" s="101">
        <v>51.531999999999996</v>
      </c>
      <c r="AH144" s="101">
        <v>43.313000000000002</v>
      </c>
      <c r="AI144" s="101">
        <f t="shared" si="11"/>
        <v>216.32299999999998</v>
      </c>
    </row>
    <row r="145" spans="1:35" ht="18" customHeight="1" x14ac:dyDescent="0.2">
      <c r="A145" s="27" t="str">
        <f t="shared" si="12"/>
        <v>개인</v>
      </c>
      <c r="B145" s="27" t="s">
        <v>1567</v>
      </c>
      <c r="C145" s="27" t="s">
        <v>1554</v>
      </c>
      <c r="D145" s="26">
        <v>3069899368</v>
      </c>
      <c r="E145" s="89">
        <v>10066681</v>
      </c>
      <c r="F145" s="25" t="s">
        <v>1441</v>
      </c>
      <c r="G145" s="48" t="s">
        <v>1477</v>
      </c>
      <c r="H145" s="53">
        <v>45957</v>
      </c>
      <c r="I145" s="50">
        <v>46027</v>
      </c>
      <c r="J145" s="14">
        <v>553.04399999999998</v>
      </c>
      <c r="K145" s="14">
        <f t="shared" si="10"/>
        <v>15.362333333333332</v>
      </c>
      <c r="L145" s="49" t="s">
        <v>311</v>
      </c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>
        <v>0</v>
      </c>
      <c r="AA145" s="101">
        <v>0</v>
      </c>
      <c r="AB145" s="101">
        <v>0</v>
      </c>
      <c r="AC145" s="101">
        <f>IFERROR(VLOOKUP(E145,[5]Sheet1!$A:$F,6,0),0)</f>
        <v>4</v>
      </c>
      <c r="AD145" s="101">
        <v>5.4880000000000004</v>
      </c>
      <c r="AE145" s="101">
        <v>4.3840000000000003</v>
      </c>
      <c r="AF145" s="101">
        <v>5.7759999999999998</v>
      </c>
      <c r="AG145" s="101">
        <v>6.6079999999999997</v>
      </c>
      <c r="AH145" s="101">
        <v>6.96</v>
      </c>
      <c r="AI145" s="101">
        <f t="shared" si="11"/>
        <v>33.216000000000001</v>
      </c>
    </row>
    <row r="146" spans="1:35" ht="18" customHeight="1" x14ac:dyDescent="0.2">
      <c r="A146" s="27" t="str">
        <f t="shared" si="12"/>
        <v>개인</v>
      </c>
      <c r="B146" s="27" t="s">
        <v>1570</v>
      </c>
      <c r="C146" s="27" t="s">
        <v>1554</v>
      </c>
      <c r="D146" s="26">
        <v>4109253621</v>
      </c>
      <c r="E146" s="89">
        <v>10071000</v>
      </c>
      <c r="F146" s="25" t="s">
        <v>1445</v>
      </c>
      <c r="G146" s="48" t="s">
        <v>1477</v>
      </c>
      <c r="H146" s="53">
        <v>46035</v>
      </c>
      <c r="I146" s="50">
        <v>46077</v>
      </c>
      <c r="J146" s="127">
        <v>964.66526599999997</v>
      </c>
      <c r="K146" s="14">
        <f t="shared" si="10"/>
        <v>26.79625738888889</v>
      </c>
      <c r="L146" s="49" t="s">
        <v>311</v>
      </c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>
        <v>0</v>
      </c>
      <c r="AA146" s="101">
        <v>0</v>
      </c>
      <c r="AB146" s="101">
        <v>0</v>
      </c>
      <c r="AC146" s="101">
        <f>IFERROR(VLOOKUP(E146,[5]Sheet1!$A:$F,6,0),0)</f>
        <v>6.24</v>
      </c>
      <c r="AD146" s="101">
        <v>12.179</v>
      </c>
      <c r="AE146" s="101">
        <v>14.987</v>
      </c>
      <c r="AF146" s="101">
        <v>14.544</v>
      </c>
      <c r="AG146" s="101">
        <v>12.314</v>
      </c>
      <c r="AH146" s="101">
        <v>10.843</v>
      </c>
      <c r="AI146" s="101">
        <f t="shared" si="11"/>
        <v>71.106999999999999</v>
      </c>
    </row>
    <row r="147" spans="1:35" ht="18" customHeight="1" x14ac:dyDescent="0.2">
      <c r="A147" s="27" t="str">
        <f t="shared" si="12"/>
        <v>개인</v>
      </c>
      <c r="B147" s="27" t="s">
        <v>1558</v>
      </c>
      <c r="C147" s="27" t="s">
        <v>1554</v>
      </c>
      <c r="D147" s="26">
        <v>8531101603</v>
      </c>
      <c r="E147" s="89">
        <v>10073012</v>
      </c>
      <c r="F147" s="25" t="s">
        <v>1469</v>
      </c>
      <c r="G147" s="48" t="s">
        <v>1477</v>
      </c>
      <c r="H147" s="53">
        <v>46041</v>
      </c>
      <c r="I147" s="50">
        <v>46077</v>
      </c>
      <c r="J147" s="127">
        <v>592.75373300000001</v>
      </c>
      <c r="K147" s="14">
        <f t="shared" si="10"/>
        <v>16.465381472222223</v>
      </c>
      <c r="L147" s="49" t="s">
        <v>311</v>
      </c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>
        <v>0</v>
      </c>
      <c r="AA147" s="101">
        <v>0</v>
      </c>
      <c r="AB147" s="101">
        <v>0</v>
      </c>
      <c r="AC147" s="101">
        <f>IFERROR(VLOOKUP(E147,[5]Sheet1!$A:$F,6,0),0)</f>
        <v>13.151999999999999</v>
      </c>
      <c r="AD147" s="101">
        <v>18.738</v>
      </c>
      <c r="AE147" s="101">
        <v>8.0609999999999999</v>
      </c>
      <c r="AF147" s="101">
        <v>0</v>
      </c>
      <c r="AG147" s="101">
        <v>23.335000000000001</v>
      </c>
      <c r="AH147" s="101">
        <v>12.733000000000001</v>
      </c>
      <c r="AI147" s="101">
        <f t="shared" si="11"/>
        <v>76.019000000000005</v>
      </c>
    </row>
    <row r="148" spans="1:35" ht="18" customHeight="1" x14ac:dyDescent="0.2">
      <c r="A148" s="27" t="str">
        <f t="shared" si="12"/>
        <v>개인</v>
      </c>
      <c r="B148" s="27" t="s">
        <v>1567</v>
      </c>
      <c r="C148" s="27" t="s">
        <v>1554</v>
      </c>
      <c r="D148" s="26">
        <v>2819402019</v>
      </c>
      <c r="E148" s="89">
        <v>10089241</v>
      </c>
      <c r="F148" s="25" t="s">
        <v>1451</v>
      </c>
      <c r="G148" s="48" t="s">
        <v>1477</v>
      </c>
      <c r="H148" s="53">
        <v>45968</v>
      </c>
      <c r="I148" s="50">
        <v>46035</v>
      </c>
      <c r="J148" s="127">
        <v>520.08656699999995</v>
      </c>
      <c r="K148" s="14">
        <f t="shared" si="10"/>
        <v>14.446849083333332</v>
      </c>
      <c r="L148" s="49" t="s">
        <v>311</v>
      </c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>
        <v>0</v>
      </c>
      <c r="AA148" s="101">
        <v>0</v>
      </c>
      <c r="AB148" s="101">
        <v>0</v>
      </c>
      <c r="AC148" s="101">
        <f>IFERROR(VLOOKUP(E148,[5]Sheet1!$A:$F,6,0),0)</f>
        <v>0.35199999999999998</v>
      </c>
      <c r="AD148" s="101">
        <v>0.128</v>
      </c>
      <c r="AE148" s="101">
        <v>0.86799999999999999</v>
      </c>
      <c r="AF148" s="101">
        <v>0.39</v>
      </c>
      <c r="AG148" s="101">
        <v>0.497</v>
      </c>
      <c r="AH148" s="101">
        <v>0.19600000000000001</v>
      </c>
      <c r="AI148" s="101">
        <f t="shared" si="11"/>
        <v>2.431</v>
      </c>
    </row>
    <row r="149" spans="1:35" ht="18" customHeight="1" x14ac:dyDescent="0.2">
      <c r="A149" s="27" t="str">
        <f t="shared" si="12"/>
        <v>법인</v>
      </c>
      <c r="B149" s="27" t="s">
        <v>1556</v>
      </c>
      <c r="C149" s="27" t="s">
        <v>1496</v>
      </c>
      <c r="D149" s="26">
        <v>4018206877</v>
      </c>
      <c r="E149" s="89">
        <v>10015488</v>
      </c>
      <c r="F149" s="25" t="s">
        <v>1508</v>
      </c>
      <c r="G149" s="48" t="s">
        <v>1477</v>
      </c>
      <c r="H149" s="53">
        <v>46021</v>
      </c>
      <c r="I149" s="50">
        <v>46105</v>
      </c>
      <c r="J149" s="127">
        <v>293.67259999999999</v>
      </c>
      <c r="K149" s="14">
        <f t="shared" si="10"/>
        <v>8.1575722222222211</v>
      </c>
      <c r="L149" s="49" t="s">
        <v>311</v>
      </c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>
        <v>0</v>
      </c>
      <c r="AA149" s="101">
        <v>0</v>
      </c>
      <c r="AB149" s="101">
        <v>0</v>
      </c>
      <c r="AC149" s="101">
        <f>IFERROR(VLOOKUP(E149,[5]Sheet1!$A:$F,6,0),0)</f>
        <v>0</v>
      </c>
      <c r="AD149" s="101">
        <v>9.92</v>
      </c>
      <c r="AE149" s="101">
        <v>10.32</v>
      </c>
      <c r="AF149" s="101">
        <v>10.144</v>
      </c>
      <c r="AG149" s="101">
        <v>9.8719999999999999</v>
      </c>
      <c r="AH149" s="101">
        <v>10.368</v>
      </c>
      <c r="AI149" s="101">
        <f t="shared" si="11"/>
        <v>50.624000000000002</v>
      </c>
    </row>
    <row r="150" spans="1:35" ht="18" customHeight="1" x14ac:dyDescent="0.2">
      <c r="A150" s="27" t="str">
        <f t="shared" si="12"/>
        <v>개인</v>
      </c>
      <c r="B150" s="27" t="s">
        <v>1555</v>
      </c>
      <c r="C150" s="27" t="s">
        <v>1554</v>
      </c>
      <c r="D150" s="26">
        <v>1199168258</v>
      </c>
      <c r="E150" s="89">
        <v>10032163</v>
      </c>
      <c r="F150" s="25" t="s">
        <v>1509</v>
      </c>
      <c r="G150" s="48" t="s">
        <v>1477</v>
      </c>
      <c r="H150" s="53">
        <v>46021</v>
      </c>
      <c r="I150" s="50">
        <v>46084</v>
      </c>
      <c r="J150" s="127">
        <v>380.11743000000001</v>
      </c>
      <c r="K150" s="14">
        <f t="shared" si="10"/>
        <v>10.5588175</v>
      </c>
      <c r="L150" s="49" t="s">
        <v>311</v>
      </c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>
        <v>0</v>
      </c>
      <c r="AA150" s="101">
        <v>0</v>
      </c>
      <c r="AB150" s="101">
        <v>0</v>
      </c>
      <c r="AC150" s="101">
        <f>IFERROR(VLOOKUP(E150,[5]Sheet1!$A:$F,6,0),0)</f>
        <v>0</v>
      </c>
      <c r="AD150" s="101">
        <v>2.839</v>
      </c>
      <c r="AE150" s="101">
        <v>3.7160000000000002</v>
      </c>
      <c r="AF150" s="101">
        <v>3.149</v>
      </c>
      <c r="AG150" s="101">
        <v>4.9880000000000004</v>
      </c>
      <c r="AH150" s="101">
        <v>3.3530000000000002</v>
      </c>
      <c r="AI150" s="101">
        <f t="shared" si="11"/>
        <v>18.045000000000002</v>
      </c>
    </row>
    <row r="151" spans="1:35" ht="18" customHeight="1" x14ac:dyDescent="0.2">
      <c r="A151" s="27" t="str">
        <f t="shared" si="12"/>
        <v>법인</v>
      </c>
      <c r="B151" s="27" t="s">
        <v>1569</v>
      </c>
      <c r="C151" s="27" t="s">
        <v>1496</v>
      </c>
      <c r="D151" s="26">
        <v>1278218835</v>
      </c>
      <c r="E151" s="89">
        <v>10032900</v>
      </c>
      <c r="F151" s="25" t="s">
        <v>1510</v>
      </c>
      <c r="G151" s="48" t="s">
        <v>1477</v>
      </c>
      <c r="H151" s="53">
        <v>46066</v>
      </c>
      <c r="I151" s="50">
        <v>46098</v>
      </c>
      <c r="J151" s="127">
        <v>976.92091900000003</v>
      </c>
      <c r="K151" s="14">
        <f t="shared" si="10"/>
        <v>27.136692194444446</v>
      </c>
      <c r="L151" s="49" t="s">
        <v>311</v>
      </c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>
        <v>0</v>
      </c>
      <c r="AA151" s="101">
        <v>0</v>
      </c>
      <c r="AB151" s="101">
        <v>0</v>
      </c>
      <c r="AC151" s="101">
        <f>IFERROR(VLOOKUP(E151,[5]Sheet1!$A:$F,6,0),0)</f>
        <v>0</v>
      </c>
      <c r="AD151" s="101">
        <v>19.516999999999999</v>
      </c>
      <c r="AE151" s="101">
        <v>12.515000000000001</v>
      </c>
      <c r="AF151" s="101">
        <v>18.835999999999999</v>
      </c>
      <c r="AG151" s="101">
        <v>17.88</v>
      </c>
      <c r="AH151" s="101">
        <v>25.359000000000002</v>
      </c>
      <c r="AI151" s="101">
        <f t="shared" si="11"/>
        <v>94.106999999999999</v>
      </c>
    </row>
    <row r="152" spans="1:35" ht="18" customHeight="1" x14ac:dyDescent="0.2">
      <c r="A152" s="27" t="str">
        <f t="shared" si="12"/>
        <v>법인</v>
      </c>
      <c r="B152" s="27" t="s">
        <v>1568</v>
      </c>
      <c r="C152" s="27" t="s">
        <v>1496</v>
      </c>
      <c r="D152" s="26">
        <v>1308212287</v>
      </c>
      <c r="E152" s="89">
        <v>10033272</v>
      </c>
      <c r="F152" s="25" t="s">
        <v>263</v>
      </c>
      <c r="G152" s="48" t="s">
        <v>1477</v>
      </c>
      <c r="H152" s="53">
        <v>46007</v>
      </c>
      <c r="I152" s="50">
        <v>46049</v>
      </c>
      <c r="J152" s="127">
        <v>1151.846</v>
      </c>
      <c r="K152" s="14">
        <f t="shared" si="10"/>
        <v>31.995722222222224</v>
      </c>
      <c r="L152" s="49" t="s">
        <v>311</v>
      </c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>
        <v>0</v>
      </c>
      <c r="AA152" s="101">
        <v>0</v>
      </c>
      <c r="AB152" s="101">
        <v>0</v>
      </c>
      <c r="AC152" s="101">
        <f>IFERROR(VLOOKUP(E152,[5]Sheet1!$A:$F,6,0),0)</f>
        <v>0</v>
      </c>
      <c r="AD152" s="101">
        <v>24.794</v>
      </c>
      <c r="AE152" s="101">
        <v>23.052</v>
      </c>
      <c r="AF152" s="101">
        <v>22.318999999999999</v>
      </c>
      <c r="AG152" s="101">
        <v>22.986000000000001</v>
      </c>
      <c r="AH152" s="101">
        <v>21.617000000000001</v>
      </c>
      <c r="AI152" s="101">
        <f t="shared" si="11"/>
        <v>114.76800000000001</v>
      </c>
    </row>
    <row r="153" spans="1:35" ht="18" customHeight="1" x14ac:dyDescent="0.2">
      <c r="A153" s="27" t="str">
        <f t="shared" si="12"/>
        <v>법인</v>
      </c>
      <c r="B153" s="27" t="s">
        <v>1571</v>
      </c>
      <c r="C153" s="27" t="s">
        <v>1496</v>
      </c>
      <c r="D153" s="26">
        <v>1328203391</v>
      </c>
      <c r="E153" s="89">
        <v>10033479</v>
      </c>
      <c r="F153" s="25" t="s">
        <v>1511</v>
      </c>
      <c r="G153" s="48" t="s">
        <v>1477</v>
      </c>
      <c r="H153" s="53"/>
      <c r="I153" s="50">
        <v>45504</v>
      </c>
      <c r="J153" s="127">
        <v>97.091260000000005</v>
      </c>
      <c r="K153" s="14">
        <f t="shared" si="10"/>
        <v>2.6969794444444446</v>
      </c>
      <c r="L153" s="49" t="s">
        <v>311</v>
      </c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>
        <v>0</v>
      </c>
      <c r="AA153" s="101">
        <v>0</v>
      </c>
      <c r="AB153" s="101">
        <v>0</v>
      </c>
      <c r="AC153" s="101">
        <f>IFERROR(VLOOKUP(E153,[5]Sheet1!$A:$F,6,0),0)</f>
        <v>0</v>
      </c>
      <c r="AD153" s="101">
        <v>1.968</v>
      </c>
      <c r="AE153" s="101">
        <v>2.48</v>
      </c>
      <c r="AF153" s="101">
        <v>2.64</v>
      </c>
      <c r="AG153" s="101">
        <v>3.7919999999999998</v>
      </c>
      <c r="AH153" s="101">
        <v>4.1440000000000001</v>
      </c>
      <c r="AI153" s="101">
        <f t="shared" si="11"/>
        <v>15.024000000000001</v>
      </c>
    </row>
    <row r="154" spans="1:35" ht="18" customHeight="1" x14ac:dyDescent="0.2">
      <c r="A154" s="27" t="str">
        <f t="shared" si="12"/>
        <v>개인</v>
      </c>
      <c r="B154" s="27" t="s">
        <v>1559</v>
      </c>
      <c r="C154" s="27" t="s">
        <v>1554</v>
      </c>
      <c r="D154" s="26">
        <v>2062884484</v>
      </c>
      <c r="E154" s="89">
        <v>10034707</v>
      </c>
      <c r="F154" s="25" t="s">
        <v>1512</v>
      </c>
      <c r="G154" s="48" t="s">
        <v>1477</v>
      </c>
      <c r="H154" s="53">
        <v>46077</v>
      </c>
      <c r="I154" s="50">
        <v>46112</v>
      </c>
      <c r="J154" s="127">
        <v>419.00594799999999</v>
      </c>
      <c r="K154" s="14">
        <f t="shared" si="10"/>
        <v>11.639054111111111</v>
      </c>
      <c r="L154" s="49" t="s">
        <v>311</v>
      </c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>
        <v>0</v>
      </c>
      <c r="AA154" s="101">
        <v>0</v>
      </c>
      <c r="AB154" s="101">
        <v>0</v>
      </c>
      <c r="AC154" s="101">
        <f>IFERROR(VLOOKUP(E154,[5]Sheet1!$A:$F,6,0),0)</f>
        <v>0</v>
      </c>
      <c r="AD154" s="101">
        <v>13.442</v>
      </c>
      <c r="AE154" s="101">
        <v>16.544</v>
      </c>
      <c r="AF154" s="101">
        <v>5.2640000000000002</v>
      </c>
      <c r="AG154" s="101">
        <v>12.64</v>
      </c>
      <c r="AH154" s="101">
        <v>10.816000000000001</v>
      </c>
      <c r="AI154" s="101">
        <f t="shared" si="11"/>
        <v>58.706000000000003</v>
      </c>
    </row>
    <row r="155" spans="1:35" ht="18" customHeight="1" x14ac:dyDescent="0.2">
      <c r="A155" s="27" t="str">
        <f t="shared" si="12"/>
        <v>개인</v>
      </c>
      <c r="B155" s="27" t="s">
        <v>1565</v>
      </c>
      <c r="C155" s="27" t="s">
        <v>1554</v>
      </c>
      <c r="D155" s="26">
        <v>3019174529</v>
      </c>
      <c r="E155" s="89">
        <v>10036166</v>
      </c>
      <c r="F155" s="25" t="s">
        <v>1513</v>
      </c>
      <c r="G155" s="48" t="s">
        <v>1477</v>
      </c>
      <c r="H155" s="53">
        <v>46062</v>
      </c>
      <c r="I155" s="50">
        <v>46105</v>
      </c>
      <c r="J155" s="127">
        <v>414.14292499999999</v>
      </c>
      <c r="K155" s="14">
        <f t="shared" si="10"/>
        <v>11.503970138888889</v>
      </c>
      <c r="L155" s="49" t="s">
        <v>311</v>
      </c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>
        <v>0</v>
      </c>
      <c r="AA155" s="101">
        <v>0</v>
      </c>
      <c r="AB155" s="101">
        <v>0</v>
      </c>
      <c r="AC155" s="101">
        <f>IFERROR(VLOOKUP(E155,[5]Sheet1!$A:$F,6,0),0)</f>
        <v>0</v>
      </c>
      <c r="AD155" s="101">
        <v>10.4</v>
      </c>
      <c r="AE155" s="101">
        <v>10.787000000000001</v>
      </c>
      <c r="AF155" s="101">
        <v>10.4</v>
      </c>
      <c r="AG155" s="101">
        <v>10.4</v>
      </c>
      <c r="AH155" s="101">
        <v>10.4</v>
      </c>
      <c r="AI155" s="101">
        <f t="shared" si="11"/>
        <v>52.387</v>
      </c>
    </row>
    <row r="156" spans="1:35" ht="18" customHeight="1" x14ac:dyDescent="0.2">
      <c r="A156" s="27" t="str">
        <f t="shared" si="12"/>
        <v>법인</v>
      </c>
      <c r="B156" s="27" t="s">
        <v>1580</v>
      </c>
      <c r="C156" s="27" t="s">
        <v>1496</v>
      </c>
      <c r="D156" s="26">
        <v>4088213350</v>
      </c>
      <c r="E156" s="89">
        <v>10037919</v>
      </c>
      <c r="F156" s="25" t="s">
        <v>1514</v>
      </c>
      <c r="G156" s="48" t="s">
        <v>1477</v>
      </c>
      <c r="H156" s="53">
        <v>46081</v>
      </c>
      <c r="I156" s="50">
        <v>46072</v>
      </c>
      <c r="J156" s="127">
        <v>3882.7746630000001</v>
      </c>
      <c r="K156" s="14">
        <f t="shared" si="10"/>
        <v>107.85485175000001</v>
      </c>
      <c r="L156" s="49" t="s">
        <v>311</v>
      </c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>
        <v>0</v>
      </c>
      <c r="AA156" s="101">
        <v>0</v>
      </c>
      <c r="AB156" s="101">
        <v>0</v>
      </c>
      <c r="AC156" s="101">
        <f>IFERROR(VLOOKUP(E156,[5]Sheet1!$A:$F,6,0),0)</f>
        <v>0</v>
      </c>
      <c r="AD156" s="101">
        <v>5.1330689999999999</v>
      </c>
      <c r="AE156" s="101">
        <v>5.812665</v>
      </c>
      <c r="AF156" s="101">
        <v>11.327892</v>
      </c>
      <c r="AG156" s="101">
        <v>11.222751000000001</v>
      </c>
      <c r="AH156" s="101">
        <v>11.646489000000001</v>
      </c>
      <c r="AI156" s="101">
        <f t="shared" si="11"/>
        <v>45.142866000000005</v>
      </c>
    </row>
    <row r="157" spans="1:35" ht="18" customHeight="1" x14ac:dyDescent="0.2">
      <c r="A157" s="27" t="str">
        <f t="shared" si="12"/>
        <v>법인</v>
      </c>
      <c r="B157" s="27" t="s">
        <v>1558</v>
      </c>
      <c r="C157" s="27" t="s">
        <v>1496</v>
      </c>
      <c r="D157" s="26">
        <v>5108204682</v>
      </c>
      <c r="E157" s="89">
        <v>10039694</v>
      </c>
      <c r="F157" s="25" t="s">
        <v>1515</v>
      </c>
      <c r="G157" s="48" t="s">
        <v>1477</v>
      </c>
      <c r="H157" s="53">
        <v>46056</v>
      </c>
      <c r="I157" s="50">
        <v>46105</v>
      </c>
      <c r="J157" s="127">
        <v>402.03813000000002</v>
      </c>
      <c r="K157" s="14">
        <f t="shared" si="10"/>
        <v>11.167725833333334</v>
      </c>
      <c r="L157" s="49" t="s">
        <v>311</v>
      </c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>
        <v>0</v>
      </c>
      <c r="AA157" s="101">
        <v>0</v>
      </c>
      <c r="AB157" s="101">
        <v>0</v>
      </c>
      <c r="AC157" s="101">
        <f>IFERROR(VLOOKUP(E157,[5]Sheet1!$A:$F,6,0),0)</f>
        <v>0</v>
      </c>
      <c r="AD157" s="101">
        <v>1.0880000000000001</v>
      </c>
      <c r="AE157" s="101">
        <v>1.2629999999999999</v>
      </c>
      <c r="AF157" s="101">
        <v>3.7410000000000001</v>
      </c>
      <c r="AG157" s="101">
        <v>3.7989999999999999</v>
      </c>
      <c r="AH157" s="101">
        <v>2.589</v>
      </c>
      <c r="AI157" s="101">
        <f t="shared" si="11"/>
        <v>12.48</v>
      </c>
    </row>
    <row r="158" spans="1:35" ht="18" customHeight="1" x14ac:dyDescent="0.2">
      <c r="A158" s="27" t="str">
        <f t="shared" si="12"/>
        <v>법인</v>
      </c>
      <c r="B158" s="27" t="s">
        <v>1566</v>
      </c>
      <c r="C158" s="27" t="s">
        <v>1496</v>
      </c>
      <c r="D158" s="26">
        <v>6178208373</v>
      </c>
      <c r="E158" s="89">
        <v>10041601</v>
      </c>
      <c r="F158" s="25" t="s">
        <v>1493</v>
      </c>
      <c r="G158" s="48" t="s">
        <v>1477</v>
      </c>
      <c r="H158" s="53">
        <v>46084</v>
      </c>
      <c r="I158" s="50">
        <v>46097</v>
      </c>
      <c r="J158" s="127">
        <v>748.70899999999995</v>
      </c>
      <c r="K158" s="14">
        <f t="shared" si="10"/>
        <v>20.797472222222222</v>
      </c>
      <c r="L158" s="49" t="s">
        <v>311</v>
      </c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>
        <v>0</v>
      </c>
      <c r="AA158" s="101">
        <v>0</v>
      </c>
      <c r="AB158" s="101">
        <v>0</v>
      </c>
      <c r="AC158" s="101">
        <f>IFERROR(VLOOKUP(E158,[5]Sheet1!$A:$F,6,0),0)</f>
        <v>0</v>
      </c>
      <c r="AD158" s="101">
        <v>0.25</v>
      </c>
      <c r="AE158" s="101">
        <v>13.843</v>
      </c>
      <c r="AF158" s="101">
        <v>15.162000000000001</v>
      </c>
      <c r="AG158" s="101">
        <v>8.3780000000000001</v>
      </c>
      <c r="AH158" s="101">
        <v>6.6920000000000002</v>
      </c>
      <c r="AI158" s="101">
        <f t="shared" si="11"/>
        <v>44.325000000000003</v>
      </c>
    </row>
    <row r="159" spans="1:35" ht="18" customHeight="1" x14ac:dyDescent="0.2">
      <c r="A159" s="27" t="str">
        <f t="shared" si="12"/>
        <v>법인</v>
      </c>
      <c r="B159" s="27" t="s">
        <v>1569</v>
      </c>
      <c r="C159" s="27" t="s">
        <v>1496</v>
      </c>
      <c r="D159" s="26">
        <v>6218204755</v>
      </c>
      <c r="E159" s="89">
        <v>10041832</v>
      </c>
      <c r="F159" s="25" t="s">
        <v>1516</v>
      </c>
      <c r="G159" s="48" t="s">
        <v>1477</v>
      </c>
      <c r="H159" s="53">
        <v>46058</v>
      </c>
      <c r="I159" s="50">
        <v>46105</v>
      </c>
      <c r="J159" s="127">
        <v>526.33620599999995</v>
      </c>
      <c r="K159" s="14">
        <f t="shared" si="10"/>
        <v>14.620450166666664</v>
      </c>
      <c r="L159" s="49" t="s">
        <v>311</v>
      </c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>
        <v>0</v>
      </c>
      <c r="AA159" s="101">
        <v>0</v>
      </c>
      <c r="AB159" s="101">
        <v>0</v>
      </c>
      <c r="AC159" s="101">
        <f>IFERROR(VLOOKUP(E159,[5]Sheet1!$A:$F,6,0),0)</f>
        <v>0</v>
      </c>
      <c r="AD159" s="101">
        <v>14.112</v>
      </c>
      <c r="AE159" s="101">
        <v>22.64</v>
      </c>
      <c r="AF159" s="101">
        <v>21.2</v>
      </c>
      <c r="AG159" s="101">
        <v>22</v>
      </c>
      <c r="AH159" s="101">
        <v>19.744</v>
      </c>
      <c r="AI159" s="101">
        <f t="shared" si="11"/>
        <v>99.695999999999998</v>
      </c>
    </row>
    <row r="160" spans="1:35" ht="18" customHeight="1" x14ac:dyDescent="0.2">
      <c r="A160" s="27" t="str">
        <f t="shared" si="12"/>
        <v>개인</v>
      </c>
      <c r="B160" s="27" t="s">
        <v>1569</v>
      </c>
      <c r="C160" s="27" t="s">
        <v>1554</v>
      </c>
      <c r="D160" s="26">
        <v>7349700078</v>
      </c>
      <c r="E160" s="89">
        <v>10042527</v>
      </c>
      <c r="F160" s="25" t="s">
        <v>1517</v>
      </c>
      <c r="G160" s="48" t="s">
        <v>1477</v>
      </c>
      <c r="H160" s="53">
        <v>46022</v>
      </c>
      <c r="I160" s="50">
        <v>46084</v>
      </c>
      <c r="J160" s="127">
        <v>514.03909699999997</v>
      </c>
      <c r="K160" s="14">
        <f t="shared" si="10"/>
        <v>14.278863805555554</v>
      </c>
      <c r="L160" s="49" t="s">
        <v>311</v>
      </c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>
        <v>0</v>
      </c>
      <c r="AA160" s="101">
        <v>0</v>
      </c>
      <c r="AB160" s="101">
        <v>0</v>
      </c>
      <c r="AC160" s="101">
        <f>IFERROR(VLOOKUP(E160,[5]Sheet1!$A:$F,6,0),0)</f>
        <v>0</v>
      </c>
      <c r="AD160" s="101">
        <v>12.624000000000001</v>
      </c>
      <c r="AE160" s="101">
        <v>9.6</v>
      </c>
      <c r="AF160" s="101">
        <v>7.93</v>
      </c>
      <c r="AG160" s="101">
        <v>6.6619999999999999</v>
      </c>
      <c r="AH160" s="101">
        <v>6.64</v>
      </c>
      <c r="AI160" s="101">
        <f t="shared" si="11"/>
        <v>43.456000000000003</v>
      </c>
    </row>
    <row r="161" spans="1:35" ht="18" customHeight="1" x14ac:dyDescent="0.2">
      <c r="A161" s="27" t="str">
        <f t="shared" si="12"/>
        <v>법인</v>
      </c>
      <c r="B161" s="27" t="s">
        <v>1556</v>
      </c>
      <c r="C161" s="27" t="s">
        <v>1496</v>
      </c>
      <c r="D161" s="26">
        <v>8078200237</v>
      </c>
      <c r="E161" s="89">
        <v>10042934</v>
      </c>
      <c r="F161" s="25" t="s">
        <v>1518</v>
      </c>
      <c r="G161" s="48" t="s">
        <v>1477</v>
      </c>
      <c r="H161" s="53">
        <v>46090</v>
      </c>
      <c r="I161" s="50">
        <v>46094</v>
      </c>
      <c r="J161" s="127">
        <v>261.79761400000001</v>
      </c>
      <c r="K161" s="14">
        <f t="shared" si="10"/>
        <v>7.272155944444445</v>
      </c>
      <c r="L161" s="49" t="s">
        <v>311</v>
      </c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>
        <v>0</v>
      </c>
      <c r="AA161" s="101">
        <v>0</v>
      </c>
      <c r="AB161" s="101">
        <v>0</v>
      </c>
      <c r="AC161" s="101">
        <f>IFERROR(VLOOKUP(E161,[5]Sheet1!$A:$F,6,0),0)</f>
        <v>0</v>
      </c>
      <c r="AD161" s="101">
        <v>0.13500000000000001</v>
      </c>
      <c r="AE161" s="101">
        <v>0.435</v>
      </c>
      <c r="AF161" s="101">
        <v>1.0720000000000001</v>
      </c>
      <c r="AG161" s="101">
        <v>1.1830000000000001</v>
      </c>
      <c r="AH161" s="101">
        <v>1.0469999999999999</v>
      </c>
      <c r="AI161" s="101">
        <f t="shared" si="11"/>
        <v>3.8719999999999999</v>
      </c>
    </row>
    <row r="162" spans="1:35" ht="18" customHeight="1" x14ac:dyDescent="0.2">
      <c r="A162" s="27" t="str">
        <f t="shared" si="12"/>
        <v>개인</v>
      </c>
      <c r="B162" s="27" t="s">
        <v>1564</v>
      </c>
      <c r="C162" s="27" t="s">
        <v>1554</v>
      </c>
      <c r="D162" s="26">
        <v>3019209364</v>
      </c>
      <c r="E162" s="89">
        <v>10046609</v>
      </c>
      <c r="F162" s="25" t="s">
        <v>1519</v>
      </c>
      <c r="G162" s="48" t="s">
        <v>1477</v>
      </c>
      <c r="H162" s="53">
        <v>46063</v>
      </c>
      <c r="I162" s="50">
        <v>46107</v>
      </c>
      <c r="J162" s="127">
        <v>406.78309999999999</v>
      </c>
      <c r="K162" s="14">
        <f t="shared" si="10"/>
        <v>11.299530555555556</v>
      </c>
      <c r="L162" s="49" t="s">
        <v>311</v>
      </c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>
        <v>0</v>
      </c>
      <c r="AA162" s="101">
        <v>0</v>
      </c>
      <c r="AB162" s="101">
        <v>0</v>
      </c>
      <c r="AC162" s="101">
        <f>IFERROR(VLOOKUP(E162,[5]Sheet1!$A:$F,6,0),0)</f>
        <v>0</v>
      </c>
      <c r="AD162" s="101">
        <v>10.4</v>
      </c>
      <c r="AE162" s="101">
        <v>10.4</v>
      </c>
      <c r="AF162" s="101">
        <v>10.4</v>
      </c>
      <c r="AG162" s="101">
        <v>10.4</v>
      </c>
      <c r="AH162" s="101">
        <v>10.4</v>
      </c>
      <c r="AI162" s="101">
        <f t="shared" si="11"/>
        <v>52</v>
      </c>
    </row>
    <row r="163" spans="1:35" ht="18" customHeight="1" x14ac:dyDescent="0.2">
      <c r="A163" s="27" t="str">
        <f t="shared" si="12"/>
        <v>개인</v>
      </c>
      <c r="B163" s="27" t="s">
        <v>1558</v>
      </c>
      <c r="C163" s="27" t="s">
        <v>1554</v>
      </c>
      <c r="D163" s="26">
        <v>3929300084</v>
      </c>
      <c r="E163" s="89">
        <v>10050868</v>
      </c>
      <c r="F163" s="25" t="s">
        <v>1520</v>
      </c>
      <c r="G163" s="48" t="s">
        <v>1477</v>
      </c>
      <c r="H163" s="53">
        <v>46091</v>
      </c>
      <c r="I163" s="50">
        <v>46112</v>
      </c>
      <c r="J163" s="127">
        <v>337.45795199999998</v>
      </c>
      <c r="K163" s="14">
        <f t="shared" si="10"/>
        <v>9.3738320000000002</v>
      </c>
      <c r="L163" s="49" t="s">
        <v>311</v>
      </c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>
        <v>0</v>
      </c>
      <c r="AA163" s="101">
        <v>0</v>
      </c>
      <c r="AB163" s="101">
        <v>0</v>
      </c>
      <c r="AC163" s="101">
        <f>IFERROR(VLOOKUP(E163,[5]Sheet1!$A:$F,6,0),0)</f>
        <v>0</v>
      </c>
      <c r="AD163" s="101">
        <v>3.5019999999999998</v>
      </c>
      <c r="AE163" s="101">
        <v>6.4039999999999999</v>
      </c>
      <c r="AF163" s="101">
        <v>6.2439999999999998</v>
      </c>
      <c r="AG163" s="101">
        <v>8.08</v>
      </c>
      <c r="AH163" s="101">
        <v>10.192</v>
      </c>
      <c r="AI163" s="101">
        <f t="shared" si="11"/>
        <v>34.421999999999997</v>
      </c>
    </row>
    <row r="164" spans="1:35" ht="18" customHeight="1" x14ac:dyDescent="0.2">
      <c r="A164" s="27" t="str">
        <f t="shared" si="12"/>
        <v>개인</v>
      </c>
      <c r="B164" s="27" t="s">
        <v>1566</v>
      </c>
      <c r="C164" s="27" t="s">
        <v>1554</v>
      </c>
      <c r="D164" s="26">
        <v>6739301513</v>
      </c>
      <c r="E164" s="89">
        <v>10084743</v>
      </c>
      <c r="F164" s="25" t="s">
        <v>1521</v>
      </c>
      <c r="G164" s="48" t="s">
        <v>1477</v>
      </c>
      <c r="H164" s="53">
        <v>46036</v>
      </c>
      <c r="I164" s="50">
        <v>46091</v>
      </c>
      <c r="J164" s="127">
        <v>334.02353199999999</v>
      </c>
      <c r="K164" s="14">
        <f t="shared" si="10"/>
        <v>9.2784314444444433</v>
      </c>
      <c r="L164" s="49" t="s">
        <v>311</v>
      </c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>
        <v>0</v>
      </c>
      <c r="AA164" s="101">
        <v>0</v>
      </c>
      <c r="AB164" s="101">
        <v>0</v>
      </c>
      <c r="AC164" s="101">
        <f>IFERROR(VLOOKUP(E164,[5]Sheet1!$A:$F,6,0),0)</f>
        <v>0</v>
      </c>
      <c r="AD164" s="101">
        <v>13.013</v>
      </c>
      <c r="AE164" s="101">
        <v>11.487</v>
      </c>
      <c r="AF164" s="101">
        <v>10.983000000000001</v>
      </c>
      <c r="AG164" s="101">
        <v>12.279</v>
      </c>
      <c r="AH164" s="101">
        <v>10.499000000000001</v>
      </c>
      <c r="AI164" s="101">
        <f t="shared" si="11"/>
        <v>58.261000000000003</v>
      </c>
    </row>
    <row r="165" spans="1:35" ht="18" customHeight="1" x14ac:dyDescent="0.2">
      <c r="A165" s="27" t="str">
        <f t="shared" si="12"/>
        <v>개인</v>
      </c>
      <c r="B165" s="27" t="s">
        <v>1579</v>
      </c>
      <c r="C165" s="27" t="s">
        <v>1554</v>
      </c>
      <c r="D165" s="26">
        <v>8765600670</v>
      </c>
      <c r="E165" s="89">
        <v>10087161</v>
      </c>
      <c r="F165" s="25" t="s">
        <v>1522</v>
      </c>
      <c r="G165" s="48" t="s">
        <v>1477</v>
      </c>
      <c r="H165" s="53">
        <v>46014</v>
      </c>
      <c r="I165" s="50">
        <v>46078</v>
      </c>
      <c r="J165" s="127">
        <v>239.135897</v>
      </c>
      <c r="K165" s="14">
        <f t="shared" si="10"/>
        <v>6.6426638055555554</v>
      </c>
      <c r="L165" s="49" t="s">
        <v>311</v>
      </c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>
        <v>0</v>
      </c>
      <c r="AA165" s="101">
        <v>0</v>
      </c>
      <c r="AB165" s="101">
        <v>0</v>
      </c>
      <c r="AC165" s="101">
        <f>IFERROR(VLOOKUP(E165,[5]Sheet1!$A:$F,6,0),0)</f>
        <v>0</v>
      </c>
      <c r="AD165" s="101">
        <v>1.004</v>
      </c>
      <c r="AE165" s="101">
        <v>1.4690000000000001</v>
      </c>
      <c r="AF165" s="101">
        <v>1.865</v>
      </c>
      <c r="AG165" s="101">
        <v>2.569</v>
      </c>
      <c r="AH165" s="101">
        <v>2.5539999999999998</v>
      </c>
      <c r="AI165" s="101">
        <f t="shared" si="11"/>
        <v>9.4610000000000003</v>
      </c>
    </row>
    <row r="166" spans="1:35" ht="18" customHeight="1" x14ac:dyDescent="0.2">
      <c r="A166" s="27" t="str">
        <f t="shared" si="12"/>
        <v>개인</v>
      </c>
      <c r="B166" s="27" t="s">
        <v>1570</v>
      </c>
      <c r="C166" s="27" t="s">
        <v>1554</v>
      </c>
      <c r="D166" s="26">
        <v>7469101651</v>
      </c>
      <c r="E166" s="89">
        <v>10111228</v>
      </c>
      <c r="F166" s="25" t="s">
        <v>1523</v>
      </c>
      <c r="G166" s="48" t="s">
        <v>1477</v>
      </c>
      <c r="H166" s="53">
        <v>46090</v>
      </c>
      <c r="I166" s="50">
        <v>46119</v>
      </c>
      <c r="J166" s="127">
        <v>839.23954400000002</v>
      </c>
      <c r="K166" s="14">
        <f t="shared" si="10"/>
        <v>23.312209555555555</v>
      </c>
      <c r="L166" s="49" t="s">
        <v>311</v>
      </c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>
        <v>0</v>
      </c>
      <c r="AA166" s="101">
        <v>0</v>
      </c>
      <c r="AB166" s="101">
        <v>0</v>
      </c>
      <c r="AC166" s="101">
        <f>IFERROR(VLOOKUP(E166,[5]Sheet1!$A:$F,6,0),0)</f>
        <v>0</v>
      </c>
      <c r="AD166" s="101">
        <v>4.5599999999999996</v>
      </c>
      <c r="AE166" s="101">
        <v>16.64</v>
      </c>
      <c r="AF166" s="101">
        <v>19.922999999999998</v>
      </c>
      <c r="AG166" s="101">
        <v>16.05</v>
      </c>
      <c r="AH166" s="101">
        <v>22.093</v>
      </c>
      <c r="AI166" s="101">
        <f t="shared" si="11"/>
        <v>79.266000000000005</v>
      </c>
    </row>
    <row r="167" spans="1:35" ht="18" customHeight="1" x14ac:dyDescent="0.2">
      <c r="A167" s="27" t="str">
        <f t="shared" si="12"/>
        <v>법인</v>
      </c>
      <c r="B167" s="27" t="s">
        <v>1558</v>
      </c>
      <c r="C167" s="27" t="s">
        <v>1496</v>
      </c>
      <c r="D167" s="26">
        <v>1198201274</v>
      </c>
      <c r="E167" s="89">
        <v>10032148</v>
      </c>
      <c r="F167" s="25" t="s">
        <v>1526</v>
      </c>
      <c r="G167" s="48" t="s">
        <v>1477</v>
      </c>
      <c r="H167" s="53">
        <v>46126</v>
      </c>
      <c r="I167" s="50">
        <v>46134</v>
      </c>
      <c r="J167" s="127">
        <v>452.22177699999997</v>
      </c>
      <c r="K167" s="14">
        <f t="shared" si="10"/>
        <v>12.561716027777777</v>
      </c>
      <c r="L167" s="49" t="s">
        <v>311</v>
      </c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>
        <v>0</v>
      </c>
      <c r="AA167" s="101">
        <v>0</v>
      </c>
      <c r="AB167" s="101">
        <v>0</v>
      </c>
      <c r="AC167" s="101">
        <f>IFERROR(VLOOKUP(E167,[5]Sheet1!$A:$F,6,0),0)</f>
        <v>0</v>
      </c>
      <c r="AD167" s="101">
        <v>0</v>
      </c>
      <c r="AE167" s="101">
        <v>7.1890000000000001</v>
      </c>
      <c r="AF167" s="101">
        <v>12.141999999999999</v>
      </c>
      <c r="AG167" s="101">
        <v>9.5419999999999998</v>
      </c>
      <c r="AH167" s="101">
        <v>8.2420000000000009</v>
      </c>
      <c r="AI167" s="101">
        <f t="shared" si="11"/>
        <v>37.114999999999995</v>
      </c>
    </row>
    <row r="168" spans="1:35" ht="18" customHeight="1" x14ac:dyDescent="0.2">
      <c r="A168" s="27" t="str">
        <f t="shared" si="12"/>
        <v>법인</v>
      </c>
      <c r="B168" s="27" t="s">
        <v>1559</v>
      </c>
      <c r="C168" s="27" t="s">
        <v>1496</v>
      </c>
      <c r="D168" s="26">
        <v>1288207234</v>
      </c>
      <c r="E168" s="89">
        <v>10033027</v>
      </c>
      <c r="F168" s="25" t="s">
        <v>1527</v>
      </c>
      <c r="G168" s="48" t="s">
        <v>1477</v>
      </c>
      <c r="H168" s="53">
        <v>46021</v>
      </c>
      <c r="I168" s="50">
        <v>46072</v>
      </c>
      <c r="J168" s="127">
        <v>395.75952000000001</v>
      </c>
      <c r="K168" s="14">
        <f t="shared" si="10"/>
        <v>10.993320000000001</v>
      </c>
      <c r="L168" s="49" t="s">
        <v>311</v>
      </c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>
        <v>0</v>
      </c>
      <c r="AA168" s="101">
        <v>0</v>
      </c>
      <c r="AB168" s="101">
        <v>0</v>
      </c>
      <c r="AC168" s="101">
        <f>IFERROR(VLOOKUP(E168,[5]Sheet1!$A:$F,6,0),0)</f>
        <v>0</v>
      </c>
      <c r="AD168" s="101">
        <v>0</v>
      </c>
      <c r="AE168" s="101">
        <v>3.6160000000000001</v>
      </c>
      <c r="AF168" s="101">
        <v>3.863</v>
      </c>
      <c r="AG168" s="101">
        <v>10.542999999999999</v>
      </c>
      <c r="AH168" s="101">
        <v>9.7620000000000005</v>
      </c>
      <c r="AI168" s="101">
        <f t="shared" si="11"/>
        <v>27.783999999999999</v>
      </c>
    </row>
    <row r="169" spans="1:35" ht="18" customHeight="1" x14ac:dyDescent="0.2">
      <c r="A169" s="27" t="str">
        <f t="shared" si="12"/>
        <v>개인</v>
      </c>
      <c r="B169" s="27">
        <v>4</v>
      </c>
      <c r="C169" s="148">
        <v>776</v>
      </c>
      <c r="D169" s="26">
        <v>2059954823</v>
      </c>
      <c r="E169" s="89">
        <v>10034681</v>
      </c>
      <c r="F169" s="25" t="s">
        <v>1528</v>
      </c>
      <c r="G169" s="48" t="s">
        <v>1477</v>
      </c>
      <c r="H169" s="53">
        <v>46051</v>
      </c>
      <c r="I169" s="50">
        <v>46098</v>
      </c>
      <c r="J169" s="127">
        <v>1068.606726</v>
      </c>
      <c r="K169" s="14">
        <f t="shared" si="10"/>
        <v>29.683520166666668</v>
      </c>
      <c r="L169" s="49" t="s">
        <v>311</v>
      </c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>
        <v>0</v>
      </c>
      <c r="AA169" s="101">
        <v>0</v>
      </c>
      <c r="AB169" s="101">
        <v>0</v>
      </c>
      <c r="AC169" s="101">
        <f>IFERROR(VLOOKUP(E169,[5]Sheet1!$A:$F,6,0),0)</f>
        <v>0</v>
      </c>
      <c r="AD169" s="101">
        <v>0</v>
      </c>
      <c r="AE169" s="101">
        <v>5.07</v>
      </c>
      <c r="AF169" s="101">
        <v>9.9250000000000007</v>
      </c>
      <c r="AG169" s="101">
        <v>10.323</v>
      </c>
      <c r="AH169" s="101">
        <v>8.2129999999999992</v>
      </c>
      <c r="AI169" s="101">
        <f t="shared" si="11"/>
        <v>33.530999999999999</v>
      </c>
    </row>
    <row r="170" spans="1:35" ht="18" customHeight="1" x14ac:dyDescent="0.2">
      <c r="A170" s="27" t="str">
        <f t="shared" si="12"/>
        <v>법인</v>
      </c>
      <c r="B170" s="27" t="s">
        <v>1580</v>
      </c>
      <c r="C170" s="27" t="s">
        <v>1496</v>
      </c>
      <c r="D170" s="26">
        <v>4088208124</v>
      </c>
      <c r="E170" s="89">
        <v>10037916</v>
      </c>
      <c r="F170" s="25" t="s">
        <v>223</v>
      </c>
      <c r="G170" s="48" t="s">
        <v>1477</v>
      </c>
      <c r="H170" s="53">
        <v>46143</v>
      </c>
      <c r="I170" s="50">
        <v>46155</v>
      </c>
      <c r="J170" s="127">
        <v>1857.8897569999999</v>
      </c>
      <c r="K170" s="14">
        <f t="shared" si="10"/>
        <v>51.608048805555555</v>
      </c>
      <c r="L170" s="49" t="s">
        <v>311</v>
      </c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>
        <v>0</v>
      </c>
      <c r="AA170" s="101">
        <v>0</v>
      </c>
      <c r="AB170" s="101">
        <v>0</v>
      </c>
      <c r="AC170" s="101">
        <f>IFERROR(VLOOKUP(E170,[5]Sheet1!$A:$F,6,0),0)</f>
        <v>0</v>
      </c>
      <c r="AD170" s="101">
        <v>0</v>
      </c>
      <c r="AE170" s="101">
        <v>4.2833870000000003</v>
      </c>
      <c r="AF170" s="101">
        <v>11.846477999999999</v>
      </c>
      <c r="AG170" s="101">
        <v>11.571904999999999</v>
      </c>
      <c r="AH170" s="101">
        <v>12.317076</v>
      </c>
      <c r="AI170" s="101">
        <f t="shared" si="11"/>
        <v>40.018845999999996</v>
      </c>
    </row>
    <row r="171" spans="1:35" ht="18" customHeight="1" x14ac:dyDescent="0.2">
      <c r="A171" s="27" t="str">
        <f t="shared" si="12"/>
        <v>법인</v>
      </c>
      <c r="B171" s="27" t="s">
        <v>1561</v>
      </c>
      <c r="C171" s="27" t="s">
        <v>1496</v>
      </c>
      <c r="D171" s="26">
        <v>6038203952</v>
      </c>
      <c r="E171" s="89">
        <v>10040523</v>
      </c>
      <c r="F171" s="25" t="s">
        <v>1529</v>
      </c>
      <c r="G171" s="48" t="s">
        <v>1477</v>
      </c>
      <c r="H171" s="53">
        <v>46101</v>
      </c>
      <c r="I171" s="50">
        <v>46105</v>
      </c>
      <c r="J171" s="127">
        <v>2188.5124689999998</v>
      </c>
      <c r="K171" s="14">
        <f t="shared" si="10"/>
        <v>60.79201302777777</v>
      </c>
      <c r="L171" s="49" t="s">
        <v>311</v>
      </c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>
        <v>0</v>
      </c>
      <c r="AA171" s="101">
        <v>0</v>
      </c>
      <c r="AB171" s="101">
        <v>0</v>
      </c>
      <c r="AC171" s="101">
        <f>IFERROR(VLOOKUP(E171,[5]Sheet1!$A:$F,6,0),0)</f>
        <v>0</v>
      </c>
      <c r="AD171" s="101">
        <v>0</v>
      </c>
      <c r="AE171" s="101">
        <v>9.3350000000000009</v>
      </c>
      <c r="AF171" s="101">
        <v>7.8239999999999998</v>
      </c>
      <c r="AG171" s="101">
        <v>12.727</v>
      </c>
      <c r="AH171" s="101">
        <v>16.71</v>
      </c>
      <c r="AI171" s="101">
        <f t="shared" si="11"/>
        <v>46.596000000000004</v>
      </c>
    </row>
    <row r="172" spans="1:35" ht="18" customHeight="1" x14ac:dyDescent="0.2">
      <c r="A172" s="27" t="str">
        <f t="shared" si="12"/>
        <v>법인</v>
      </c>
      <c r="B172" s="27" t="s">
        <v>1566</v>
      </c>
      <c r="C172" s="27" t="s">
        <v>1496</v>
      </c>
      <c r="D172" s="26">
        <v>6058202148</v>
      </c>
      <c r="E172" s="89">
        <v>10040635</v>
      </c>
      <c r="F172" s="25" t="s">
        <v>1491</v>
      </c>
      <c r="G172" s="48" t="s">
        <v>1477</v>
      </c>
      <c r="H172" s="53">
        <v>46073</v>
      </c>
      <c r="I172" s="50">
        <v>46108</v>
      </c>
      <c r="J172" s="127">
        <v>812.93</v>
      </c>
      <c r="K172" s="14">
        <f t="shared" si="10"/>
        <v>22.581388888888888</v>
      </c>
      <c r="L172" s="49" t="s">
        <v>311</v>
      </c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>
        <v>0</v>
      </c>
      <c r="AA172" s="101">
        <v>0</v>
      </c>
      <c r="AB172" s="101">
        <v>0</v>
      </c>
      <c r="AC172" s="101">
        <f>IFERROR(VLOOKUP(E172,[5]Sheet1!$A:$F,6,0),0)</f>
        <v>0</v>
      </c>
      <c r="AD172" s="101">
        <v>0</v>
      </c>
      <c r="AE172" s="101">
        <v>12.814</v>
      </c>
      <c r="AF172" s="101">
        <v>10.819000000000001</v>
      </c>
      <c r="AG172" s="101">
        <v>11.180999999999999</v>
      </c>
      <c r="AH172" s="101">
        <v>11.125</v>
      </c>
      <c r="AI172" s="101">
        <f t="shared" si="11"/>
        <v>45.939</v>
      </c>
    </row>
    <row r="173" spans="1:35" ht="18" customHeight="1" x14ac:dyDescent="0.2">
      <c r="A173" s="27" t="str">
        <f t="shared" si="12"/>
        <v>법인</v>
      </c>
      <c r="B173" s="27" t="s">
        <v>1563</v>
      </c>
      <c r="C173" s="27" t="s">
        <v>1496</v>
      </c>
      <c r="D173" s="26">
        <v>6068211790</v>
      </c>
      <c r="E173" s="89">
        <v>10040724</v>
      </c>
      <c r="F173" s="25" t="s">
        <v>1530</v>
      </c>
      <c r="G173" s="48" t="s">
        <v>321</v>
      </c>
      <c r="H173" s="53">
        <v>46175</v>
      </c>
      <c r="I173" s="50">
        <v>46196</v>
      </c>
      <c r="J173" s="127">
        <v>417.89190000000002</v>
      </c>
      <c r="K173" s="14">
        <f t="shared" si="10"/>
        <v>11.608108333333334</v>
      </c>
      <c r="L173" s="49" t="s">
        <v>311</v>
      </c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>
        <v>0</v>
      </c>
      <c r="AA173" s="101">
        <v>0</v>
      </c>
      <c r="AB173" s="101">
        <v>0</v>
      </c>
      <c r="AC173" s="101">
        <f>IFERROR(VLOOKUP(E173,[5]Sheet1!$A:$F,6,0),0)</f>
        <v>0</v>
      </c>
      <c r="AD173" s="101">
        <v>0</v>
      </c>
      <c r="AE173" s="101">
        <v>417.89190000000002</v>
      </c>
      <c r="AF173" s="101">
        <v>0</v>
      </c>
      <c r="AG173" s="101">
        <v>0</v>
      </c>
      <c r="AH173" s="101">
        <v>0</v>
      </c>
      <c r="AI173" s="101">
        <f t="shared" si="11"/>
        <v>417.89190000000002</v>
      </c>
    </row>
    <row r="174" spans="1:35" ht="18" customHeight="1" x14ac:dyDescent="0.2">
      <c r="A174" s="27" t="str">
        <f t="shared" si="12"/>
        <v>법인</v>
      </c>
      <c r="B174" s="27" t="s">
        <v>1559</v>
      </c>
      <c r="C174" s="27" t="s">
        <v>1496</v>
      </c>
      <c r="D174" s="26">
        <v>6158210039</v>
      </c>
      <c r="E174" s="89">
        <v>10041416</v>
      </c>
      <c r="F174" s="25" t="s">
        <v>209</v>
      </c>
      <c r="G174" s="48" t="s">
        <v>1477</v>
      </c>
      <c r="H174" s="53">
        <v>46021</v>
      </c>
      <c r="I174" s="50">
        <v>46064</v>
      </c>
      <c r="J174" s="127">
        <v>994.80634999999995</v>
      </c>
      <c r="K174" s="14">
        <f t="shared" si="10"/>
        <v>27.633509722222222</v>
      </c>
      <c r="L174" s="49" t="s">
        <v>311</v>
      </c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>
        <v>0</v>
      </c>
      <c r="AA174" s="101">
        <v>0</v>
      </c>
      <c r="AB174" s="101">
        <v>0</v>
      </c>
      <c r="AC174" s="101">
        <f>IFERROR(VLOOKUP(E174,[5]Sheet1!$A:$F,6,0),0)</f>
        <v>0</v>
      </c>
      <c r="AD174" s="101">
        <v>0</v>
      </c>
      <c r="AE174" s="101">
        <v>14.06</v>
      </c>
      <c r="AF174" s="101">
        <v>17.562999999999999</v>
      </c>
      <c r="AG174" s="101">
        <v>13.335000000000001</v>
      </c>
      <c r="AH174" s="101">
        <v>13.808999999999999</v>
      </c>
      <c r="AI174" s="101">
        <f t="shared" si="11"/>
        <v>58.766999999999996</v>
      </c>
    </row>
    <row r="175" spans="1:35" ht="18" customHeight="1" x14ac:dyDescent="0.2">
      <c r="A175" s="27" t="str">
        <f t="shared" si="12"/>
        <v>개인</v>
      </c>
      <c r="B175" s="27">
        <v>1</v>
      </c>
      <c r="C175" s="148">
        <v>982</v>
      </c>
      <c r="D175" s="26">
        <v>2049371905</v>
      </c>
      <c r="E175" s="89">
        <v>10045059</v>
      </c>
      <c r="F175" s="25" t="s">
        <v>1531</v>
      </c>
      <c r="G175" s="48" t="s">
        <v>1477</v>
      </c>
      <c r="H175" s="53">
        <v>46142</v>
      </c>
      <c r="I175" s="50">
        <v>46161</v>
      </c>
      <c r="J175" s="127">
        <v>346.39888000000002</v>
      </c>
      <c r="K175" s="14">
        <f t="shared" si="10"/>
        <v>9.6221911111111122</v>
      </c>
      <c r="L175" s="49" t="s">
        <v>311</v>
      </c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>
        <v>0</v>
      </c>
      <c r="AA175" s="101">
        <v>0</v>
      </c>
      <c r="AB175" s="101">
        <v>0</v>
      </c>
      <c r="AC175" s="101">
        <f>IFERROR(VLOOKUP(E175,[5]Sheet1!$A:$F,6,0),0)</f>
        <v>0</v>
      </c>
      <c r="AD175" s="101">
        <v>0</v>
      </c>
      <c r="AE175" s="101">
        <v>1.744</v>
      </c>
      <c r="AF175" s="101">
        <v>14.672000000000001</v>
      </c>
      <c r="AG175" s="101">
        <v>14.08</v>
      </c>
      <c r="AH175" s="101">
        <v>13.472</v>
      </c>
      <c r="AI175" s="101">
        <f t="shared" si="11"/>
        <v>43.968000000000004</v>
      </c>
    </row>
    <row r="176" spans="1:35" ht="18" customHeight="1" x14ac:dyDescent="0.2">
      <c r="A176" s="27" t="str">
        <f t="shared" si="12"/>
        <v>개인</v>
      </c>
      <c r="B176" s="27">
        <v>10</v>
      </c>
      <c r="C176" s="148">
        <v>250</v>
      </c>
      <c r="D176" s="26">
        <v>5213100103</v>
      </c>
      <c r="E176" s="89">
        <v>10061894</v>
      </c>
      <c r="F176" s="25" t="s">
        <v>1532</v>
      </c>
      <c r="G176" s="48" t="s">
        <v>1477</v>
      </c>
      <c r="H176" s="53">
        <v>46128</v>
      </c>
      <c r="I176" s="50">
        <v>46147</v>
      </c>
      <c r="J176" s="127">
        <v>514.23769600000003</v>
      </c>
      <c r="K176" s="14">
        <f t="shared" si="10"/>
        <v>14.284380444444444</v>
      </c>
      <c r="L176" s="49" t="s">
        <v>311</v>
      </c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>
        <v>0</v>
      </c>
      <c r="AA176" s="101">
        <v>0</v>
      </c>
      <c r="AB176" s="101">
        <v>0</v>
      </c>
      <c r="AC176" s="101">
        <f>IFERROR(VLOOKUP(E176,[5]Sheet1!$A:$F,6,0),0)</f>
        <v>0</v>
      </c>
      <c r="AD176" s="101">
        <v>0</v>
      </c>
      <c r="AE176" s="101">
        <v>0.86399999999999999</v>
      </c>
      <c r="AF176" s="101">
        <v>16.48</v>
      </c>
      <c r="AG176" s="101">
        <v>9.0559999999999992</v>
      </c>
      <c r="AH176" s="101">
        <v>0.224</v>
      </c>
      <c r="AI176" s="101">
        <f t="shared" si="11"/>
        <v>26.623999999999999</v>
      </c>
    </row>
    <row r="177" spans="1:35" ht="18" customHeight="1" x14ac:dyDescent="0.2">
      <c r="A177" s="27" t="str">
        <f t="shared" si="12"/>
        <v>개인</v>
      </c>
      <c r="B177" s="27">
        <v>3</v>
      </c>
      <c r="C177" s="148">
        <v>887</v>
      </c>
      <c r="D177" s="26">
        <v>1880502389</v>
      </c>
      <c r="E177" s="89">
        <v>10077968</v>
      </c>
      <c r="F177" s="25" t="s">
        <v>1533</v>
      </c>
      <c r="G177" s="48" t="s">
        <v>1477</v>
      </c>
      <c r="H177" s="53">
        <v>46121</v>
      </c>
      <c r="I177" s="50">
        <v>46140</v>
      </c>
      <c r="J177" s="127">
        <v>389.62643700000001</v>
      </c>
      <c r="K177" s="14">
        <f t="shared" si="10"/>
        <v>10.822956583333333</v>
      </c>
      <c r="L177" s="49" t="s">
        <v>311</v>
      </c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>
        <v>0</v>
      </c>
      <c r="AA177" s="101">
        <v>0</v>
      </c>
      <c r="AB177" s="101">
        <v>0</v>
      </c>
      <c r="AC177" s="101">
        <f>IFERROR(VLOOKUP(E177,[5]Sheet1!$A:$F,6,0),0)</f>
        <v>0</v>
      </c>
      <c r="AD177" s="101">
        <v>0</v>
      </c>
      <c r="AE177" s="101">
        <v>6.0999999999999999E-2</v>
      </c>
      <c r="AF177" s="101">
        <v>6.5259999999999998</v>
      </c>
      <c r="AG177" s="101">
        <v>16.64</v>
      </c>
      <c r="AH177" s="101">
        <v>4.1470000000000002</v>
      </c>
      <c r="AI177" s="101">
        <f t="shared" si="11"/>
        <v>27.374000000000002</v>
      </c>
    </row>
    <row r="178" spans="1:35" ht="18" customHeight="1" x14ac:dyDescent="0.2">
      <c r="A178" s="27" t="str">
        <f t="shared" si="12"/>
        <v>개인</v>
      </c>
      <c r="B178" s="27">
        <v>2</v>
      </c>
      <c r="C178" s="148">
        <v>926</v>
      </c>
      <c r="D178" s="26">
        <v>2219201090</v>
      </c>
      <c r="E178" s="89">
        <v>10083322</v>
      </c>
      <c r="F178" s="25" t="s">
        <v>1534</v>
      </c>
      <c r="G178" s="48" t="s">
        <v>1477</v>
      </c>
      <c r="H178" s="53">
        <v>46128</v>
      </c>
      <c r="I178" s="50">
        <v>46134</v>
      </c>
      <c r="J178" s="127">
        <v>529.15531199999998</v>
      </c>
      <c r="K178" s="14">
        <f t="shared" si="10"/>
        <v>14.698758666666667</v>
      </c>
      <c r="L178" s="49" t="s">
        <v>311</v>
      </c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>
        <v>0</v>
      </c>
      <c r="AA178" s="101">
        <v>0</v>
      </c>
      <c r="AB178" s="101">
        <v>0</v>
      </c>
      <c r="AC178" s="101">
        <f>IFERROR(VLOOKUP(E178,[5]Sheet1!$A:$F,6,0),0)</f>
        <v>0</v>
      </c>
      <c r="AD178" s="101">
        <v>0</v>
      </c>
      <c r="AE178" s="101">
        <v>4.7060000000000004</v>
      </c>
      <c r="AF178" s="101">
        <v>13.539</v>
      </c>
      <c r="AG178" s="101">
        <v>37.122999999999998</v>
      </c>
      <c r="AH178" s="101">
        <v>10.896000000000001</v>
      </c>
      <c r="AI178" s="101">
        <f t="shared" si="11"/>
        <v>66.263999999999996</v>
      </c>
    </row>
    <row r="179" spans="1:35" ht="18" customHeight="1" x14ac:dyDescent="0.2">
      <c r="A179" s="27" t="str">
        <f t="shared" si="12"/>
        <v>개인</v>
      </c>
      <c r="B179" s="27" t="s">
        <v>1564</v>
      </c>
      <c r="C179" s="27" t="s">
        <v>1554</v>
      </c>
      <c r="D179" s="26">
        <v>3029382098</v>
      </c>
      <c r="E179" s="89">
        <v>10086968</v>
      </c>
      <c r="F179" s="25" t="s">
        <v>1535</v>
      </c>
      <c r="G179" s="48" t="s">
        <v>1477</v>
      </c>
      <c r="H179" s="53">
        <v>45988</v>
      </c>
      <c r="I179" s="50">
        <v>46049</v>
      </c>
      <c r="J179" s="127">
        <v>483.754007</v>
      </c>
      <c r="K179" s="14">
        <f t="shared" si="10"/>
        <v>13.437611305555556</v>
      </c>
      <c r="L179" s="49" t="s">
        <v>311</v>
      </c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>
        <v>0</v>
      </c>
      <c r="AA179" s="101">
        <v>0</v>
      </c>
      <c r="AB179" s="101">
        <v>0</v>
      </c>
      <c r="AC179" s="101">
        <f>IFERROR(VLOOKUP(E179,[5]Sheet1!$A:$F,6,0),0)</f>
        <v>0</v>
      </c>
      <c r="AD179" s="101">
        <v>0</v>
      </c>
      <c r="AE179" s="101">
        <v>2.6880000000000002</v>
      </c>
      <c r="AF179" s="101">
        <v>3.794</v>
      </c>
      <c r="AG179" s="101">
        <v>4.3150000000000004</v>
      </c>
      <c r="AH179" s="101">
        <v>3.8170000000000002</v>
      </c>
      <c r="AI179" s="101">
        <f t="shared" si="11"/>
        <v>14.614000000000001</v>
      </c>
    </row>
    <row r="180" spans="1:35" ht="18" customHeight="1" x14ac:dyDescent="0.2">
      <c r="A180" s="27" t="str">
        <f t="shared" si="12"/>
        <v>법인</v>
      </c>
      <c r="B180" s="27" t="s">
        <v>1563</v>
      </c>
      <c r="C180" s="27" t="s">
        <v>1496</v>
      </c>
      <c r="D180" s="26">
        <v>4118213040</v>
      </c>
      <c r="E180" s="89">
        <v>10112263</v>
      </c>
      <c r="F180" s="25" t="s">
        <v>1536</v>
      </c>
      <c r="G180" s="48" t="s">
        <v>1477</v>
      </c>
      <c r="H180" s="53">
        <v>46106</v>
      </c>
      <c r="I180" s="50">
        <v>46119</v>
      </c>
      <c r="J180" s="127">
        <v>423.79433599999999</v>
      </c>
      <c r="K180" s="14">
        <f t="shared" si="10"/>
        <v>11.772064888888888</v>
      </c>
      <c r="L180" s="49" t="s">
        <v>311</v>
      </c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>
        <v>0</v>
      </c>
      <c r="AA180" s="101">
        <v>0</v>
      </c>
      <c r="AB180" s="101">
        <v>0</v>
      </c>
      <c r="AC180" s="101">
        <f>IFERROR(VLOOKUP(E180,[5]Sheet1!$A:$F,6,0),0)</f>
        <v>0</v>
      </c>
      <c r="AD180" s="101">
        <v>0</v>
      </c>
      <c r="AE180" s="101">
        <v>7.8</v>
      </c>
      <c r="AF180" s="101">
        <v>9.1</v>
      </c>
      <c r="AG180" s="101">
        <v>8.64</v>
      </c>
      <c r="AH180" s="101">
        <v>8.18</v>
      </c>
      <c r="AI180" s="101">
        <f t="shared" si="11"/>
        <v>33.72</v>
      </c>
    </row>
    <row r="181" spans="1:35" ht="18" customHeight="1" x14ac:dyDescent="0.2">
      <c r="A181" s="27" t="str">
        <f t="shared" si="12"/>
        <v>법인</v>
      </c>
      <c r="B181" s="27" t="s">
        <v>1565</v>
      </c>
      <c r="C181" s="27" t="s">
        <v>1496</v>
      </c>
      <c r="D181" s="26">
        <v>5808200671</v>
      </c>
      <c r="E181" s="89">
        <v>10112774</v>
      </c>
      <c r="F181" s="25" t="s">
        <v>1537</v>
      </c>
      <c r="G181" s="48" t="s">
        <v>1477</v>
      </c>
      <c r="H181" s="53">
        <v>45989</v>
      </c>
      <c r="I181" s="50">
        <v>46035</v>
      </c>
      <c r="J181" s="127">
        <v>983.75914</v>
      </c>
      <c r="K181" s="14">
        <f t="shared" si="10"/>
        <v>27.326642777777778</v>
      </c>
      <c r="L181" s="49" t="s">
        <v>311</v>
      </c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>
        <v>0</v>
      </c>
      <c r="AA181" s="101">
        <v>0</v>
      </c>
      <c r="AB181" s="101">
        <v>0</v>
      </c>
      <c r="AC181" s="101">
        <f>IFERROR(VLOOKUP(E181,[5]Sheet1!$A:$F,6,0),0)</f>
        <v>0</v>
      </c>
      <c r="AD181" s="101">
        <v>0</v>
      </c>
      <c r="AE181" s="101">
        <v>9.1859999999999999</v>
      </c>
      <c r="AF181" s="101">
        <v>2.7730000000000001</v>
      </c>
      <c r="AG181" s="101">
        <v>6.024</v>
      </c>
      <c r="AH181" s="101">
        <v>11.085000000000001</v>
      </c>
      <c r="AI181" s="101">
        <f t="shared" si="11"/>
        <v>29.068000000000001</v>
      </c>
    </row>
    <row r="182" spans="1:35" ht="18" customHeight="1" x14ac:dyDescent="0.2">
      <c r="A182" s="27" t="str">
        <f t="shared" si="12"/>
        <v>개인</v>
      </c>
      <c r="B182" s="27">
        <v>1</v>
      </c>
      <c r="C182" s="148">
        <v>993</v>
      </c>
      <c r="D182" s="26">
        <v>1289247837</v>
      </c>
      <c r="E182" s="89">
        <v>10006922</v>
      </c>
      <c r="F182" s="25" t="s">
        <v>1539</v>
      </c>
      <c r="G182" s="48" t="s">
        <v>1477</v>
      </c>
      <c r="H182" s="53">
        <v>46153</v>
      </c>
      <c r="I182" s="50">
        <v>46185</v>
      </c>
      <c r="J182" s="127">
        <v>340.18818599999997</v>
      </c>
      <c r="K182" s="14">
        <f t="shared" si="10"/>
        <v>9.4496718333333334</v>
      </c>
      <c r="L182" s="49" t="s">
        <v>311</v>
      </c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>
        <v>0</v>
      </c>
      <c r="AE182" s="101"/>
      <c r="AF182" s="101">
        <v>0.46400000000000002</v>
      </c>
      <c r="AG182" s="101">
        <v>2.4</v>
      </c>
      <c r="AH182" s="101">
        <v>1.9039999999999999</v>
      </c>
      <c r="AI182" s="101">
        <f t="shared" si="11"/>
        <v>4.7679999999999998</v>
      </c>
    </row>
    <row r="183" spans="1:35" ht="18" customHeight="1" x14ac:dyDescent="0.2">
      <c r="A183" s="27" t="str">
        <f t="shared" si="12"/>
        <v>법인</v>
      </c>
      <c r="B183" s="27" t="s">
        <v>1577</v>
      </c>
      <c r="C183" s="27" t="s">
        <v>1496</v>
      </c>
      <c r="D183" s="26">
        <v>2068201898</v>
      </c>
      <c r="E183" s="89">
        <v>10034735</v>
      </c>
      <c r="F183" s="25" t="s">
        <v>1540</v>
      </c>
      <c r="G183" s="48" t="s">
        <v>1477</v>
      </c>
      <c r="H183" s="53">
        <v>46048</v>
      </c>
      <c r="I183" s="50">
        <v>46084</v>
      </c>
      <c r="J183" s="127">
        <v>2683.2282399999999</v>
      </c>
      <c r="K183" s="14">
        <f t="shared" si="10"/>
        <v>74.53411777777778</v>
      </c>
      <c r="L183" s="49" t="s">
        <v>311</v>
      </c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>
        <v>0</v>
      </c>
      <c r="AE183" s="101"/>
      <c r="AF183" s="101">
        <v>3.8519999999999999</v>
      </c>
      <c r="AG183" s="101">
        <v>12.430999999999999</v>
      </c>
      <c r="AH183" s="101">
        <v>14.227000000000002</v>
      </c>
      <c r="AI183" s="101">
        <f t="shared" si="11"/>
        <v>30.509999999999998</v>
      </c>
    </row>
    <row r="184" spans="1:35" ht="18" customHeight="1" x14ac:dyDescent="0.2">
      <c r="A184" s="27" t="str">
        <f t="shared" si="12"/>
        <v>개인</v>
      </c>
      <c r="B184" s="27">
        <v>2</v>
      </c>
      <c r="C184" s="148">
        <v>928</v>
      </c>
      <c r="D184" s="26">
        <v>4109197127</v>
      </c>
      <c r="E184" s="89">
        <v>10038241</v>
      </c>
      <c r="F184" s="25" t="s">
        <v>1541</v>
      </c>
      <c r="G184" s="48" t="s">
        <v>1477</v>
      </c>
      <c r="H184" s="53">
        <v>46148</v>
      </c>
      <c r="I184" s="50">
        <v>46168</v>
      </c>
      <c r="J184" s="127">
        <v>165.40742399999999</v>
      </c>
      <c r="K184" s="14">
        <f t="shared" si="10"/>
        <v>4.5946506666666664</v>
      </c>
      <c r="L184" s="49" t="s">
        <v>311</v>
      </c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>
        <v>0</v>
      </c>
      <c r="AE184" s="101"/>
      <c r="AF184" s="101">
        <v>3.677</v>
      </c>
      <c r="AG184" s="101">
        <v>5.72</v>
      </c>
      <c r="AH184" s="101">
        <v>6.0839999999999996</v>
      </c>
      <c r="AI184" s="101">
        <f t="shared" si="11"/>
        <v>15.481</v>
      </c>
    </row>
    <row r="185" spans="1:35" ht="18" customHeight="1" x14ac:dyDescent="0.2">
      <c r="A185" s="27" t="str">
        <f t="shared" si="12"/>
        <v>법인</v>
      </c>
      <c r="B185" s="27" t="s">
        <v>1563</v>
      </c>
      <c r="C185" s="27" t="s">
        <v>1496</v>
      </c>
      <c r="D185" s="26">
        <v>5158206462</v>
      </c>
      <c r="E185" s="89">
        <v>10039976</v>
      </c>
      <c r="F185" s="25" t="s">
        <v>1542</v>
      </c>
      <c r="G185" s="48" t="s">
        <v>1477</v>
      </c>
      <c r="H185" s="53">
        <v>46149</v>
      </c>
      <c r="I185" s="50">
        <v>46168</v>
      </c>
      <c r="J185" s="127">
        <v>897.39754500000004</v>
      </c>
      <c r="K185" s="14">
        <f t="shared" si="10"/>
        <v>24.927709583333336</v>
      </c>
      <c r="L185" s="49" t="s">
        <v>311</v>
      </c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>
        <v>0</v>
      </c>
      <c r="AE185" s="101"/>
      <c r="AF185" s="101">
        <v>6.16</v>
      </c>
      <c r="AG185" s="101">
        <v>17.123999999999999</v>
      </c>
      <c r="AH185" s="101">
        <v>15.664</v>
      </c>
      <c r="AI185" s="101">
        <f t="shared" si="11"/>
        <v>38.948</v>
      </c>
    </row>
    <row r="186" spans="1:35" ht="18" customHeight="1" x14ac:dyDescent="0.2">
      <c r="A186" s="27" t="str">
        <f t="shared" si="12"/>
        <v>개인</v>
      </c>
      <c r="B186" s="27" t="s">
        <v>1564</v>
      </c>
      <c r="C186" s="27" t="s">
        <v>1554</v>
      </c>
      <c r="D186" s="26">
        <v>5439900350</v>
      </c>
      <c r="E186" s="89">
        <v>10040113</v>
      </c>
      <c r="F186" s="25" t="s">
        <v>1543</v>
      </c>
      <c r="G186" s="48" t="s">
        <v>320</v>
      </c>
      <c r="H186" s="53">
        <v>46203</v>
      </c>
      <c r="I186" s="50">
        <v>46224</v>
      </c>
      <c r="J186" s="127">
        <v>192.88140000000001</v>
      </c>
      <c r="K186" s="14">
        <f t="shared" si="10"/>
        <v>5.3578166666666673</v>
      </c>
      <c r="L186" s="49" t="s">
        <v>311</v>
      </c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>
        <v>0</v>
      </c>
      <c r="AE186" s="101"/>
      <c r="AF186" s="101">
        <v>192.88140000000001</v>
      </c>
      <c r="AG186" s="101">
        <v>0</v>
      </c>
      <c r="AH186" s="101">
        <v>0</v>
      </c>
      <c r="AI186" s="101">
        <f t="shared" si="11"/>
        <v>192.88140000000001</v>
      </c>
    </row>
    <row r="187" spans="1:35" ht="18" customHeight="1" x14ac:dyDescent="0.2">
      <c r="A187" s="27" t="str">
        <f t="shared" si="12"/>
        <v>개인</v>
      </c>
      <c r="B187" s="27">
        <v>2</v>
      </c>
      <c r="C187" s="148">
        <v>916</v>
      </c>
      <c r="D187" s="26">
        <v>4239501417</v>
      </c>
      <c r="E187" s="89">
        <v>10072686</v>
      </c>
      <c r="F187" s="25" t="s">
        <v>1544</v>
      </c>
      <c r="G187" s="48" t="s">
        <v>1477</v>
      </c>
      <c r="H187" s="53">
        <v>46153</v>
      </c>
      <c r="I187" s="50">
        <v>46168</v>
      </c>
      <c r="J187" s="127">
        <v>395.63093500000002</v>
      </c>
      <c r="K187" s="14">
        <f t="shared" si="10"/>
        <v>10.989748194444445</v>
      </c>
      <c r="L187" s="49" t="s">
        <v>311</v>
      </c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>
        <v>0</v>
      </c>
      <c r="AE187" s="101"/>
      <c r="AF187" s="101">
        <v>2.8479999999999999</v>
      </c>
      <c r="AG187" s="101">
        <v>6.3680000000000003</v>
      </c>
      <c r="AH187" s="101">
        <v>7.1520000000000001</v>
      </c>
      <c r="AI187" s="101">
        <f t="shared" si="11"/>
        <v>16.368000000000002</v>
      </c>
    </row>
    <row r="188" spans="1:35" ht="18" customHeight="1" x14ac:dyDescent="0.2">
      <c r="A188" s="27" t="str">
        <f t="shared" si="12"/>
        <v>개인</v>
      </c>
      <c r="B188" s="27" t="s">
        <v>1564</v>
      </c>
      <c r="C188" s="27" t="s">
        <v>1554</v>
      </c>
      <c r="D188" s="26">
        <v>6949001993</v>
      </c>
      <c r="E188" s="89">
        <v>10087386</v>
      </c>
      <c r="F188" s="25" t="s">
        <v>1545</v>
      </c>
      <c r="G188" s="48" t="s">
        <v>319</v>
      </c>
      <c r="H188" s="53">
        <v>46128</v>
      </c>
      <c r="I188" s="50">
        <v>46154</v>
      </c>
      <c r="J188" s="127">
        <v>253.50054</v>
      </c>
      <c r="K188" s="14">
        <f t="shared" si="10"/>
        <v>7.0416816666666664</v>
      </c>
      <c r="L188" s="49" t="s">
        <v>311</v>
      </c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>
        <v>0</v>
      </c>
      <c r="AE188" s="101"/>
      <c r="AF188" s="101">
        <v>253.50054</v>
      </c>
      <c r="AG188" s="101">
        <v>0</v>
      </c>
      <c r="AH188" s="101">
        <v>0</v>
      </c>
      <c r="AI188" s="101">
        <f t="shared" si="11"/>
        <v>253.50054</v>
      </c>
    </row>
    <row r="189" spans="1:35" ht="18" customHeight="1" x14ac:dyDescent="0.2">
      <c r="A189" s="27" t="str">
        <f t="shared" si="12"/>
        <v>개인</v>
      </c>
      <c r="B189" s="27">
        <v>2</v>
      </c>
      <c r="C189" s="148">
        <v>915</v>
      </c>
      <c r="D189" s="26">
        <v>3329402447</v>
      </c>
      <c r="E189" s="89">
        <v>10112509</v>
      </c>
      <c r="F189" s="25" t="s">
        <v>1546</v>
      </c>
      <c r="G189" s="48" t="s">
        <v>1477</v>
      </c>
      <c r="H189" s="53">
        <v>46139</v>
      </c>
      <c r="I189" s="50">
        <v>46154</v>
      </c>
      <c r="J189" s="127">
        <v>619.10241799999994</v>
      </c>
      <c r="K189" s="14">
        <f t="shared" si="10"/>
        <v>17.197289388888887</v>
      </c>
      <c r="L189" s="49" t="s">
        <v>311</v>
      </c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>
        <v>0</v>
      </c>
      <c r="AE189" s="101"/>
      <c r="AF189" s="101">
        <v>4.093</v>
      </c>
      <c r="AG189" s="101">
        <v>4.7839999999999998</v>
      </c>
      <c r="AH189" s="101">
        <v>4.2830000000000004</v>
      </c>
      <c r="AI189" s="101">
        <f t="shared" si="11"/>
        <v>13.16</v>
      </c>
    </row>
    <row r="190" spans="1:35" ht="18" customHeight="1" x14ac:dyDescent="0.2">
      <c r="A190" s="27" t="str">
        <f t="shared" si="12"/>
        <v>법인</v>
      </c>
      <c r="B190" s="27" t="s">
        <v>1580</v>
      </c>
      <c r="C190" s="27" t="s">
        <v>1496</v>
      </c>
      <c r="D190" s="26">
        <v>2058206304</v>
      </c>
      <c r="E190" s="89">
        <v>10112765</v>
      </c>
      <c r="F190" s="25" t="s">
        <v>1547</v>
      </c>
      <c r="G190" s="48" t="s">
        <v>1477</v>
      </c>
      <c r="H190" s="53">
        <v>45810</v>
      </c>
      <c r="I190" s="50">
        <v>45881</v>
      </c>
      <c r="J190" s="127">
        <v>436.76600000000002</v>
      </c>
      <c r="K190" s="14">
        <f t="shared" si="10"/>
        <v>12.13238888888889</v>
      </c>
      <c r="L190" s="49" t="s">
        <v>311</v>
      </c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>
        <v>0</v>
      </c>
      <c r="AE190" s="101"/>
      <c r="AF190" s="101">
        <v>71.927000000000007</v>
      </c>
      <c r="AG190" s="101">
        <v>75.658000000000001</v>
      </c>
      <c r="AH190" s="101">
        <v>18.626999999999999</v>
      </c>
      <c r="AI190" s="101">
        <f t="shared" si="11"/>
        <v>166.21200000000002</v>
      </c>
    </row>
    <row r="191" spans="1:35" ht="18" customHeight="1" x14ac:dyDescent="0.2">
      <c r="A191" s="27" t="s">
        <v>1586</v>
      </c>
      <c r="B191" s="27" t="s">
        <v>1579</v>
      </c>
      <c r="C191" s="27" t="s">
        <v>1597</v>
      </c>
      <c r="D191" s="26">
        <v>6373901529</v>
      </c>
      <c r="E191" s="89">
        <v>10114610</v>
      </c>
      <c r="F191" s="25" t="s">
        <v>434</v>
      </c>
      <c r="G191" s="48" t="s">
        <v>1477</v>
      </c>
      <c r="H191" s="53">
        <v>45985</v>
      </c>
      <c r="I191" s="50">
        <v>46042</v>
      </c>
      <c r="J191" s="127">
        <v>862.13728200000003</v>
      </c>
      <c r="K191" s="14">
        <f t="shared" si="10"/>
        <v>23.948257833333333</v>
      </c>
      <c r="L191" s="49" t="s">
        <v>311</v>
      </c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>
        <v>0</v>
      </c>
      <c r="AE191" s="101"/>
      <c r="AF191" s="101">
        <v>18.608000000000001</v>
      </c>
      <c r="AG191" s="101">
        <v>17.504000000000001</v>
      </c>
      <c r="AH191" s="101">
        <v>18.015999999999998</v>
      </c>
      <c r="AI191" s="101">
        <f t="shared" si="11"/>
        <v>54.128</v>
      </c>
    </row>
    <row r="192" spans="1:35" ht="18" customHeight="1" x14ac:dyDescent="0.2">
      <c r="A192" s="27" t="s">
        <v>1586</v>
      </c>
      <c r="B192" s="27" t="s">
        <v>1594</v>
      </c>
      <c r="C192" s="27" t="s">
        <v>1597</v>
      </c>
      <c r="D192" s="26">
        <v>8159201842</v>
      </c>
      <c r="E192" s="89">
        <v>10090690</v>
      </c>
      <c r="F192" s="25" t="s">
        <v>1585</v>
      </c>
      <c r="G192" s="48" t="s">
        <v>320</v>
      </c>
      <c r="H192" s="53">
        <v>46219</v>
      </c>
      <c r="I192" s="50">
        <v>46245</v>
      </c>
      <c r="J192" s="127">
        <v>350</v>
      </c>
      <c r="K192" s="14">
        <f t="shared" si="10"/>
        <v>9.7222222222222214</v>
      </c>
      <c r="L192" s="49" t="s">
        <v>311</v>
      </c>
      <c r="M192" s="101"/>
      <c r="N192" s="101"/>
      <c r="O192" s="101"/>
      <c r="P192" s="101"/>
      <c r="Q192" s="101"/>
      <c r="R192" s="101"/>
      <c r="S192" s="101"/>
      <c r="T192" s="101"/>
      <c r="U192" s="101"/>
      <c r="V192" s="101"/>
      <c r="W192" s="101"/>
      <c r="X192" s="101"/>
      <c r="Y192" s="101"/>
      <c r="Z192" s="101"/>
      <c r="AA192" s="101"/>
      <c r="AB192" s="101"/>
      <c r="AC192" s="101"/>
      <c r="AD192" s="101">
        <v>0</v>
      </c>
      <c r="AE192" s="101"/>
      <c r="AF192" s="101"/>
      <c r="AG192" s="101">
        <v>0</v>
      </c>
      <c r="AH192" s="101">
        <v>350</v>
      </c>
      <c r="AI192" s="101">
        <f t="shared" si="11"/>
        <v>350</v>
      </c>
    </row>
    <row r="193" spans="1:37" ht="18" customHeight="1" x14ac:dyDescent="0.2">
      <c r="A193" s="27" t="s">
        <v>1586</v>
      </c>
      <c r="B193" s="27" t="s">
        <v>1595</v>
      </c>
      <c r="C193" s="27"/>
      <c r="D193" s="26">
        <v>1309604542</v>
      </c>
      <c r="E193" s="89">
        <v>10033319</v>
      </c>
      <c r="F193" s="25" t="s">
        <v>1587</v>
      </c>
      <c r="G193" s="48" t="s">
        <v>1477</v>
      </c>
      <c r="H193" s="53">
        <v>46148</v>
      </c>
      <c r="I193" s="50">
        <v>46175</v>
      </c>
      <c r="J193" s="127">
        <v>402.684575</v>
      </c>
      <c r="K193" s="14">
        <f t="shared" si="10"/>
        <v>11.185682638888888</v>
      </c>
      <c r="L193" s="49" t="s">
        <v>311</v>
      </c>
      <c r="M193" s="101"/>
      <c r="N193" s="101"/>
      <c r="O193" s="101"/>
      <c r="P193" s="101"/>
      <c r="Q193" s="101"/>
      <c r="R193" s="101"/>
      <c r="S193" s="101"/>
      <c r="T193" s="101"/>
      <c r="U193" s="101"/>
      <c r="V193" s="101"/>
      <c r="W193" s="101"/>
      <c r="X193" s="101"/>
      <c r="Y193" s="101"/>
      <c r="Z193" s="101"/>
      <c r="AA193" s="101"/>
      <c r="AB193" s="101"/>
      <c r="AC193" s="101"/>
      <c r="AD193" s="101">
        <v>0</v>
      </c>
      <c r="AE193" s="101"/>
      <c r="AF193" s="101"/>
      <c r="AG193" s="101">
        <v>9.7279999999999998</v>
      </c>
      <c r="AH193" s="101">
        <v>8.7080000000000002</v>
      </c>
      <c r="AI193" s="101">
        <f t="shared" si="11"/>
        <v>18.436</v>
      </c>
    </row>
    <row r="194" spans="1:37" ht="18" customHeight="1" x14ac:dyDescent="0.2">
      <c r="A194" s="27" t="s">
        <v>1598</v>
      </c>
      <c r="B194" s="27" t="s">
        <v>1488</v>
      </c>
      <c r="C194" s="27"/>
      <c r="D194" s="26">
        <v>4168210636</v>
      </c>
      <c r="E194" s="89">
        <v>10038511</v>
      </c>
      <c r="F194" s="25" t="s">
        <v>1588</v>
      </c>
      <c r="G194" s="48" t="s">
        <v>1477</v>
      </c>
      <c r="H194" s="53">
        <v>46184</v>
      </c>
      <c r="I194" s="50">
        <v>46203</v>
      </c>
      <c r="J194" s="127">
        <v>378.12016</v>
      </c>
      <c r="K194" s="14">
        <f t="shared" si="10"/>
        <v>10.503337777777778</v>
      </c>
      <c r="L194" s="49" t="s">
        <v>311</v>
      </c>
      <c r="M194" s="101"/>
      <c r="N194" s="101"/>
      <c r="O194" s="101"/>
      <c r="P194" s="101"/>
      <c r="Q194" s="101"/>
      <c r="R194" s="101"/>
      <c r="S194" s="101"/>
      <c r="T194" s="101"/>
      <c r="U194" s="101"/>
      <c r="V194" s="101"/>
      <c r="W194" s="101"/>
      <c r="X194" s="101"/>
      <c r="Y194" s="101"/>
      <c r="Z194" s="101"/>
      <c r="AA194" s="101"/>
      <c r="AB194" s="101"/>
      <c r="AC194" s="101"/>
      <c r="AD194" s="101">
        <v>0</v>
      </c>
      <c r="AE194" s="101"/>
      <c r="AF194" s="101"/>
      <c r="AG194" s="101">
        <v>1.3083</v>
      </c>
      <c r="AH194" s="101">
        <v>7.6896000000000004</v>
      </c>
      <c r="AI194" s="101">
        <f t="shared" si="11"/>
        <v>8.9979000000000013</v>
      </c>
    </row>
    <row r="195" spans="1:37" ht="18" customHeight="1" x14ac:dyDescent="0.2">
      <c r="A195" s="27" t="s">
        <v>1586</v>
      </c>
      <c r="B195" s="27" t="s">
        <v>1575</v>
      </c>
      <c r="C195" s="27"/>
      <c r="D195" s="26">
        <v>5149067705</v>
      </c>
      <c r="E195" s="89">
        <v>10039922</v>
      </c>
      <c r="F195" s="25" t="s">
        <v>1589</v>
      </c>
      <c r="G195" s="48" t="s">
        <v>1477</v>
      </c>
      <c r="H195" s="53">
        <v>46170</v>
      </c>
      <c r="I195" s="50">
        <v>46196</v>
      </c>
      <c r="J195" s="127">
        <v>390.77387499999998</v>
      </c>
      <c r="K195" s="14">
        <f t="shared" si="10"/>
        <v>10.85482986111111</v>
      </c>
      <c r="L195" s="49" t="s">
        <v>311</v>
      </c>
      <c r="M195" s="101"/>
      <c r="N195" s="101"/>
      <c r="O195" s="101"/>
      <c r="P195" s="101"/>
      <c r="Q195" s="101"/>
      <c r="R195" s="101"/>
      <c r="S195" s="101"/>
      <c r="T195" s="101"/>
      <c r="U195" s="101"/>
      <c r="V195" s="101"/>
      <c r="W195" s="101"/>
      <c r="X195" s="101"/>
      <c r="Y195" s="101"/>
      <c r="Z195" s="101"/>
      <c r="AA195" s="101"/>
      <c r="AB195" s="101"/>
      <c r="AC195" s="101"/>
      <c r="AD195" s="101">
        <v>0</v>
      </c>
      <c r="AE195" s="101"/>
      <c r="AF195" s="101"/>
      <c r="AG195" s="101">
        <v>6.2960000000000003</v>
      </c>
      <c r="AH195" s="101">
        <v>10.183</v>
      </c>
      <c r="AI195" s="101">
        <f t="shared" si="11"/>
        <v>16.478999999999999</v>
      </c>
    </row>
    <row r="196" spans="1:37" ht="18" customHeight="1" x14ac:dyDescent="0.2">
      <c r="A196" s="27" t="s">
        <v>1598</v>
      </c>
      <c r="B196" s="27" t="s">
        <v>1488</v>
      </c>
      <c r="C196" s="27"/>
      <c r="D196" s="26">
        <v>6138205753</v>
      </c>
      <c r="E196" s="89">
        <v>10041314</v>
      </c>
      <c r="F196" s="25" t="s">
        <v>1590</v>
      </c>
      <c r="G196" s="48" t="s">
        <v>320</v>
      </c>
      <c r="H196" s="53">
        <v>46238</v>
      </c>
      <c r="I196" s="50">
        <v>46245</v>
      </c>
      <c r="J196" s="127">
        <v>240</v>
      </c>
      <c r="K196" s="14">
        <f t="shared" si="10"/>
        <v>6.666666666666667</v>
      </c>
      <c r="L196" s="49" t="s">
        <v>311</v>
      </c>
      <c r="M196" s="101"/>
      <c r="N196" s="101"/>
      <c r="O196" s="101"/>
      <c r="P196" s="101"/>
      <c r="Q196" s="101"/>
      <c r="R196" s="101"/>
      <c r="S196" s="101"/>
      <c r="T196" s="101"/>
      <c r="U196" s="101"/>
      <c r="V196" s="101"/>
      <c r="W196" s="101"/>
      <c r="X196" s="101"/>
      <c r="Y196" s="101"/>
      <c r="Z196" s="101"/>
      <c r="AA196" s="101"/>
      <c r="AB196" s="101"/>
      <c r="AC196" s="101"/>
      <c r="AD196" s="101">
        <v>0</v>
      </c>
      <c r="AE196" s="101"/>
      <c r="AF196" s="101"/>
      <c r="AG196" s="101">
        <v>48</v>
      </c>
      <c r="AH196" s="101">
        <v>48</v>
      </c>
      <c r="AI196" s="101">
        <f t="shared" si="11"/>
        <v>96</v>
      </c>
    </row>
    <row r="197" spans="1:37" ht="18" customHeight="1" x14ac:dyDescent="0.2">
      <c r="A197" s="27" t="s">
        <v>1586</v>
      </c>
      <c r="B197" s="27" t="s">
        <v>1488</v>
      </c>
      <c r="C197" s="27"/>
      <c r="D197" s="26">
        <v>7269200198</v>
      </c>
      <c r="E197" s="89">
        <v>10042480</v>
      </c>
      <c r="F197" s="25" t="s">
        <v>1591</v>
      </c>
      <c r="G197" s="48" t="s">
        <v>1477</v>
      </c>
      <c r="H197" s="53">
        <v>46164</v>
      </c>
      <c r="I197" s="50">
        <v>46189</v>
      </c>
      <c r="J197" s="127">
        <v>335.33446600000002</v>
      </c>
      <c r="K197" s="14">
        <f t="shared" si="10"/>
        <v>9.3148462777777787</v>
      </c>
      <c r="L197" s="49" t="s">
        <v>311</v>
      </c>
      <c r="M197" s="101"/>
      <c r="N197" s="101"/>
      <c r="O197" s="101"/>
      <c r="P197" s="101"/>
      <c r="Q197" s="101"/>
      <c r="R197" s="101"/>
      <c r="S197" s="101"/>
      <c r="T197" s="101"/>
      <c r="U197" s="101"/>
      <c r="V197" s="101"/>
      <c r="W197" s="101"/>
      <c r="X197" s="101"/>
      <c r="Y197" s="101"/>
      <c r="Z197" s="101"/>
      <c r="AA197" s="101"/>
      <c r="AB197" s="101"/>
      <c r="AC197" s="101"/>
      <c r="AD197" s="101">
        <v>0</v>
      </c>
      <c r="AE197" s="101"/>
      <c r="AF197" s="101"/>
      <c r="AG197" s="101">
        <v>2.4159999999999999</v>
      </c>
      <c r="AH197" s="101">
        <v>2.992</v>
      </c>
      <c r="AI197" s="101">
        <f t="shared" si="11"/>
        <v>5.4079999999999995</v>
      </c>
    </row>
    <row r="198" spans="1:37" ht="18" customHeight="1" x14ac:dyDescent="0.2">
      <c r="A198" s="27" t="s">
        <v>1586</v>
      </c>
      <c r="B198" s="27" t="s">
        <v>1596</v>
      </c>
      <c r="C198" s="27"/>
      <c r="D198" s="26">
        <v>1299276368</v>
      </c>
      <c r="E198" s="89">
        <v>10048962</v>
      </c>
      <c r="F198" s="25" t="s">
        <v>1592</v>
      </c>
      <c r="G198" s="48" t="s">
        <v>1477</v>
      </c>
      <c r="H198" s="53">
        <v>46073</v>
      </c>
      <c r="I198" s="50">
        <v>46112</v>
      </c>
      <c r="J198" s="127">
        <v>494.587379</v>
      </c>
      <c r="K198" s="14">
        <f t="shared" ref="K198:K199" si="13">J198/36</f>
        <v>13.738538305555556</v>
      </c>
      <c r="L198" s="49" t="s">
        <v>311</v>
      </c>
      <c r="M198" s="101"/>
      <c r="N198" s="101"/>
      <c r="O198" s="101"/>
      <c r="P198" s="101"/>
      <c r="Q198" s="101"/>
      <c r="R198" s="101"/>
      <c r="S198" s="101"/>
      <c r="T198" s="101"/>
      <c r="U198" s="101"/>
      <c r="V198" s="101"/>
      <c r="W198" s="101"/>
      <c r="X198" s="101"/>
      <c r="Y198" s="101"/>
      <c r="Z198" s="101"/>
      <c r="AA198" s="101"/>
      <c r="AB198" s="101"/>
      <c r="AC198" s="101"/>
      <c r="AD198" s="101">
        <v>0</v>
      </c>
      <c r="AE198" s="101"/>
      <c r="AF198" s="101"/>
      <c r="AG198" s="101">
        <v>1.1200000000000001</v>
      </c>
      <c r="AH198" s="101">
        <v>1.2</v>
      </c>
      <c r="AI198" s="101">
        <f t="shared" ref="AI198:AI199" si="14">SUM(AA198,Z198,Y198,X198,W198,V198,U198,T198,S198,R198,Q198,P198,O198,N198,M198,AB198,AC198,AD198,AE198,AF198,AG198,AH198)</f>
        <v>2.3200000000000003</v>
      </c>
    </row>
    <row r="199" spans="1:37" ht="18" customHeight="1" x14ac:dyDescent="0.2">
      <c r="A199" s="27" t="s">
        <v>1586</v>
      </c>
      <c r="B199" s="27" t="s">
        <v>1488</v>
      </c>
      <c r="C199" s="27"/>
      <c r="D199" s="26">
        <v>3129053129</v>
      </c>
      <c r="E199" s="89">
        <v>10050630</v>
      </c>
      <c r="F199" s="25" t="s">
        <v>1593</v>
      </c>
      <c r="G199" s="48" t="s">
        <v>1477</v>
      </c>
      <c r="H199" s="53">
        <v>46140</v>
      </c>
      <c r="I199" s="50">
        <v>46161</v>
      </c>
      <c r="J199" s="127">
        <v>520.07473500000003</v>
      </c>
      <c r="K199" s="14">
        <f t="shared" si="13"/>
        <v>14.446520416666667</v>
      </c>
      <c r="L199" s="49" t="s">
        <v>311</v>
      </c>
      <c r="M199" s="101"/>
      <c r="N199" s="101"/>
      <c r="O199" s="101"/>
      <c r="P199" s="101"/>
      <c r="Q199" s="101"/>
      <c r="R199" s="101"/>
      <c r="S199" s="101"/>
      <c r="T199" s="101"/>
      <c r="U199" s="101"/>
      <c r="V199" s="101"/>
      <c r="W199" s="101"/>
      <c r="X199" s="101"/>
      <c r="Y199" s="101"/>
      <c r="Z199" s="101"/>
      <c r="AA199" s="101"/>
      <c r="AB199" s="101"/>
      <c r="AC199" s="101"/>
      <c r="AD199" s="101">
        <v>0</v>
      </c>
      <c r="AE199" s="101"/>
      <c r="AF199" s="101"/>
      <c r="AG199" s="101">
        <v>2.09</v>
      </c>
      <c r="AH199" s="101">
        <v>2.48</v>
      </c>
      <c r="AI199" s="101">
        <f t="shared" si="14"/>
        <v>4.57</v>
      </c>
    </row>
    <row r="200" spans="1:37" ht="18" customHeight="1" x14ac:dyDescent="0.2">
      <c r="A200" s="27" t="s">
        <v>1586</v>
      </c>
      <c r="B200" s="27" t="s">
        <v>1488</v>
      </c>
      <c r="C200" s="27"/>
      <c r="D200" s="26"/>
      <c r="E200" s="89">
        <v>10032743</v>
      </c>
      <c r="F200" s="25" t="s">
        <v>1606</v>
      </c>
      <c r="G200" s="48"/>
      <c r="H200" s="53"/>
      <c r="I200" s="50"/>
      <c r="J200" s="127"/>
      <c r="K200" s="14"/>
      <c r="L200" s="49"/>
      <c r="M200" s="101"/>
      <c r="N200" s="101"/>
      <c r="O200" s="101"/>
      <c r="P200" s="101"/>
      <c r="Q200" s="101"/>
      <c r="R200" s="101"/>
      <c r="S200" s="101"/>
      <c r="T200" s="101"/>
      <c r="U200" s="101"/>
      <c r="V200" s="101"/>
      <c r="W200" s="101"/>
      <c r="X200" s="101"/>
      <c r="Y200" s="101"/>
      <c r="Z200" s="101"/>
      <c r="AA200" s="101"/>
      <c r="AB200" s="101"/>
      <c r="AC200" s="101"/>
      <c r="AD200" s="101">
        <v>0</v>
      </c>
      <c r="AE200" s="101"/>
      <c r="AF200" s="101"/>
      <c r="AG200" s="101"/>
      <c r="AH200" s="101">
        <v>2.7650000000000001</v>
      </c>
      <c r="AI200" s="101">
        <f t="shared" ref="AI200:AI205" si="15">SUM(AA200,Z200,Y200,X200,W200,V200,U200,T200,S200,R200,Q200,P200,O200,N200,M200,AB200,AC200,AD200,AE200,AF200,AG200,AH200)</f>
        <v>2.7650000000000001</v>
      </c>
    </row>
    <row r="201" spans="1:37" ht="18" customHeight="1" x14ac:dyDescent="0.2">
      <c r="A201" s="27" t="s">
        <v>1586</v>
      </c>
      <c r="B201" s="27" t="s">
        <v>1488</v>
      </c>
      <c r="C201" s="27"/>
      <c r="D201" s="26"/>
      <c r="E201" s="89">
        <v>10039499</v>
      </c>
      <c r="F201" s="25" t="s">
        <v>1607</v>
      </c>
      <c r="G201" s="48"/>
      <c r="H201" s="53"/>
      <c r="I201" s="50"/>
      <c r="J201" s="127"/>
      <c r="K201" s="14"/>
      <c r="L201" s="49"/>
      <c r="M201" s="101"/>
      <c r="N201" s="101"/>
      <c r="O201" s="101"/>
      <c r="P201" s="101"/>
      <c r="Q201" s="101"/>
      <c r="R201" s="101"/>
      <c r="S201" s="101"/>
      <c r="T201" s="101"/>
      <c r="U201" s="101"/>
      <c r="V201" s="101"/>
      <c r="W201" s="101"/>
      <c r="X201" s="101"/>
      <c r="Y201" s="101"/>
      <c r="Z201" s="101"/>
      <c r="AA201" s="101"/>
      <c r="AB201" s="101"/>
      <c r="AC201" s="101"/>
      <c r="AD201" s="101">
        <v>0</v>
      </c>
      <c r="AE201" s="101"/>
      <c r="AF201" s="101"/>
      <c r="AG201" s="101"/>
      <c r="AH201" s="101">
        <v>0.76800000000000002</v>
      </c>
      <c r="AI201" s="101">
        <f t="shared" si="15"/>
        <v>0.76800000000000002</v>
      </c>
    </row>
    <row r="202" spans="1:37" ht="18" customHeight="1" x14ac:dyDescent="0.2">
      <c r="A202" s="27" t="s">
        <v>1586</v>
      </c>
      <c r="B202" s="27" t="s">
        <v>1488</v>
      </c>
      <c r="C202" s="27"/>
      <c r="D202" s="26"/>
      <c r="E202" s="89">
        <v>10041846</v>
      </c>
      <c r="F202" s="25" t="s">
        <v>1608</v>
      </c>
      <c r="G202" s="48"/>
      <c r="H202" s="53"/>
      <c r="I202" s="50"/>
      <c r="J202" s="127"/>
      <c r="K202" s="14"/>
      <c r="L202" s="49"/>
      <c r="M202" s="101"/>
      <c r="N202" s="101"/>
      <c r="O202" s="101"/>
      <c r="P202" s="101"/>
      <c r="Q202" s="101"/>
      <c r="R202" s="101"/>
      <c r="S202" s="101"/>
      <c r="T202" s="101"/>
      <c r="U202" s="101"/>
      <c r="V202" s="101"/>
      <c r="W202" s="101"/>
      <c r="X202" s="101"/>
      <c r="Y202" s="101"/>
      <c r="Z202" s="101"/>
      <c r="AA202" s="101"/>
      <c r="AB202" s="101"/>
      <c r="AC202" s="101"/>
      <c r="AD202" s="101">
        <v>0</v>
      </c>
      <c r="AE202" s="101"/>
      <c r="AF202" s="101"/>
      <c r="AG202" s="101"/>
      <c r="AH202" s="101">
        <v>3.5819999999999999</v>
      </c>
      <c r="AI202" s="101">
        <f t="shared" si="15"/>
        <v>3.5819999999999999</v>
      </c>
    </row>
    <row r="203" spans="1:37" ht="18" customHeight="1" x14ac:dyDescent="0.2">
      <c r="A203" s="27" t="s">
        <v>1586</v>
      </c>
      <c r="B203" s="27" t="s">
        <v>1488</v>
      </c>
      <c r="C203" s="27"/>
      <c r="D203" s="26"/>
      <c r="E203" s="89">
        <v>10070076</v>
      </c>
      <c r="F203" s="25" t="s">
        <v>1609</v>
      </c>
      <c r="G203" s="48"/>
      <c r="H203" s="53"/>
      <c r="I203" s="50"/>
      <c r="J203" s="127"/>
      <c r="K203" s="14"/>
      <c r="L203" s="49"/>
      <c r="M203" s="101"/>
      <c r="N203" s="101"/>
      <c r="O203" s="101"/>
      <c r="P203" s="101"/>
      <c r="Q203" s="101"/>
      <c r="R203" s="101"/>
      <c r="S203" s="101"/>
      <c r="T203" s="101"/>
      <c r="U203" s="101"/>
      <c r="V203" s="101"/>
      <c r="W203" s="101"/>
      <c r="X203" s="101"/>
      <c r="Y203" s="101"/>
      <c r="Z203" s="101"/>
      <c r="AA203" s="101"/>
      <c r="AB203" s="101"/>
      <c r="AC203" s="101"/>
      <c r="AD203" s="101">
        <v>0</v>
      </c>
      <c r="AE203" s="101"/>
      <c r="AF203" s="101"/>
      <c r="AG203" s="101"/>
      <c r="AH203" s="101">
        <v>5.4080000000000004</v>
      </c>
      <c r="AI203" s="101">
        <f t="shared" si="15"/>
        <v>5.4080000000000004</v>
      </c>
    </row>
    <row r="204" spans="1:37" ht="18" customHeight="1" x14ac:dyDescent="0.2">
      <c r="A204" s="27" t="s">
        <v>1586</v>
      </c>
      <c r="B204" s="27" t="s">
        <v>1488</v>
      </c>
      <c r="C204" s="27"/>
      <c r="D204" s="26"/>
      <c r="E204" s="89">
        <v>10073449</v>
      </c>
      <c r="F204" s="25" t="s">
        <v>1610</v>
      </c>
      <c r="G204" s="48"/>
      <c r="H204" s="53"/>
      <c r="I204" s="50"/>
      <c r="J204" s="127"/>
      <c r="K204" s="14"/>
      <c r="L204" s="49"/>
      <c r="M204" s="101"/>
      <c r="N204" s="101"/>
      <c r="O204" s="101"/>
      <c r="P204" s="101"/>
      <c r="Q204" s="101"/>
      <c r="R204" s="101"/>
      <c r="S204" s="101"/>
      <c r="T204" s="101"/>
      <c r="U204" s="101"/>
      <c r="V204" s="101"/>
      <c r="W204" s="101"/>
      <c r="X204" s="101"/>
      <c r="Y204" s="101"/>
      <c r="Z204" s="101"/>
      <c r="AA204" s="101"/>
      <c r="AB204" s="101"/>
      <c r="AC204" s="101"/>
      <c r="AD204" s="101">
        <v>0</v>
      </c>
      <c r="AE204" s="101"/>
      <c r="AF204" s="101"/>
      <c r="AG204" s="101"/>
      <c r="AH204" s="101">
        <v>12.311</v>
      </c>
      <c r="AI204" s="101">
        <f t="shared" si="15"/>
        <v>12.311</v>
      </c>
    </row>
    <row r="205" spans="1:37" ht="18" customHeight="1" x14ac:dyDescent="0.2">
      <c r="A205" s="27" t="s">
        <v>1586</v>
      </c>
      <c r="B205" s="27" t="s">
        <v>1488</v>
      </c>
      <c r="C205" s="27"/>
      <c r="D205" s="26"/>
      <c r="E205" s="89">
        <v>10092010</v>
      </c>
      <c r="F205" s="25" t="s">
        <v>1611</v>
      </c>
      <c r="G205" s="48"/>
      <c r="H205" s="53"/>
      <c r="I205" s="50"/>
      <c r="J205" s="127"/>
      <c r="K205" s="14"/>
      <c r="L205" s="49"/>
      <c r="M205" s="101"/>
      <c r="N205" s="101"/>
      <c r="O205" s="101"/>
      <c r="P205" s="101"/>
      <c r="Q205" s="101"/>
      <c r="R205" s="101"/>
      <c r="S205" s="101"/>
      <c r="T205" s="101"/>
      <c r="U205" s="101"/>
      <c r="V205" s="101"/>
      <c r="W205" s="101"/>
      <c r="X205" s="101"/>
      <c r="Y205" s="101"/>
      <c r="Z205" s="101"/>
      <c r="AA205" s="101"/>
      <c r="AB205" s="101"/>
      <c r="AC205" s="101"/>
      <c r="AD205" s="101">
        <v>0</v>
      </c>
      <c r="AE205" s="101"/>
      <c r="AF205" s="101"/>
      <c r="AG205" s="101"/>
      <c r="AH205" s="101">
        <v>6.5650000000000004</v>
      </c>
      <c r="AI205" s="101">
        <f t="shared" si="15"/>
        <v>6.5650000000000004</v>
      </c>
    </row>
    <row r="206" spans="1:37" ht="18" customHeight="1" x14ac:dyDescent="0.2">
      <c r="A206" s="27" t="s">
        <v>1586</v>
      </c>
      <c r="B206" s="27" t="s">
        <v>1488</v>
      </c>
      <c r="C206" s="27"/>
      <c r="D206" s="26"/>
      <c r="E206" s="89" t="s">
        <v>1612</v>
      </c>
      <c r="F206" s="25" t="s">
        <v>1613</v>
      </c>
      <c r="G206" s="48"/>
      <c r="H206" s="53"/>
      <c r="I206" s="50"/>
      <c r="J206" s="127"/>
      <c r="K206" s="14"/>
      <c r="L206" s="49"/>
      <c r="M206" s="101"/>
      <c r="N206" s="101"/>
      <c r="O206" s="101"/>
      <c r="P206" s="101"/>
      <c r="Q206" s="101"/>
      <c r="R206" s="101"/>
      <c r="S206" s="101"/>
      <c r="T206" s="101"/>
      <c r="U206" s="101"/>
      <c r="V206" s="101"/>
      <c r="W206" s="101"/>
      <c r="X206" s="101"/>
      <c r="Y206" s="101"/>
      <c r="Z206" s="101"/>
      <c r="AA206" s="101"/>
      <c r="AB206" s="101"/>
      <c r="AC206" s="101"/>
      <c r="AD206" s="101">
        <v>0</v>
      </c>
      <c r="AE206" s="101"/>
      <c r="AF206" s="101"/>
      <c r="AG206" s="101"/>
      <c r="AH206" s="101">
        <v>0</v>
      </c>
      <c r="AI206" s="101">
        <f t="shared" ref="AI206" si="16">SUM(AA206,Z206,Y206,X206,W206,V206,U206,T206,S206,R206,Q206,P206,O206,N206,M206,AB206,AC206,AD206,AE206,AF206,AG206,AH206)</f>
        <v>0</v>
      </c>
    </row>
    <row r="207" spans="1:37" s="19" customFormat="1" ht="18" customHeight="1" x14ac:dyDescent="0.2">
      <c r="A207" s="160" t="s">
        <v>333</v>
      </c>
      <c r="B207" s="160"/>
      <c r="C207" s="160"/>
      <c r="D207" s="160"/>
      <c r="E207" s="160"/>
      <c r="F207" s="175"/>
      <c r="G207" s="55"/>
      <c r="H207" s="92"/>
      <c r="I207" s="92"/>
      <c r="J207" s="56">
        <f>SUM(J5:J140)</f>
        <v>86423.392923999971</v>
      </c>
      <c r="K207" s="56"/>
      <c r="L207" s="57"/>
      <c r="M207" s="102">
        <f>SUM(M5:M82)</f>
        <v>673.12734999999998</v>
      </c>
      <c r="N207" s="102">
        <f>SUM(N5:N82)</f>
        <v>532.27050000000008</v>
      </c>
      <c r="O207" s="102">
        <f>SUM(O5:O82)</f>
        <v>215.12719000000001</v>
      </c>
      <c r="P207" s="102">
        <f t="shared" ref="P207:Y207" si="17">SUM(P5:P104)</f>
        <v>1225.0724580000001</v>
      </c>
      <c r="Q207" s="102">
        <f t="shared" si="17"/>
        <v>606.73</v>
      </c>
      <c r="R207" s="102">
        <f t="shared" si="17"/>
        <v>1039.4039991</v>
      </c>
      <c r="S207" s="102">
        <f t="shared" si="17"/>
        <v>164.16300000000001</v>
      </c>
      <c r="T207" s="102">
        <f t="shared" si="17"/>
        <v>463.67399999999998</v>
      </c>
      <c r="U207" s="102">
        <f t="shared" si="17"/>
        <v>808.18</v>
      </c>
      <c r="V207" s="102">
        <f t="shared" si="17"/>
        <v>1104.3678</v>
      </c>
      <c r="W207" s="102">
        <f t="shared" si="17"/>
        <v>464.53359979999999</v>
      </c>
      <c r="X207" s="102">
        <f t="shared" si="17"/>
        <v>1109.3552002000001</v>
      </c>
      <c r="Y207" s="102">
        <f t="shared" si="17"/>
        <v>983.08747059999996</v>
      </c>
      <c r="Z207" s="102">
        <f>SUM(Z5:Z140)</f>
        <v>1578.8147000000004</v>
      </c>
      <c r="AA207" s="102">
        <f>SUM(AA5:AA140)</f>
        <v>1418.7042519999998</v>
      </c>
      <c r="AB207" s="102">
        <f>SUM(AB5:AB140)</f>
        <v>1790.1117910000003</v>
      </c>
      <c r="AC207" s="102">
        <f>SUM(AC5:AC148)</f>
        <v>1534.6222200000011</v>
      </c>
      <c r="AD207" s="102">
        <f>SUM(AD5:AD166)</f>
        <v>1810.636052000001</v>
      </c>
      <c r="AE207" s="102">
        <f>SUM(AE5:AE181)</f>
        <v>2277.6728850000009</v>
      </c>
      <c r="AF207" s="102">
        <f>SUM(AF5:AF191)</f>
        <v>2532.9534740000008</v>
      </c>
      <c r="AG207" s="102">
        <f>SUM(AG5:AG191)</f>
        <v>2278.6161419999999</v>
      </c>
      <c r="AH207" s="102">
        <f>SUM(AH5:AH205)</f>
        <v>2415.099377</v>
      </c>
      <c r="AI207" s="102">
        <f>SUM(AI5:AI206)</f>
        <v>27097.281760699985</v>
      </c>
      <c r="AJ207" s="35"/>
      <c r="AK207" s="35"/>
    </row>
    <row r="210" spans="1:35" x14ac:dyDescent="0.2">
      <c r="K210" s="35"/>
    </row>
    <row r="211" spans="1:35" x14ac:dyDescent="0.2">
      <c r="A211" s="36"/>
      <c r="B211" s="36"/>
      <c r="C211" s="36"/>
      <c r="D211" s="36"/>
      <c r="E211" s="36"/>
      <c r="F211" s="35"/>
      <c r="G211" s="36"/>
      <c r="H211" s="36"/>
      <c r="I211" s="36"/>
      <c r="J211" s="35"/>
      <c r="K211" s="35"/>
      <c r="L211" s="36"/>
      <c r="M211" s="35"/>
      <c r="N211" s="35"/>
      <c r="O211" s="35"/>
      <c r="P211" s="35"/>
      <c r="Q211" s="35"/>
      <c r="R211" s="35"/>
      <c r="S211" s="35"/>
      <c r="T211" s="35"/>
      <c r="U211" s="35"/>
      <c r="V211" s="35"/>
      <c r="W211" s="35"/>
      <c r="X211" s="35"/>
      <c r="Y211" s="35"/>
      <c r="Z211" s="35"/>
      <c r="AA211" s="35"/>
      <c r="AB211" s="35"/>
      <c r="AC211" s="35"/>
      <c r="AD211" s="35"/>
      <c r="AE211" s="35"/>
      <c r="AF211" s="35"/>
      <c r="AG211" s="35"/>
      <c r="AH211" s="35"/>
      <c r="AI211" s="35"/>
    </row>
    <row r="212" spans="1:35" x14ac:dyDescent="0.2">
      <c r="A212" s="36"/>
      <c r="B212" s="36"/>
      <c r="C212" s="36"/>
      <c r="D212" s="36"/>
      <c r="E212" s="36"/>
      <c r="F212" s="35"/>
      <c r="G212" s="36"/>
      <c r="H212" s="36"/>
      <c r="I212" s="36"/>
      <c r="J212" s="35"/>
      <c r="K212" s="35"/>
      <c r="L212" s="36"/>
      <c r="M212" s="35"/>
      <c r="N212" s="35"/>
      <c r="O212" s="35"/>
      <c r="P212" s="35"/>
      <c r="Q212" s="35"/>
      <c r="R212" s="35"/>
      <c r="S212" s="35"/>
      <c r="T212" s="35"/>
      <c r="U212" s="35"/>
      <c r="V212" s="35"/>
      <c r="W212" s="35"/>
      <c r="X212" s="35"/>
      <c r="Y212" s="35"/>
      <c r="Z212" s="35"/>
      <c r="AA212" s="35"/>
      <c r="AB212" s="35"/>
      <c r="AC212" s="35"/>
      <c r="AD212" s="35"/>
      <c r="AE212" s="35"/>
      <c r="AF212" s="35"/>
      <c r="AG212" s="35"/>
      <c r="AH212" s="35"/>
      <c r="AI212" s="35"/>
    </row>
    <row r="213" spans="1:35" hidden="1" x14ac:dyDescent="0.2">
      <c r="A213" s="36"/>
      <c r="B213" s="36"/>
      <c r="C213" s="36"/>
      <c r="D213" s="36"/>
      <c r="E213" s="36"/>
      <c r="F213" s="35"/>
      <c r="G213" s="36"/>
      <c r="H213" s="36"/>
      <c r="I213" s="36"/>
      <c r="J213" s="35"/>
      <c r="K213" s="35"/>
      <c r="L213" s="36"/>
      <c r="M213" s="35"/>
      <c r="N213" s="35"/>
      <c r="O213" s="35"/>
      <c r="P213" s="35"/>
      <c r="Q213" s="35"/>
      <c r="R213" s="35"/>
      <c r="S213" s="35"/>
      <c r="T213" s="35"/>
      <c r="U213" s="35"/>
      <c r="V213" s="35"/>
      <c r="W213" s="35"/>
      <c r="X213" s="35"/>
      <c r="Y213" s="35"/>
      <c r="Z213" s="35"/>
      <c r="AA213" s="35"/>
      <c r="AB213" s="35"/>
      <c r="AC213" s="35"/>
      <c r="AD213" s="35"/>
      <c r="AE213" s="35"/>
      <c r="AF213" s="35"/>
      <c r="AG213" s="35"/>
      <c r="AH213" s="35"/>
      <c r="AI213" s="35"/>
    </row>
    <row r="214" spans="1:35" hidden="1" x14ac:dyDescent="0.2">
      <c r="A214" s="36"/>
      <c r="B214" s="36"/>
      <c r="C214" s="36"/>
      <c r="D214" s="36"/>
      <c r="E214" s="36"/>
      <c r="F214" s="35"/>
      <c r="G214" s="36"/>
      <c r="H214" s="36"/>
      <c r="I214" s="36"/>
      <c r="J214" s="35"/>
      <c r="K214" s="35"/>
      <c r="L214" s="36"/>
      <c r="M214" s="35"/>
      <c r="N214" s="35"/>
      <c r="O214" s="35"/>
      <c r="P214" s="35"/>
      <c r="Q214" s="35"/>
      <c r="R214" s="35"/>
      <c r="S214" s="35"/>
      <c r="T214" s="35"/>
      <c r="U214" s="35"/>
      <c r="V214" s="35"/>
      <c r="W214" s="35"/>
      <c r="X214" s="35"/>
      <c r="Y214" s="35"/>
      <c r="Z214" s="35"/>
      <c r="AA214" s="35"/>
      <c r="AB214" s="35"/>
      <c r="AC214" s="35"/>
      <c r="AD214" s="35"/>
      <c r="AE214" s="35"/>
      <c r="AF214" s="35"/>
      <c r="AG214" s="35"/>
      <c r="AH214" s="35"/>
      <c r="AI214" s="35"/>
    </row>
    <row r="215" spans="1:35" hidden="1" x14ac:dyDescent="0.2">
      <c r="A215" s="36"/>
      <c r="B215" s="36"/>
      <c r="C215" s="36"/>
      <c r="D215" s="36"/>
      <c r="E215" s="36"/>
      <c r="F215" s="35"/>
      <c r="G215" s="36"/>
      <c r="H215" s="36"/>
      <c r="I215" s="36"/>
      <c r="J215" s="35"/>
      <c r="K215" s="35"/>
      <c r="L215" s="36"/>
      <c r="M215" s="35"/>
      <c r="N215" s="35"/>
      <c r="O215" s="35"/>
      <c r="P215" s="35"/>
      <c r="Q215" s="35"/>
      <c r="R215" s="35"/>
      <c r="S215" s="35"/>
      <c r="T215" s="35"/>
      <c r="U215" s="35"/>
      <c r="V215" s="35"/>
      <c r="W215" s="35"/>
      <c r="X215" s="35"/>
      <c r="Y215" s="35"/>
      <c r="Z215" s="35"/>
      <c r="AA215" s="35"/>
      <c r="AB215" s="35"/>
      <c r="AC215" s="35"/>
      <c r="AD215" s="35"/>
      <c r="AE215" s="35"/>
      <c r="AF215" s="35"/>
      <c r="AG215" s="35"/>
      <c r="AH215" s="35"/>
      <c r="AI215" s="35"/>
    </row>
    <row r="216" spans="1:35" ht="15.75" hidden="1" thickBot="1" x14ac:dyDescent="0.25">
      <c r="A216" s="36"/>
      <c r="B216" s="36"/>
      <c r="C216" s="36"/>
      <c r="D216" s="36"/>
      <c r="E216" s="36"/>
      <c r="F216" s="164"/>
      <c r="G216" s="165"/>
      <c r="H216" s="36"/>
      <c r="I216" s="36"/>
      <c r="J216" s="35"/>
      <c r="K216" s="35"/>
      <c r="L216" s="36">
        <v>1250330000</v>
      </c>
      <c r="M216" s="35"/>
      <c r="N216" s="35"/>
      <c r="O216" s="35"/>
      <c r="P216" s="35"/>
      <c r="Q216" s="35"/>
      <c r="R216" s="35"/>
      <c r="S216" s="35"/>
      <c r="T216" s="35"/>
      <c r="U216" s="35"/>
      <c r="V216" s="35"/>
      <c r="W216" s="35"/>
      <c r="X216" s="35"/>
      <c r="Y216" s="35"/>
      <c r="Z216" s="35"/>
      <c r="AA216" s="35"/>
      <c r="AB216" s="35"/>
      <c r="AC216" s="35"/>
      <c r="AD216" s="35"/>
      <c r="AE216" s="35"/>
      <c r="AF216" s="35"/>
      <c r="AG216" s="35"/>
      <c r="AH216" s="35"/>
      <c r="AI216" s="35"/>
    </row>
    <row r="217" spans="1:35" ht="34.9" hidden="1" customHeight="1" thickBot="1" x14ac:dyDescent="0.25">
      <c r="A217" s="36"/>
      <c r="B217" s="36"/>
      <c r="C217" s="36"/>
      <c r="D217" s="58" t="s">
        <v>327</v>
      </c>
      <c r="E217" s="58"/>
      <c r="F217" s="164"/>
      <c r="G217" s="165"/>
      <c r="H217" s="59" t="s">
        <v>319</v>
      </c>
      <c r="I217" s="59">
        <v>35</v>
      </c>
      <c r="J217" s="59">
        <v>45803</v>
      </c>
      <c r="K217" s="59"/>
      <c r="L217" s="60">
        <v>203000000</v>
      </c>
      <c r="M217" s="103"/>
      <c r="N217" s="104">
        <v>0</v>
      </c>
      <c r="O217" s="103"/>
      <c r="P217" s="105">
        <v>45898</v>
      </c>
      <c r="Q217" s="173"/>
      <c r="R217" s="174"/>
      <c r="S217" s="174"/>
      <c r="T217" s="174"/>
      <c r="U217" s="35"/>
      <c r="V217" s="35"/>
      <c r="W217" s="35"/>
      <c r="X217" s="35"/>
      <c r="Y217" s="35"/>
      <c r="Z217" s="35"/>
      <c r="AA217" s="35"/>
      <c r="AB217" s="35"/>
      <c r="AC217" s="35"/>
      <c r="AD217" s="35"/>
      <c r="AE217" s="35"/>
      <c r="AF217" s="35"/>
      <c r="AG217" s="35"/>
      <c r="AH217" s="35"/>
      <c r="AI217" s="35"/>
    </row>
    <row r="218" spans="1:35" ht="15.75" hidden="1" thickBot="1" x14ac:dyDescent="0.25">
      <c r="A218" s="36"/>
      <c r="B218" s="36"/>
      <c r="C218" s="36"/>
      <c r="D218" s="58" t="s">
        <v>330</v>
      </c>
      <c r="E218" s="58"/>
      <c r="F218" s="164"/>
      <c r="G218" s="165"/>
      <c r="H218" s="59" t="s">
        <v>321</v>
      </c>
      <c r="I218" s="59">
        <v>30</v>
      </c>
      <c r="J218" s="59">
        <v>45804</v>
      </c>
      <c r="K218" s="59"/>
      <c r="L218" s="60">
        <v>195000000</v>
      </c>
      <c r="M218" s="96">
        <v>195000000</v>
      </c>
      <c r="N218" s="96">
        <v>1</v>
      </c>
      <c r="O218" s="103"/>
      <c r="P218" s="105">
        <v>45895</v>
      </c>
      <c r="Q218" s="35"/>
      <c r="R218" s="35"/>
      <c r="S218" s="35"/>
      <c r="T218" s="35"/>
      <c r="U218" s="35"/>
      <c r="V218" s="35"/>
      <c r="W218" s="35"/>
      <c r="X218" s="35"/>
      <c r="Y218" s="35"/>
      <c r="Z218" s="35"/>
      <c r="AA218" s="35"/>
      <c r="AB218" s="35"/>
      <c r="AC218" s="35"/>
      <c r="AD218" s="35"/>
      <c r="AE218" s="35"/>
      <c r="AF218" s="35"/>
      <c r="AG218" s="35"/>
      <c r="AH218" s="35"/>
      <c r="AI218" s="35"/>
    </row>
    <row r="219" spans="1:35" ht="34.9" hidden="1" customHeight="1" thickBot="1" x14ac:dyDescent="0.25">
      <c r="A219" s="36"/>
      <c r="B219" s="36"/>
      <c r="C219" s="36"/>
      <c r="D219" s="58" t="s">
        <v>330</v>
      </c>
      <c r="E219" s="58"/>
      <c r="F219" s="164"/>
      <c r="G219" s="165"/>
      <c r="H219" s="59" t="s">
        <v>321</v>
      </c>
      <c r="I219" s="59">
        <v>20</v>
      </c>
      <c r="J219" s="59">
        <v>45895</v>
      </c>
      <c r="K219" s="59"/>
      <c r="L219" s="60">
        <v>120141000</v>
      </c>
      <c r="M219" s="103"/>
      <c r="N219" s="104">
        <v>0</v>
      </c>
      <c r="O219" s="103"/>
      <c r="P219" s="105">
        <v>45990</v>
      </c>
      <c r="Q219" s="173"/>
      <c r="R219" s="174"/>
      <c r="S219" s="174"/>
      <c r="T219" s="174"/>
      <c r="U219" s="35"/>
      <c r="V219" s="35"/>
      <c r="W219" s="35"/>
      <c r="X219" s="35"/>
      <c r="Y219" s="35"/>
      <c r="Z219" s="35"/>
      <c r="AA219" s="35"/>
      <c r="AB219" s="35"/>
      <c r="AC219" s="35"/>
      <c r="AD219" s="35"/>
      <c r="AE219" s="35"/>
      <c r="AF219" s="35"/>
      <c r="AG219" s="35"/>
      <c r="AH219" s="35"/>
      <c r="AI219" s="35"/>
    </row>
    <row r="220" spans="1:35" ht="34.9" hidden="1" customHeight="1" thickBot="1" x14ac:dyDescent="0.25">
      <c r="A220" s="36"/>
      <c r="B220" s="36"/>
      <c r="C220" s="36"/>
      <c r="D220" s="58" t="s">
        <v>327</v>
      </c>
      <c r="E220" s="58"/>
      <c r="F220" s="164"/>
      <c r="G220" s="165"/>
      <c r="H220" s="59" t="s">
        <v>320</v>
      </c>
      <c r="I220" s="59">
        <v>2</v>
      </c>
      <c r="J220" s="59">
        <v>45930</v>
      </c>
      <c r="K220" s="59"/>
      <c r="L220" s="60">
        <v>14435000</v>
      </c>
      <c r="M220" s="103"/>
      <c r="N220" s="104">
        <v>0</v>
      </c>
      <c r="O220" s="103"/>
      <c r="P220" s="103"/>
      <c r="Q220" s="173"/>
      <c r="R220" s="174"/>
      <c r="S220" s="174"/>
      <c r="T220" s="174"/>
      <c r="U220" s="35"/>
      <c r="V220" s="35"/>
      <c r="W220" s="35"/>
      <c r="X220" s="35"/>
      <c r="Y220" s="35"/>
      <c r="Z220" s="35"/>
      <c r="AA220" s="35"/>
      <c r="AB220" s="35"/>
      <c r="AC220" s="35"/>
      <c r="AD220" s="35"/>
      <c r="AE220" s="35"/>
      <c r="AF220" s="35"/>
      <c r="AG220" s="35"/>
      <c r="AH220" s="35"/>
      <c r="AI220" s="35"/>
    </row>
    <row r="221" spans="1:35" ht="34.9" hidden="1" customHeight="1" thickBot="1" x14ac:dyDescent="0.25">
      <c r="A221" s="36"/>
      <c r="B221" s="36"/>
      <c r="C221" s="36"/>
      <c r="D221" s="58" t="s">
        <v>326</v>
      </c>
      <c r="E221" s="58"/>
      <c r="F221" s="164"/>
      <c r="G221" s="165"/>
      <c r="H221" s="59" t="s">
        <v>319</v>
      </c>
      <c r="I221" s="59">
        <v>40</v>
      </c>
      <c r="J221" s="59">
        <v>45944</v>
      </c>
      <c r="K221" s="59"/>
      <c r="L221" s="60">
        <v>219832000</v>
      </c>
      <c r="M221" s="103"/>
      <c r="N221" s="104">
        <v>0</v>
      </c>
      <c r="O221" s="103"/>
      <c r="P221" s="103"/>
      <c r="Q221" s="173"/>
      <c r="R221" s="174"/>
      <c r="S221" s="174"/>
      <c r="T221" s="174"/>
      <c r="U221" s="35"/>
      <c r="V221" s="35"/>
      <c r="W221" s="35"/>
      <c r="X221" s="35"/>
      <c r="Y221" s="35"/>
      <c r="Z221" s="35"/>
      <c r="AA221" s="35"/>
      <c r="AB221" s="35"/>
      <c r="AC221" s="35"/>
      <c r="AD221" s="35"/>
      <c r="AE221" s="35"/>
      <c r="AF221" s="35"/>
      <c r="AG221" s="35"/>
      <c r="AH221" s="35"/>
      <c r="AI221" s="35"/>
    </row>
    <row r="222" spans="1:35" ht="15.75" hidden="1" thickBot="1" x14ac:dyDescent="0.25">
      <c r="A222" s="36"/>
      <c r="B222" s="36"/>
      <c r="C222" s="36"/>
      <c r="D222" s="58" t="s">
        <v>330</v>
      </c>
      <c r="E222" s="58"/>
      <c r="F222" s="164"/>
      <c r="G222" s="165"/>
      <c r="H222" s="59" t="s">
        <v>319</v>
      </c>
      <c r="I222" s="59">
        <v>20</v>
      </c>
      <c r="J222" s="59">
        <v>46028</v>
      </c>
      <c r="K222" s="59"/>
      <c r="L222" s="60">
        <v>252021770</v>
      </c>
      <c r="M222" s="103"/>
      <c r="N222" s="104">
        <v>0</v>
      </c>
      <c r="O222" s="35"/>
      <c r="P222" s="35"/>
      <c r="Q222" s="35"/>
      <c r="R222" s="35"/>
      <c r="S222" s="35"/>
      <c r="T222" s="35"/>
      <c r="U222" s="35"/>
      <c r="V222" s="35"/>
      <c r="W222" s="35"/>
      <c r="X222" s="35"/>
      <c r="Y222" s="35"/>
      <c r="Z222" s="35"/>
      <c r="AA222" s="35"/>
      <c r="AB222" s="35"/>
      <c r="AC222" s="35"/>
      <c r="AD222" s="35"/>
      <c r="AE222" s="35"/>
      <c r="AF222" s="35"/>
      <c r="AG222" s="35"/>
      <c r="AH222" s="35"/>
      <c r="AI222" s="35"/>
    </row>
    <row r="223" spans="1:35" ht="15.75" hidden="1" thickBot="1" x14ac:dyDescent="0.25">
      <c r="A223" s="36"/>
      <c r="B223" s="36"/>
      <c r="C223" s="36"/>
      <c r="D223" s="71" t="s">
        <v>330</v>
      </c>
      <c r="E223" s="71"/>
      <c r="F223" s="166"/>
      <c r="G223" s="167"/>
      <c r="H223" s="72" t="s">
        <v>319</v>
      </c>
      <c r="I223" s="72">
        <v>18</v>
      </c>
      <c r="J223" s="72">
        <v>46028</v>
      </c>
      <c r="K223" s="72"/>
      <c r="L223" s="73">
        <v>196239560</v>
      </c>
      <c r="M223" s="106"/>
      <c r="N223" s="107">
        <v>0</v>
      </c>
      <c r="O223" s="35"/>
      <c r="P223" s="35"/>
      <c r="Q223" s="35"/>
      <c r="R223" s="35"/>
      <c r="S223" s="35"/>
      <c r="T223" s="35"/>
      <c r="U223" s="35"/>
      <c r="V223" s="35"/>
      <c r="W223" s="35"/>
      <c r="X223" s="35"/>
      <c r="Y223" s="35"/>
      <c r="Z223" s="35"/>
      <c r="AA223" s="35"/>
      <c r="AB223" s="35"/>
      <c r="AC223" s="35"/>
      <c r="AD223" s="35"/>
      <c r="AE223" s="35"/>
      <c r="AF223" s="35"/>
      <c r="AG223" s="35"/>
      <c r="AH223" s="35"/>
      <c r="AI223" s="35"/>
    </row>
    <row r="224" spans="1:35" hidden="1" x14ac:dyDescent="0.2">
      <c r="A224" s="36"/>
      <c r="B224" s="36"/>
      <c r="C224" s="36"/>
      <c r="D224" s="36"/>
      <c r="E224" s="36"/>
      <c r="F224" s="35"/>
      <c r="G224" s="36"/>
      <c r="H224" s="36"/>
      <c r="I224" s="36"/>
      <c r="J224" s="35"/>
      <c r="K224" s="35"/>
      <c r="L224" s="36"/>
      <c r="M224" s="35"/>
      <c r="N224" s="35"/>
      <c r="O224" s="35"/>
      <c r="P224" s="35"/>
      <c r="Q224" s="35"/>
      <c r="R224" s="35"/>
      <c r="S224" s="35"/>
      <c r="T224" s="35"/>
      <c r="U224" s="35"/>
      <c r="V224" s="35"/>
      <c r="W224" s="35"/>
      <c r="X224" s="35"/>
      <c r="Y224" s="35"/>
      <c r="Z224" s="35"/>
      <c r="AA224" s="35"/>
      <c r="AB224" s="35"/>
      <c r="AC224" s="35"/>
      <c r="AD224" s="35"/>
      <c r="AE224" s="35"/>
      <c r="AF224" s="35"/>
      <c r="AG224" s="35"/>
      <c r="AH224" s="35"/>
      <c r="AI224" s="35"/>
    </row>
    <row r="225" spans="1:35" hidden="1" x14ac:dyDescent="0.2">
      <c r="A225" s="36"/>
      <c r="B225" s="36"/>
      <c r="C225" s="36"/>
      <c r="D225" s="36"/>
      <c r="E225" s="36"/>
      <c r="F225" s="35"/>
      <c r="G225" s="36"/>
      <c r="H225" s="36"/>
      <c r="I225" s="36"/>
      <c r="J225" s="35"/>
      <c r="K225" s="35"/>
      <c r="L225" s="36"/>
      <c r="M225" s="35"/>
      <c r="N225" s="35"/>
      <c r="O225" s="35"/>
      <c r="P225" s="35"/>
      <c r="Q225" s="35"/>
      <c r="R225" s="35"/>
      <c r="S225" s="35"/>
      <c r="T225" s="35"/>
      <c r="U225" s="35"/>
      <c r="V225" s="35"/>
      <c r="W225" s="35"/>
      <c r="X225" s="35"/>
      <c r="Y225" s="35"/>
      <c r="Z225" s="35"/>
      <c r="AA225" s="35"/>
      <c r="AB225" s="35"/>
      <c r="AC225" s="35"/>
      <c r="AD225" s="35"/>
      <c r="AE225" s="35"/>
      <c r="AF225" s="35"/>
      <c r="AG225" s="35"/>
      <c r="AH225" s="35"/>
      <c r="AI225" s="35"/>
    </row>
    <row r="226" spans="1:35" ht="15.75" hidden="1" thickBot="1" x14ac:dyDescent="0.25">
      <c r="A226" s="36"/>
      <c r="B226" s="36"/>
      <c r="C226" s="36"/>
      <c r="D226" s="58" t="s">
        <v>326</v>
      </c>
      <c r="E226" s="58"/>
      <c r="F226" s="164"/>
      <c r="G226" s="165"/>
      <c r="H226" s="59" t="s">
        <v>320</v>
      </c>
      <c r="I226" s="59">
        <v>30</v>
      </c>
      <c r="J226" s="59">
        <v>45969</v>
      </c>
      <c r="K226" s="59"/>
      <c r="L226" s="60">
        <v>220000000</v>
      </c>
      <c r="M226" s="103"/>
      <c r="N226" s="104">
        <v>0</v>
      </c>
      <c r="O226" s="103"/>
      <c r="P226" s="105">
        <v>46020</v>
      </c>
      <c r="Q226" s="173"/>
      <c r="R226" s="174"/>
      <c r="S226" s="174"/>
      <c r="T226" s="174"/>
      <c r="U226" s="35"/>
      <c r="V226" s="35"/>
      <c r="W226" s="35"/>
      <c r="X226" s="35"/>
      <c r="Y226" s="35"/>
      <c r="Z226" s="35"/>
      <c r="AA226" s="35"/>
      <c r="AB226" s="35"/>
      <c r="AC226" s="35"/>
      <c r="AD226" s="35"/>
      <c r="AE226" s="35"/>
      <c r="AF226" s="35"/>
      <c r="AG226" s="35"/>
      <c r="AH226" s="35"/>
      <c r="AI226" s="35"/>
    </row>
    <row r="227" spans="1:35" ht="15.75" hidden="1" thickBot="1" x14ac:dyDescent="0.25">
      <c r="A227" s="36"/>
      <c r="B227" s="36"/>
      <c r="C227" s="36"/>
      <c r="D227" s="58" t="s">
        <v>331</v>
      </c>
      <c r="E227" s="58"/>
      <c r="F227" s="164"/>
      <c r="G227" s="165"/>
      <c r="H227" s="59" t="s">
        <v>321</v>
      </c>
      <c r="I227" s="59">
        <v>30</v>
      </c>
      <c r="J227" s="59">
        <v>46000</v>
      </c>
      <c r="K227" s="59"/>
      <c r="L227" s="60">
        <v>276460470</v>
      </c>
      <c r="M227" s="103"/>
      <c r="N227" s="104">
        <v>0</v>
      </c>
      <c r="O227" s="103"/>
      <c r="P227" s="103"/>
      <c r="Q227" s="35"/>
      <c r="R227" s="35"/>
      <c r="S227" s="35"/>
      <c r="T227" s="35"/>
      <c r="U227" s="35"/>
      <c r="V227" s="35"/>
      <c r="W227" s="35"/>
      <c r="X227" s="35"/>
      <c r="Y227" s="35"/>
      <c r="Z227" s="35"/>
      <c r="AA227" s="35"/>
      <c r="AB227" s="35"/>
      <c r="AC227" s="35"/>
      <c r="AD227" s="35"/>
      <c r="AE227" s="35"/>
      <c r="AF227" s="35"/>
      <c r="AG227" s="35"/>
      <c r="AH227" s="35"/>
      <c r="AI227" s="35"/>
    </row>
    <row r="228" spans="1:35" hidden="1" x14ac:dyDescent="0.2">
      <c r="A228" s="36"/>
      <c r="B228" s="36"/>
      <c r="C228" s="36"/>
      <c r="D228" s="36"/>
      <c r="E228" s="36"/>
      <c r="F228" s="35"/>
      <c r="G228" s="36"/>
      <c r="H228" s="36"/>
      <c r="I228" s="36"/>
      <c r="J228" s="35"/>
      <c r="K228" s="35"/>
      <c r="L228" s="36"/>
      <c r="M228" s="35"/>
      <c r="N228" s="35"/>
      <c r="O228" s="35"/>
      <c r="P228" s="35"/>
      <c r="Q228" s="35"/>
      <c r="R228" s="35"/>
      <c r="S228" s="35"/>
      <c r="T228" s="35"/>
      <c r="U228" s="35"/>
      <c r="V228" s="35"/>
      <c r="W228" s="35"/>
      <c r="X228" s="35"/>
      <c r="Y228" s="35"/>
      <c r="Z228" s="35"/>
      <c r="AA228" s="35"/>
      <c r="AB228" s="35"/>
      <c r="AC228" s="35"/>
      <c r="AD228" s="35"/>
      <c r="AE228" s="35"/>
      <c r="AF228" s="35"/>
      <c r="AG228" s="35"/>
      <c r="AH228" s="35"/>
      <c r="AI228" s="35"/>
    </row>
    <row r="229" spans="1:35" hidden="1" x14ac:dyDescent="0.2">
      <c r="A229" s="36"/>
      <c r="B229" s="36"/>
      <c r="C229" s="36"/>
      <c r="D229" s="36"/>
      <c r="E229" s="36"/>
      <c r="F229" s="35"/>
      <c r="G229" s="36"/>
      <c r="H229" s="36"/>
      <c r="I229" s="36"/>
      <c r="J229" s="35"/>
      <c r="K229" s="35"/>
      <c r="L229" s="36"/>
      <c r="M229" s="35"/>
      <c r="N229" s="35"/>
      <c r="O229" s="35"/>
      <c r="P229" s="35"/>
      <c r="Q229" s="35"/>
      <c r="R229" s="35"/>
      <c r="S229" s="35"/>
      <c r="T229" s="35"/>
      <c r="U229" s="35"/>
      <c r="V229" s="35"/>
      <c r="W229" s="35"/>
      <c r="X229" s="35"/>
      <c r="Y229" s="35"/>
      <c r="Z229" s="35"/>
      <c r="AA229" s="35"/>
      <c r="AB229" s="35"/>
      <c r="AC229" s="35"/>
      <c r="AD229" s="35"/>
      <c r="AE229" s="35"/>
      <c r="AF229" s="35"/>
      <c r="AG229" s="35"/>
      <c r="AH229" s="35"/>
      <c r="AI229" s="35"/>
    </row>
    <row r="230" spans="1:35" hidden="1" x14ac:dyDescent="0.2">
      <c r="A230" s="36"/>
      <c r="B230" s="36"/>
      <c r="C230" s="36"/>
      <c r="D230" s="36"/>
      <c r="E230" s="36"/>
      <c r="F230" s="35"/>
      <c r="G230" s="36"/>
      <c r="H230" s="36"/>
      <c r="I230" s="36"/>
      <c r="J230" s="35"/>
      <c r="K230" s="35"/>
      <c r="L230" s="36"/>
      <c r="M230" s="35"/>
      <c r="N230" s="35"/>
      <c r="O230" s="35"/>
      <c r="P230" s="35"/>
      <c r="Q230" s="35"/>
      <c r="R230" s="35"/>
      <c r="S230" s="35"/>
      <c r="T230" s="35"/>
      <c r="U230" s="35"/>
      <c r="V230" s="35"/>
      <c r="W230" s="35"/>
      <c r="X230" s="35"/>
      <c r="Y230" s="35"/>
      <c r="Z230" s="35"/>
      <c r="AA230" s="35"/>
      <c r="AB230" s="35"/>
      <c r="AC230" s="35"/>
      <c r="AD230" s="35"/>
      <c r="AE230" s="35"/>
      <c r="AF230" s="35"/>
      <c r="AG230" s="35"/>
      <c r="AH230" s="35"/>
      <c r="AI230" s="35"/>
    </row>
    <row r="231" spans="1:35" x14ac:dyDescent="0.2">
      <c r="A231" s="36"/>
      <c r="B231" s="36"/>
      <c r="C231" s="36"/>
      <c r="D231" s="36"/>
      <c r="E231" s="36"/>
      <c r="F231" s="35"/>
      <c r="G231" s="36"/>
      <c r="H231" s="36"/>
      <c r="I231" s="36"/>
      <c r="J231" s="35"/>
      <c r="K231" s="35"/>
      <c r="L231" s="36"/>
      <c r="M231" s="35"/>
      <c r="N231" s="35"/>
      <c r="O231" s="35"/>
      <c r="P231" s="35"/>
      <c r="Q231" s="35"/>
      <c r="R231" s="35"/>
      <c r="S231" s="35"/>
      <c r="T231" s="35"/>
      <c r="U231" s="35"/>
      <c r="V231" s="35"/>
      <c r="W231" s="35"/>
      <c r="X231" s="35"/>
      <c r="Y231" s="35"/>
      <c r="Z231" s="35"/>
      <c r="AA231" s="35"/>
      <c r="AB231" s="35"/>
      <c r="AC231" s="35"/>
      <c r="AD231" s="35"/>
      <c r="AE231" s="35"/>
      <c r="AF231" s="35"/>
      <c r="AG231" s="35"/>
      <c r="AH231" s="35"/>
      <c r="AI231" s="35"/>
    </row>
  </sheetData>
  <mergeCells count="21">
    <mergeCell ref="F220:G220"/>
    <mergeCell ref="Q220:T220"/>
    <mergeCell ref="A207:F207"/>
    <mergeCell ref="F216:G216"/>
    <mergeCell ref="A3:A4"/>
    <mergeCell ref="D3:D4"/>
    <mergeCell ref="E3:E4"/>
    <mergeCell ref="F3:F4"/>
    <mergeCell ref="G3:L3"/>
    <mergeCell ref="F217:G217"/>
    <mergeCell ref="Q217:T217"/>
    <mergeCell ref="F218:G218"/>
    <mergeCell ref="F219:G219"/>
    <mergeCell ref="Q219:T219"/>
    <mergeCell ref="F227:G227"/>
    <mergeCell ref="F221:G221"/>
    <mergeCell ref="Q221:T221"/>
    <mergeCell ref="F222:G222"/>
    <mergeCell ref="F223:G223"/>
    <mergeCell ref="F226:G226"/>
    <mergeCell ref="Q226:T226"/>
  </mergeCells>
  <phoneticPr fontId="2" type="noConversion"/>
  <conditionalFormatting sqref="E5:E140">
    <cfRule type="duplicateValues" dxfId="17" priority="8"/>
  </conditionalFormatting>
  <conditionalFormatting sqref="E141:E148">
    <cfRule type="duplicateValues" dxfId="16" priority="13"/>
  </conditionalFormatting>
  <conditionalFormatting sqref="E149:E166">
    <cfRule type="duplicateValues" dxfId="15" priority="22"/>
  </conditionalFormatting>
  <conditionalFormatting sqref="E182:E191">
    <cfRule type="duplicateValues" dxfId="14" priority="4"/>
  </conditionalFormatting>
  <conditionalFormatting sqref="E167:E181">
    <cfRule type="duplicateValues" dxfId="13" priority="47"/>
  </conditionalFormatting>
  <conditionalFormatting sqref="E192:E199">
    <cfRule type="duplicateValues" dxfId="12" priority="76"/>
  </conditionalFormatting>
  <conditionalFormatting sqref="E200:E205">
    <cfRule type="duplicateValues" dxfId="11" priority="2"/>
  </conditionalFormatting>
  <conditionalFormatting sqref="E206">
    <cfRule type="duplicateValues" dxfId="10" priority="1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tabColor rgb="FFFFFF00"/>
    <pageSetUpPr fitToPage="1"/>
  </sheetPr>
  <dimension ref="A1:AJ231"/>
  <sheetViews>
    <sheetView showGridLines="0" zoomScale="85" zoomScaleNormal="85" workbookViewId="0">
      <pane xSplit="12" ySplit="4" topLeftCell="AD17" activePane="bottomRight" state="frozen"/>
      <selection pane="topRight" activeCell="H1" sqref="H1"/>
      <selection pane="bottomLeft" activeCell="A5" sqref="A5"/>
      <selection pane="bottomRight" activeCell="AD25" sqref="AD25"/>
    </sheetView>
  </sheetViews>
  <sheetFormatPr defaultColWidth="9.140625" defaultRowHeight="12" outlineLevelCol="1" x14ac:dyDescent="0.2"/>
  <cols>
    <col min="1" max="1" width="6.28515625" style="41" customWidth="1"/>
    <col min="2" max="2" width="8.5703125" style="41" bestFit="1" customWidth="1"/>
    <col min="3" max="3" width="7.7109375" style="41" bestFit="1" customWidth="1"/>
    <col min="4" max="4" width="14.7109375" style="41" customWidth="1"/>
    <col min="5" max="5" width="10.7109375" style="41" bestFit="1" customWidth="1"/>
    <col min="6" max="6" width="47" style="34" bestFit="1" customWidth="1"/>
    <col min="7" max="7" width="14.140625" style="41" bestFit="1" customWidth="1"/>
    <col min="8" max="8" width="11" style="41" customWidth="1"/>
    <col min="9" max="9" width="14.28515625" style="41" customWidth="1"/>
    <col min="10" max="11" width="11" style="37" customWidth="1"/>
    <col min="12" max="12" width="15.42578125" style="41" bestFit="1" customWidth="1"/>
    <col min="13" max="13" width="13" style="38" customWidth="1" outlineLevel="1"/>
    <col min="14" max="34" width="11.28515625" style="38" customWidth="1" outlineLevel="1"/>
    <col min="35" max="35" width="11.28515625" style="37" bestFit="1" customWidth="1"/>
    <col min="36" max="38" width="7.7109375" style="20" customWidth="1"/>
    <col min="39" max="45" width="15.140625" style="20" customWidth="1"/>
    <col min="46" max="47" width="20" style="20" bestFit="1" customWidth="1"/>
    <col min="48" max="48" width="15.7109375" style="20" customWidth="1"/>
    <col min="49" max="58" width="19.28515625" style="20" bestFit="1" customWidth="1"/>
    <col min="59" max="60" width="20" style="20" bestFit="1" customWidth="1"/>
    <col min="61" max="61" width="15.7109375" style="20" bestFit="1" customWidth="1"/>
    <col min="62" max="62" width="24.140625" style="20" bestFit="1" customWidth="1"/>
    <col min="63" max="16384" width="9.140625" style="20"/>
  </cols>
  <sheetData>
    <row r="1" spans="1:35" hidden="1" x14ac:dyDescent="0.2">
      <c r="A1" s="34" t="s">
        <v>380</v>
      </c>
      <c r="B1" s="34"/>
      <c r="C1" s="34"/>
      <c r="D1" s="34"/>
      <c r="E1" s="34"/>
      <c r="F1" s="35"/>
      <c r="G1" s="36"/>
      <c r="H1" s="36"/>
      <c r="I1" s="36"/>
      <c r="L1" s="36"/>
      <c r="AI1" s="7"/>
    </row>
    <row r="2" spans="1:35" x14ac:dyDescent="0.2">
      <c r="F2" s="35"/>
      <c r="G2" s="36"/>
      <c r="H2" s="36"/>
      <c r="I2" s="36"/>
      <c r="L2" s="36"/>
      <c r="Z2" s="42"/>
      <c r="AA2" s="42"/>
      <c r="AB2" s="42"/>
      <c r="AC2" s="42"/>
      <c r="AD2" s="42"/>
      <c r="AE2" s="42"/>
      <c r="AF2" s="42"/>
      <c r="AG2" s="42"/>
      <c r="AH2" s="42"/>
      <c r="AI2" s="8" t="s">
        <v>379</v>
      </c>
    </row>
    <row r="3" spans="1:35" ht="17.45" customHeight="1" x14ac:dyDescent="0.2">
      <c r="A3" s="176" t="s">
        <v>378</v>
      </c>
      <c r="B3" s="28" t="s">
        <v>1551</v>
      </c>
      <c r="C3" s="28" t="s">
        <v>1552</v>
      </c>
      <c r="D3" s="178" t="s">
        <v>159</v>
      </c>
      <c r="E3" s="178" t="s">
        <v>157</v>
      </c>
      <c r="F3" s="176" t="s">
        <v>377</v>
      </c>
      <c r="G3" s="170" t="s">
        <v>376</v>
      </c>
      <c r="H3" s="171"/>
      <c r="I3" s="171"/>
      <c r="J3" s="171"/>
      <c r="K3" s="171"/>
      <c r="L3" s="172"/>
      <c r="M3" s="90" t="s">
        <v>0</v>
      </c>
      <c r="N3" s="90" t="s">
        <v>375</v>
      </c>
      <c r="O3" s="90" t="s">
        <v>374</v>
      </c>
      <c r="P3" s="90" t="s">
        <v>373</v>
      </c>
      <c r="Q3" s="90" t="s">
        <v>372</v>
      </c>
      <c r="R3" s="90" t="s">
        <v>371</v>
      </c>
      <c r="S3" s="90" t="s">
        <v>370</v>
      </c>
      <c r="T3" s="90" t="s">
        <v>369</v>
      </c>
      <c r="U3" s="90" t="s">
        <v>368</v>
      </c>
      <c r="V3" s="90" t="s">
        <v>367</v>
      </c>
      <c r="W3" s="90" t="s">
        <v>366</v>
      </c>
      <c r="X3" s="90" t="s">
        <v>365</v>
      </c>
      <c r="Y3" s="90" t="s">
        <v>364</v>
      </c>
      <c r="Z3" s="90" t="s">
        <v>363</v>
      </c>
      <c r="AA3" s="95" t="s">
        <v>384</v>
      </c>
      <c r="AB3" s="95" t="s">
        <v>391</v>
      </c>
      <c r="AC3" s="122" t="s">
        <v>451</v>
      </c>
      <c r="AD3" s="139" t="s">
        <v>1495</v>
      </c>
      <c r="AE3" s="143" t="s">
        <v>1525</v>
      </c>
      <c r="AF3" s="147" t="s">
        <v>1549</v>
      </c>
      <c r="AG3" s="150" t="s">
        <v>1584</v>
      </c>
      <c r="AH3" s="157" t="s">
        <v>1605</v>
      </c>
      <c r="AI3" s="91" t="s">
        <v>362</v>
      </c>
    </row>
    <row r="4" spans="1:35" s="29" customFormat="1" ht="18" customHeight="1" x14ac:dyDescent="0.2">
      <c r="A4" s="177"/>
      <c r="B4" s="142" t="s">
        <v>1550</v>
      </c>
      <c r="C4" s="142" t="s">
        <v>1553</v>
      </c>
      <c r="D4" s="179"/>
      <c r="E4" s="179"/>
      <c r="F4" s="177"/>
      <c r="G4" s="43" t="s">
        <v>360</v>
      </c>
      <c r="H4" s="44" t="s">
        <v>359</v>
      </c>
      <c r="I4" s="44" t="s">
        <v>358</v>
      </c>
      <c r="J4" s="5" t="s">
        <v>357</v>
      </c>
      <c r="K4" s="5" t="s">
        <v>441</v>
      </c>
      <c r="L4" s="45" t="s">
        <v>356</v>
      </c>
      <c r="M4" s="4" t="s">
        <v>161</v>
      </c>
      <c r="N4" s="4" t="s">
        <v>161</v>
      </c>
      <c r="O4" s="4" t="s">
        <v>161</v>
      </c>
      <c r="P4" s="4" t="s">
        <v>161</v>
      </c>
      <c r="Q4" s="4" t="s">
        <v>161</v>
      </c>
      <c r="R4" s="4" t="s">
        <v>161</v>
      </c>
      <c r="S4" s="4" t="s">
        <v>161</v>
      </c>
      <c r="T4" s="4" t="s">
        <v>161</v>
      </c>
      <c r="U4" s="4" t="s">
        <v>161</v>
      </c>
      <c r="V4" s="4" t="s">
        <v>161</v>
      </c>
      <c r="W4" s="4" t="s">
        <v>161</v>
      </c>
      <c r="X4" s="4" t="s">
        <v>161</v>
      </c>
      <c r="Y4" s="4" t="s">
        <v>161</v>
      </c>
      <c r="Z4" s="4" t="s">
        <v>161</v>
      </c>
      <c r="AA4" s="4" t="s">
        <v>161</v>
      </c>
      <c r="AB4" s="4" t="s">
        <v>161</v>
      </c>
      <c r="AC4" s="4" t="s">
        <v>161</v>
      </c>
      <c r="AD4" s="4" t="s">
        <v>161</v>
      </c>
      <c r="AE4" s="4" t="s">
        <v>161</v>
      </c>
      <c r="AF4" s="4" t="s">
        <v>161</v>
      </c>
      <c r="AG4" s="4" t="s">
        <v>161</v>
      </c>
      <c r="AH4" s="4" t="s">
        <v>161</v>
      </c>
      <c r="AI4" s="5" t="s">
        <v>161</v>
      </c>
    </row>
    <row r="5" spans="1:35" ht="18" customHeight="1" x14ac:dyDescent="0.2">
      <c r="A5" s="27" t="str">
        <f t="shared" ref="A5:A36" si="0">IF(MID(D5,4,1)="8","법인","개인")</f>
        <v>개인</v>
      </c>
      <c r="B5" s="27" t="s">
        <v>1555</v>
      </c>
      <c r="C5" s="27" t="s">
        <v>1554</v>
      </c>
      <c r="D5" s="93">
        <v>1059028677</v>
      </c>
      <c r="E5" s="93">
        <v>10031447</v>
      </c>
      <c r="F5" s="28" t="s">
        <v>148</v>
      </c>
      <c r="G5" s="46" t="s">
        <v>322</v>
      </c>
      <c r="H5" s="79">
        <v>45891</v>
      </c>
      <c r="I5" s="79">
        <v>45930</v>
      </c>
      <c r="J5" s="11">
        <v>654.49540000000002</v>
      </c>
      <c r="K5" s="11">
        <f>J5/36</f>
        <v>18.18042777777778</v>
      </c>
      <c r="L5" s="94" t="s">
        <v>311</v>
      </c>
      <c r="M5" s="10">
        <v>0</v>
      </c>
      <c r="N5" s="10">
        <v>0</v>
      </c>
      <c r="O5" s="10">
        <v>0</v>
      </c>
      <c r="P5" s="10">
        <v>0</v>
      </c>
      <c r="Q5" s="10">
        <v>0</v>
      </c>
      <c r="R5" s="10">
        <v>0</v>
      </c>
      <c r="S5" s="10">
        <v>0</v>
      </c>
      <c r="T5" s="10">
        <v>0</v>
      </c>
      <c r="U5" s="10">
        <v>0</v>
      </c>
      <c r="V5" s="10">
        <v>0</v>
      </c>
      <c r="W5" s="10">
        <v>0</v>
      </c>
      <c r="X5" s="10">
        <v>0</v>
      </c>
      <c r="Y5" s="10">
        <v>0</v>
      </c>
      <c r="Z5" s="10">
        <v>0</v>
      </c>
      <c r="AA5" s="10">
        <v>10.659000000000001</v>
      </c>
      <c r="AB5" s="10">
        <v>6.9169999999999998</v>
      </c>
      <c r="AC5" s="10">
        <v>6.9850000000000003</v>
      </c>
      <c r="AD5" s="10">
        <v>6.2430000000000003</v>
      </c>
      <c r="AE5" s="10">
        <v>7.1020000000000003</v>
      </c>
      <c r="AF5" s="10">
        <v>5.8780000000000001</v>
      </c>
      <c r="AG5" s="10">
        <v>0</v>
      </c>
      <c r="AH5" s="10">
        <v>6.5439999999999996</v>
      </c>
      <c r="AI5" s="11">
        <f>SUM(Z5,Y5,X5,W5,V5,U5,T5,S5,R5,Q5,P5,O5,N5,M5,AA5,AB5,AC5,AD5,AE5,AF5,AG5,AH5)</f>
        <v>50.328000000000003</v>
      </c>
    </row>
    <row r="6" spans="1:35" ht="18" customHeight="1" x14ac:dyDescent="0.2">
      <c r="A6" s="27" t="str">
        <f t="shared" si="0"/>
        <v>개인</v>
      </c>
      <c r="B6" s="27" t="s">
        <v>1556</v>
      </c>
      <c r="C6" s="27" t="s">
        <v>1554</v>
      </c>
      <c r="D6" s="26">
        <v>1079060770</v>
      </c>
      <c r="E6" s="26">
        <v>10008739</v>
      </c>
      <c r="F6" s="25" t="s">
        <v>132</v>
      </c>
      <c r="G6" s="48" t="s">
        <v>322</v>
      </c>
      <c r="H6" s="53">
        <v>45896</v>
      </c>
      <c r="I6" s="53">
        <v>45923</v>
      </c>
      <c r="J6" s="14">
        <v>663.274</v>
      </c>
      <c r="K6" s="14">
        <f>J6/36</f>
        <v>18.424277777777778</v>
      </c>
      <c r="L6" s="49" t="s">
        <v>311</v>
      </c>
      <c r="M6" s="13">
        <v>0</v>
      </c>
      <c r="N6" s="13">
        <v>0</v>
      </c>
      <c r="O6" s="13">
        <v>0</v>
      </c>
      <c r="P6" s="13">
        <v>0</v>
      </c>
      <c r="Q6" s="13">
        <v>0</v>
      </c>
      <c r="R6" s="13">
        <v>0</v>
      </c>
      <c r="S6" s="13">
        <v>0</v>
      </c>
      <c r="T6" s="13">
        <v>0</v>
      </c>
      <c r="U6" s="13">
        <v>0</v>
      </c>
      <c r="V6" s="13">
        <v>0</v>
      </c>
      <c r="W6" s="13">
        <v>0</v>
      </c>
      <c r="X6" s="13">
        <v>0</v>
      </c>
      <c r="Y6" s="13">
        <v>0</v>
      </c>
      <c r="Z6" s="13">
        <v>0</v>
      </c>
      <c r="AA6" s="13">
        <v>0</v>
      </c>
      <c r="AB6" s="13">
        <v>0</v>
      </c>
      <c r="AC6" s="13">
        <v>0</v>
      </c>
      <c r="AD6" s="13">
        <v>0</v>
      </c>
      <c r="AE6" s="13">
        <v>0</v>
      </c>
      <c r="AF6" s="13">
        <v>11.420502000000001</v>
      </c>
      <c r="AG6" s="13">
        <v>0</v>
      </c>
      <c r="AH6" s="13">
        <v>7.7141099999999998</v>
      </c>
      <c r="AI6" s="14">
        <f t="shared" ref="AI6:AI69" si="1">SUM(Z6,Y6,X6,W6,V6,U6,T6,S6,R6,Q6,P6,O6,N6,M6,AA6,AB6,AC6,AD6,AE6,AF6,AG6,AH6)</f>
        <v>19.134612000000001</v>
      </c>
    </row>
    <row r="7" spans="1:35" ht="18" customHeight="1" x14ac:dyDescent="0.2">
      <c r="A7" s="27" t="str">
        <f t="shared" si="0"/>
        <v>법인</v>
      </c>
      <c r="B7" s="27" t="s">
        <v>1557</v>
      </c>
      <c r="C7" s="27" t="s">
        <v>1496</v>
      </c>
      <c r="D7" s="26">
        <v>1138209244</v>
      </c>
      <c r="E7" s="26">
        <v>10046812</v>
      </c>
      <c r="F7" s="25" t="s">
        <v>156</v>
      </c>
      <c r="G7" s="48" t="s">
        <v>322</v>
      </c>
      <c r="H7" s="53">
        <v>45835</v>
      </c>
      <c r="I7" s="53">
        <v>45944</v>
      </c>
      <c r="J7" s="14">
        <v>837.27199999999993</v>
      </c>
      <c r="K7" s="14">
        <f t="shared" ref="K7:K52" si="2">J7/36</f>
        <v>23.257555555555555</v>
      </c>
      <c r="L7" s="49" t="s">
        <v>311</v>
      </c>
      <c r="M7" s="13">
        <v>0</v>
      </c>
      <c r="N7" s="13">
        <v>0</v>
      </c>
      <c r="O7" s="13">
        <v>0</v>
      </c>
      <c r="P7" s="13">
        <v>0</v>
      </c>
      <c r="Q7" s="13">
        <v>0</v>
      </c>
      <c r="R7" s="13">
        <v>0</v>
      </c>
      <c r="S7" s="13">
        <v>0</v>
      </c>
      <c r="T7" s="13">
        <v>0</v>
      </c>
      <c r="U7" s="13">
        <v>0</v>
      </c>
      <c r="V7" s="13">
        <v>0</v>
      </c>
      <c r="W7" s="13">
        <v>0</v>
      </c>
      <c r="X7" s="13">
        <v>0</v>
      </c>
      <c r="Y7" s="13">
        <v>0</v>
      </c>
      <c r="Z7" s="13">
        <v>13.449</v>
      </c>
      <c r="AA7" s="13">
        <v>29.420999999999999</v>
      </c>
      <c r="AB7" s="13">
        <v>21.710999999999999</v>
      </c>
      <c r="AC7" s="13">
        <v>20.898</v>
      </c>
      <c r="AD7" s="13">
        <v>23.113</v>
      </c>
      <c r="AE7" s="13">
        <v>17.026</v>
      </c>
      <c r="AF7" s="13">
        <v>17.061</v>
      </c>
      <c r="AG7" s="13">
        <v>20.225999999999999</v>
      </c>
      <c r="AH7" s="13">
        <v>21.306999999999999</v>
      </c>
      <c r="AI7" s="14">
        <f t="shared" si="1"/>
        <v>184.21199999999996</v>
      </c>
    </row>
    <row r="8" spans="1:35" ht="18" customHeight="1" x14ac:dyDescent="0.2">
      <c r="A8" s="27" t="str">
        <f t="shared" si="0"/>
        <v>개인</v>
      </c>
      <c r="B8" s="27" t="s">
        <v>1558</v>
      </c>
      <c r="C8" s="27" t="s">
        <v>1554</v>
      </c>
      <c r="D8" s="26">
        <v>1249428434</v>
      </c>
      <c r="E8" s="26">
        <v>10060702</v>
      </c>
      <c r="F8" s="25" t="s">
        <v>109</v>
      </c>
      <c r="G8" s="48" t="s">
        <v>322</v>
      </c>
      <c r="H8" s="53">
        <v>45869</v>
      </c>
      <c r="I8" s="53">
        <v>45923</v>
      </c>
      <c r="J8" s="14">
        <v>536.54999999999995</v>
      </c>
      <c r="K8" s="14">
        <f t="shared" si="2"/>
        <v>14.904166666666665</v>
      </c>
      <c r="L8" s="49" t="s">
        <v>311</v>
      </c>
      <c r="M8" s="13">
        <v>0</v>
      </c>
      <c r="N8" s="13">
        <v>0</v>
      </c>
      <c r="O8" s="13">
        <v>0</v>
      </c>
      <c r="P8" s="13">
        <v>0</v>
      </c>
      <c r="Q8" s="13">
        <v>0</v>
      </c>
      <c r="R8" s="13">
        <v>0</v>
      </c>
      <c r="S8" s="13">
        <v>0</v>
      </c>
      <c r="T8" s="13">
        <v>0</v>
      </c>
      <c r="U8" s="13">
        <v>0</v>
      </c>
      <c r="V8" s="13">
        <v>0</v>
      </c>
      <c r="W8" s="13">
        <v>0</v>
      </c>
      <c r="X8" s="13">
        <v>0</v>
      </c>
      <c r="Y8" s="13">
        <v>0</v>
      </c>
      <c r="Z8" s="13">
        <v>1.84</v>
      </c>
      <c r="AA8" s="13">
        <v>7.3120000000000003</v>
      </c>
      <c r="AB8" s="13">
        <v>26.271999999999998</v>
      </c>
      <c r="AC8" s="144">
        <v>8.7040000000000006</v>
      </c>
      <c r="AD8" s="13">
        <v>0</v>
      </c>
      <c r="AE8" s="145">
        <v>21.36</v>
      </c>
      <c r="AF8" s="145">
        <v>12.928000000000001</v>
      </c>
      <c r="AG8" s="145">
        <v>12.064</v>
      </c>
      <c r="AH8" s="13">
        <v>9.0079999999999991</v>
      </c>
      <c r="AI8" s="14">
        <f t="shared" si="1"/>
        <v>99.487999999999985</v>
      </c>
    </row>
    <row r="9" spans="1:35" ht="18" customHeight="1" x14ac:dyDescent="0.2">
      <c r="A9" s="27" t="str">
        <f t="shared" si="0"/>
        <v>법인</v>
      </c>
      <c r="B9" s="27" t="s">
        <v>1559</v>
      </c>
      <c r="C9" s="27" t="s">
        <v>1496</v>
      </c>
      <c r="D9" s="26">
        <v>1258206916</v>
      </c>
      <c r="E9" s="26">
        <v>10032706</v>
      </c>
      <c r="F9" s="25" t="s">
        <v>353</v>
      </c>
      <c r="G9" s="48" t="s">
        <v>322</v>
      </c>
      <c r="H9" s="53">
        <v>45848</v>
      </c>
      <c r="I9" s="53">
        <v>45958</v>
      </c>
      <c r="J9" s="14">
        <v>429.23500000000001</v>
      </c>
      <c r="K9" s="14">
        <f t="shared" si="2"/>
        <v>11.923194444444444</v>
      </c>
      <c r="L9" s="49" t="s">
        <v>311</v>
      </c>
      <c r="M9" s="13">
        <v>0</v>
      </c>
      <c r="N9" s="13">
        <v>0</v>
      </c>
      <c r="O9" s="13">
        <v>0</v>
      </c>
      <c r="P9" s="13">
        <v>0</v>
      </c>
      <c r="Q9" s="13">
        <v>0</v>
      </c>
      <c r="R9" s="13">
        <v>0</v>
      </c>
      <c r="S9" s="13">
        <v>0</v>
      </c>
      <c r="T9" s="13">
        <v>0</v>
      </c>
      <c r="U9" s="13">
        <v>0</v>
      </c>
      <c r="V9" s="13">
        <v>0</v>
      </c>
      <c r="W9" s="13">
        <v>0</v>
      </c>
      <c r="X9" s="13">
        <v>0</v>
      </c>
      <c r="Y9" s="13">
        <v>0</v>
      </c>
      <c r="Z9" s="13">
        <v>0</v>
      </c>
      <c r="AA9" s="13">
        <v>8.4130000000000003</v>
      </c>
      <c r="AB9" s="13">
        <v>0</v>
      </c>
      <c r="AC9" s="13">
        <v>12.362</v>
      </c>
      <c r="AD9" s="13">
        <v>0</v>
      </c>
      <c r="AE9" s="13">
        <v>15.868</v>
      </c>
      <c r="AF9" s="13">
        <v>15</v>
      </c>
      <c r="AG9" s="13">
        <v>18</v>
      </c>
      <c r="AH9" s="13">
        <v>3</v>
      </c>
      <c r="AI9" s="14">
        <f t="shared" si="1"/>
        <v>72.643000000000001</v>
      </c>
    </row>
    <row r="10" spans="1:35" ht="18" customHeight="1" x14ac:dyDescent="0.2">
      <c r="A10" s="27" t="str">
        <f t="shared" si="0"/>
        <v>법인</v>
      </c>
      <c r="B10" s="27" t="s">
        <v>1560</v>
      </c>
      <c r="C10" s="27" t="s">
        <v>1496</v>
      </c>
      <c r="D10" s="26">
        <v>1278221650</v>
      </c>
      <c r="E10" s="26">
        <v>10045809</v>
      </c>
      <c r="F10" s="25" t="s">
        <v>352</v>
      </c>
      <c r="G10" s="48" t="s">
        <v>322</v>
      </c>
      <c r="H10" s="53">
        <v>45834</v>
      </c>
      <c r="I10" s="53">
        <v>45923</v>
      </c>
      <c r="J10" s="14">
        <v>605.33400000000006</v>
      </c>
      <c r="K10" s="14">
        <f t="shared" si="2"/>
        <v>16.814833333333336</v>
      </c>
      <c r="L10" s="49" t="s">
        <v>311</v>
      </c>
      <c r="M10" s="13">
        <v>0</v>
      </c>
      <c r="N10" s="13">
        <v>0</v>
      </c>
      <c r="O10" s="13">
        <v>0</v>
      </c>
      <c r="P10" s="13">
        <v>0</v>
      </c>
      <c r="Q10" s="13">
        <v>0</v>
      </c>
      <c r="R10" s="13">
        <v>0</v>
      </c>
      <c r="S10" s="13">
        <v>0</v>
      </c>
      <c r="T10" s="13">
        <v>0</v>
      </c>
      <c r="U10" s="13">
        <v>0</v>
      </c>
      <c r="V10" s="13">
        <v>0</v>
      </c>
      <c r="W10" s="13">
        <v>0</v>
      </c>
      <c r="X10" s="13">
        <v>0</v>
      </c>
      <c r="Y10" s="13">
        <v>0</v>
      </c>
      <c r="Z10" s="13">
        <v>0</v>
      </c>
      <c r="AA10" s="13">
        <v>13.804</v>
      </c>
      <c r="AB10" s="13">
        <v>10.192</v>
      </c>
      <c r="AC10" s="13">
        <v>11.257999999999999</v>
      </c>
      <c r="AD10" s="13">
        <v>10.855</v>
      </c>
      <c r="AE10" s="13">
        <v>11.375</v>
      </c>
      <c r="AF10" s="13">
        <v>12.285</v>
      </c>
      <c r="AG10" s="13">
        <v>11.791</v>
      </c>
      <c r="AH10" s="13">
        <v>9.984</v>
      </c>
      <c r="AI10" s="14">
        <f t="shared" si="1"/>
        <v>91.543999999999997</v>
      </c>
    </row>
    <row r="11" spans="1:35" ht="18" customHeight="1" x14ac:dyDescent="0.2">
      <c r="A11" s="27" t="str">
        <f t="shared" si="0"/>
        <v>개인</v>
      </c>
      <c r="B11" s="27" t="s">
        <v>1558</v>
      </c>
      <c r="C11" s="27" t="s">
        <v>1554</v>
      </c>
      <c r="D11" s="26">
        <v>1289131022</v>
      </c>
      <c r="E11" s="26">
        <v>10033043</v>
      </c>
      <c r="F11" s="25" t="s">
        <v>130</v>
      </c>
      <c r="G11" s="48" t="s">
        <v>322</v>
      </c>
      <c r="H11" s="53">
        <v>45806</v>
      </c>
      <c r="I11" s="53">
        <v>45888</v>
      </c>
      <c r="J11" s="14">
        <v>351.42600000000004</v>
      </c>
      <c r="K11" s="14">
        <f t="shared" si="2"/>
        <v>9.7618333333333354</v>
      </c>
      <c r="L11" s="49" t="s">
        <v>311</v>
      </c>
      <c r="M11" s="13">
        <v>0</v>
      </c>
      <c r="N11" s="13">
        <v>0</v>
      </c>
      <c r="O11" s="13">
        <v>0</v>
      </c>
      <c r="P11" s="13">
        <v>0</v>
      </c>
      <c r="Q11" s="13">
        <v>0</v>
      </c>
      <c r="R11" s="13">
        <v>0</v>
      </c>
      <c r="S11" s="13">
        <v>0</v>
      </c>
      <c r="T11" s="13">
        <v>0</v>
      </c>
      <c r="U11" s="13">
        <v>0</v>
      </c>
      <c r="V11" s="13">
        <v>0</v>
      </c>
      <c r="W11" s="13">
        <v>0</v>
      </c>
      <c r="X11" s="13">
        <v>0</v>
      </c>
      <c r="Y11" s="13">
        <v>0</v>
      </c>
      <c r="Z11" s="13">
        <v>10.003</v>
      </c>
      <c r="AA11" s="13">
        <v>9.4949999999999992</v>
      </c>
      <c r="AB11" s="13">
        <v>6.9290000000000003</v>
      </c>
      <c r="AC11" s="13">
        <v>6.1059999999999999</v>
      </c>
      <c r="AD11" s="13">
        <v>8.3550000000000004</v>
      </c>
      <c r="AE11" s="13">
        <v>9.3989999999999991</v>
      </c>
      <c r="AF11" s="13">
        <v>7.6449999999999996</v>
      </c>
      <c r="AG11" s="13">
        <v>9.01</v>
      </c>
      <c r="AH11" s="13">
        <v>11.775</v>
      </c>
      <c r="AI11" s="14">
        <f t="shared" si="1"/>
        <v>78.717000000000013</v>
      </c>
    </row>
    <row r="12" spans="1:35" ht="18" customHeight="1" x14ac:dyDescent="0.2">
      <c r="A12" s="27" t="str">
        <f t="shared" si="0"/>
        <v>개인</v>
      </c>
      <c r="B12" s="27" t="s">
        <v>1555</v>
      </c>
      <c r="C12" s="27" t="s">
        <v>1554</v>
      </c>
      <c r="D12" s="26">
        <v>1289239661</v>
      </c>
      <c r="E12" s="26">
        <v>10006915</v>
      </c>
      <c r="F12" s="25" t="s">
        <v>134</v>
      </c>
      <c r="G12" s="48" t="s">
        <v>322</v>
      </c>
      <c r="H12" s="53">
        <v>45953</v>
      </c>
      <c r="I12" s="53">
        <v>45965</v>
      </c>
      <c r="J12" s="14">
        <v>1054.308548</v>
      </c>
      <c r="K12" s="14">
        <f t="shared" si="2"/>
        <v>29.286348555555556</v>
      </c>
      <c r="L12" s="49" t="s">
        <v>311</v>
      </c>
      <c r="M12" s="13">
        <v>0</v>
      </c>
      <c r="N12" s="13">
        <v>0</v>
      </c>
      <c r="O12" s="13">
        <v>0</v>
      </c>
      <c r="P12" s="13">
        <v>0</v>
      </c>
      <c r="Q12" s="13">
        <v>0</v>
      </c>
      <c r="R12" s="13">
        <v>0</v>
      </c>
      <c r="S12" s="13">
        <v>0</v>
      </c>
      <c r="T12" s="13">
        <v>0</v>
      </c>
      <c r="U12" s="13">
        <v>0</v>
      </c>
      <c r="V12" s="13">
        <v>0</v>
      </c>
      <c r="W12" s="13">
        <v>0</v>
      </c>
      <c r="X12" s="13">
        <v>0</v>
      </c>
      <c r="Y12" s="13">
        <v>0</v>
      </c>
      <c r="Z12" s="13">
        <v>0</v>
      </c>
      <c r="AA12" s="13">
        <v>9.7639999999999993</v>
      </c>
      <c r="AB12" s="13">
        <v>9.5519999999999996</v>
      </c>
      <c r="AC12" s="13">
        <v>8.8000000000000007</v>
      </c>
      <c r="AD12" s="13">
        <v>10.08</v>
      </c>
      <c r="AE12" s="13">
        <v>9.44</v>
      </c>
      <c r="AF12" s="13">
        <v>9.6959999999999997</v>
      </c>
      <c r="AG12" s="13">
        <v>9.3759999999999994</v>
      </c>
      <c r="AH12" s="13">
        <v>8.7680000000000007</v>
      </c>
      <c r="AI12" s="14">
        <f t="shared" si="1"/>
        <v>75.475999999999999</v>
      </c>
    </row>
    <row r="13" spans="1:35" ht="18" customHeight="1" x14ac:dyDescent="0.2">
      <c r="A13" s="27" t="str">
        <f t="shared" si="0"/>
        <v>법인</v>
      </c>
      <c r="B13" s="27" t="s">
        <v>1561</v>
      </c>
      <c r="C13" s="27" t="s">
        <v>1496</v>
      </c>
      <c r="D13" s="26">
        <v>1378208431</v>
      </c>
      <c r="E13" s="26">
        <v>10033886</v>
      </c>
      <c r="F13" s="25" t="s">
        <v>351</v>
      </c>
      <c r="G13" s="48" t="s">
        <v>322</v>
      </c>
      <c r="H13" s="53">
        <v>45897</v>
      </c>
      <c r="I13" s="53">
        <v>45944</v>
      </c>
      <c r="J13" s="14">
        <v>1146.845</v>
      </c>
      <c r="K13" s="14">
        <f t="shared" si="2"/>
        <v>31.856805555555557</v>
      </c>
      <c r="L13" s="49" t="s">
        <v>332</v>
      </c>
      <c r="M13" s="13">
        <v>0</v>
      </c>
      <c r="N13" s="13">
        <v>0</v>
      </c>
      <c r="O13" s="13">
        <v>0</v>
      </c>
      <c r="P13" s="13">
        <v>0</v>
      </c>
      <c r="Q13" s="13">
        <v>0</v>
      </c>
      <c r="R13" s="13">
        <v>0</v>
      </c>
      <c r="S13" s="13">
        <v>0</v>
      </c>
      <c r="T13" s="13">
        <v>0</v>
      </c>
      <c r="U13" s="13">
        <v>0</v>
      </c>
      <c r="V13" s="13">
        <v>0</v>
      </c>
      <c r="W13" s="13">
        <v>0</v>
      </c>
      <c r="X13" s="13">
        <v>0</v>
      </c>
      <c r="Y13" s="13">
        <v>0</v>
      </c>
      <c r="Z13" s="13">
        <v>82.381</v>
      </c>
      <c r="AA13" s="13">
        <v>39.234000000000002</v>
      </c>
      <c r="AB13" s="13">
        <v>31.564</v>
      </c>
      <c r="AC13" s="13">
        <v>77.141999999999996</v>
      </c>
      <c r="AD13" s="13">
        <v>56.991999999999997</v>
      </c>
      <c r="AE13" s="13">
        <v>35.698</v>
      </c>
      <c r="AF13" s="13">
        <v>44.343000000000004</v>
      </c>
      <c r="AG13" s="13">
        <v>52.078000000000003</v>
      </c>
      <c r="AH13" s="13">
        <v>43.719000000000001</v>
      </c>
      <c r="AI13" s="14">
        <f t="shared" si="1"/>
        <v>463.15100000000001</v>
      </c>
    </row>
    <row r="14" spans="1:35" ht="18" customHeight="1" x14ac:dyDescent="0.2">
      <c r="A14" s="27" t="str">
        <f t="shared" si="0"/>
        <v>법인</v>
      </c>
      <c r="B14" s="27" t="s">
        <v>1562</v>
      </c>
      <c r="C14" s="27" t="s">
        <v>1496</v>
      </c>
      <c r="D14" s="26">
        <v>1428200955</v>
      </c>
      <c r="E14" s="26">
        <v>10034115</v>
      </c>
      <c r="F14" s="25" t="s">
        <v>349</v>
      </c>
      <c r="G14" s="48" t="s">
        <v>319</v>
      </c>
      <c r="H14" s="53">
        <v>45923</v>
      </c>
      <c r="I14" s="50">
        <v>45964</v>
      </c>
      <c r="J14" s="14">
        <v>420.56399999999996</v>
      </c>
      <c r="K14" s="14">
        <f>J14</f>
        <v>420.56399999999996</v>
      </c>
      <c r="L14" s="51">
        <v>0</v>
      </c>
      <c r="M14" s="13">
        <v>0</v>
      </c>
      <c r="N14" s="13">
        <v>0</v>
      </c>
      <c r="O14" s="13">
        <v>0</v>
      </c>
      <c r="P14" s="13">
        <v>0</v>
      </c>
      <c r="Q14" s="13">
        <v>0</v>
      </c>
      <c r="R14" s="13">
        <v>0</v>
      </c>
      <c r="S14" s="13">
        <v>0</v>
      </c>
      <c r="T14" s="13">
        <v>0</v>
      </c>
      <c r="U14" s="13">
        <v>0</v>
      </c>
      <c r="V14" s="13">
        <v>0</v>
      </c>
      <c r="W14" s="13">
        <v>0</v>
      </c>
      <c r="X14" s="13">
        <v>0</v>
      </c>
      <c r="Y14" s="13">
        <v>0</v>
      </c>
      <c r="Z14" s="13">
        <v>0</v>
      </c>
      <c r="AA14" s="13">
        <v>126.1692</v>
      </c>
      <c r="AB14" s="13">
        <v>294.39479999999998</v>
      </c>
      <c r="AC14" s="13">
        <v>0</v>
      </c>
      <c r="AD14" s="13">
        <v>0</v>
      </c>
      <c r="AE14" s="13">
        <v>0</v>
      </c>
      <c r="AF14" s="13">
        <v>0</v>
      </c>
      <c r="AG14" s="13">
        <v>0</v>
      </c>
      <c r="AH14" s="13">
        <v>0</v>
      </c>
      <c r="AI14" s="14">
        <f t="shared" si="1"/>
        <v>420.56399999999996</v>
      </c>
    </row>
    <row r="15" spans="1:35" ht="18" customHeight="1" x14ac:dyDescent="0.2">
      <c r="A15" s="27" t="str">
        <f t="shared" si="0"/>
        <v>개인</v>
      </c>
      <c r="B15" s="27" t="s">
        <v>1558</v>
      </c>
      <c r="C15" s="27" t="s">
        <v>1554</v>
      </c>
      <c r="D15" s="26">
        <v>2059615760</v>
      </c>
      <c r="E15" s="26">
        <v>10034679</v>
      </c>
      <c r="F15" s="25" t="s">
        <v>120</v>
      </c>
      <c r="G15" s="48" t="s">
        <v>322</v>
      </c>
      <c r="H15" s="53">
        <v>45845</v>
      </c>
      <c r="I15" s="53">
        <v>45958</v>
      </c>
      <c r="J15" s="14">
        <v>490.29800000000006</v>
      </c>
      <c r="K15" s="14">
        <f t="shared" si="2"/>
        <v>13.61938888888889</v>
      </c>
      <c r="L15" s="49" t="s">
        <v>311</v>
      </c>
      <c r="M15" s="13">
        <v>0</v>
      </c>
      <c r="N15" s="13">
        <v>0</v>
      </c>
      <c r="O15" s="13">
        <v>0</v>
      </c>
      <c r="P15" s="13">
        <v>0</v>
      </c>
      <c r="Q15" s="13">
        <v>0</v>
      </c>
      <c r="R15" s="13">
        <v>0</v>
      </c>
      <c r="S15" s="13">
        <v>0</v>
      </c>
      <c r="T15" s="13">
        <v>0</v>
      </c>
      <c r="U15" s="13">
        <v>0</v>
      </c>
      <c r="V15" s="13">
        <v>0</v>
      </c>
      <c r="W15" s="13">
        <v>0</v>
      </c>
      <c r="X15" s="13">
        <v>0</v>
      </c>
      <c r="Y15" s="13">
        <v>0</v>
      </c>
      <c r="Z15" s="13">
        <v>0</v>
      </c>
      <c r="AA15" s="13">
        <v>20.318000000000001</v>
      </c>
      <c r="AB15" s="13">
        <v>9.9350000000000005</v>
      </c>
      <c r="AC15" s="13">
        <v>5.4390000000000001</v>
      </c>
      <c r="AD15" s="13">
        <v>10.336</v>
      </c>
      <c r="AE15" s="13">
        <v>11.513</v>
      </c>
      <c r="AF15" s="13">
        <v>10.131</v>
      </c>
      <c r="AG15" s="13">
        <v>9.4</v>
      </c>
      <c r="AH15" s="13">
        <v>10.119999999999999</v>
      </c>
      <c r="AI15" s="14">
        <f t="shared" si="1"/>
        <v>87.192000000000007</v>
      </c>
    </row>
    <row r="16" spans="1:35" ht="18" customHeight="1" x14ac:dyDescent="0.2">
      <c r="A16" s="27" t="str">
        <f t="shared" si="0"/>
        <v>개인</v>
      </c>
      <c r="B16" s="27" t="s">
        <v>1559</v>
      </c>
      <c r="C16" s="27" t="s">
        <v>1554</v>
      </c>
      <c r="D16" s="26">
        <v>2109607113</v>
      </c>
      <c r="E16" s="26">
        <v>10044981</v>
      </c>
      <c r="F16" s="25" t="s">
        <v>124</v>
      </c>
      <c r="G16" s="48" t="s">
        <v>322</v>
      </c>
      <c r="H16" s="53">
        <v>45849</v>
      </c>
      <c r="I16" s="53">
        <v>45965</v>
      </c>
      <c r="J16" s="14">
        <v>404.67899999999997</v>
      </c>
      <c r="K16" s="14">
        <f t="shared" si="2"/>
        <v>11.241083333333332</v>
      </c>
      <c r="L16" s="49" t="s">
        <v>311</v>
      </c>
      <c r="M16" s="13">
        <v>0</v>
      </c>
      <c r="N16" s="13">
        <v>0</v>
      </c>
      <c r="O16" s="13">
        <v>0</v>
      </c>
      <c r="P16" s="13">
        <v>0</v>
      </c>
      <c r="Q16" s="13">
        <v>0</v>
      </c>
      <c r="R16" s="13">
        <v>0</v>
      </c>
      <c r="S16" s="13">
        <v>0</v>
      </c>
      <c r="T16" s="13">
        <v>0</v>
      </c>
      <c r="U16" s="13">
        <v>0</v>
      </c>
      <c r="V16" s="13">
        <v>0</v>
      </c>
      <c r="W16" s="13">
        <v>0</v>
      </c>
      <c r="X16" s="13">
        <v>0</v>
      </c>
      <c r="Y16" s="13">
        <v>0</v>
      </c>
      <c r="Z16" s="13">
        <v>0</v>
      </c>
      <c r="AA16" s="13">
        <v>5.9640000000000004</v>
      </c>
      <c r="AB16" s="13">
        <v>10.712999999999999</v>
      </c>
      <c r="AC16" s="13">
        <v>13.101000000000001</v>
      </c>
      <c r="AD16" s="13">
        <v>12.743</v>
      </c>
      <c r="AE16" s="13">
        <v>14</v>
      </c>
      <c r="AF16" s="13">
        <v>14.964</v>
      </c>
      <c r="AG16" s="13">
        <v>11.837</v>
      </c>
      <c r="AH16" s="13">
        <v>12.128</v>
      </c>
      <c r="AI16" s="14">
        <f t="shared" si="1"/>
        <v>95.45</v>
      </c>
    </row>
    <row r="17" spans="1:35" ht="18" customHeight="1" x14ac:dyDescent="0.2">
      <c r="A17" s="27" t="str">
        <f t="shared" si="0"/>
        <v>개인</v>
      </c>
      <c r="B17" s="27" t="s">
        <v>1555</v>
      </c>
      <c r="C17" s="27" t="s">
        <v>1554</v>
      </c>
      <c r="D17" s="26">
        <v>2129011299</v>
      </c>
      <c r="E17" s="26">
        <v>10035069</v>
      </c>
      <c r="F17" s="25" t="s">
        <v>66</v>
      </c>
      <c r="G17" s="48" t="s">
        <v>322</v>
      </c>
      <c r="H17" s="53">
        <v>45797</v>
      </c>
      <c r="I17" s="53">
        <v>45840</v>
      </c>
      <c r="J17" s="14">
        <v>1401.8890000000001</v>
      </c>
      <c r="K17" s="14">
        <f t="shared" si="2"/>
        <v>38.941361111111114</v>
      </c>
      <c r="L17" s="49" t="s">
        <v>312</v>
      </c>
      <c r="M17" s="13">
        <v>0</v>
      </c>
      <c r="N17" s="13">
        <v>0</v>
      </c>
      <c r="O17" s="13">
        <v>0</v>
      </c>
      <c r="P17" s="13">
        <v>0</v>
      </c>
      <c r="Q17" s="13">
        <v>0</v>
      </c>
      <c r="R17" s="13">
        <v>0</v>
      </c>
      <c r="S17" s="13">
        <v>0</v>
      </c>
      <c r="T17" s="13">
        <v>0</v>
      </c>
      <c r="U17" s="13">
        <v>0</v>
      </c>
      <c r="V17" s="13">
        <v>0</v>
      </c>
      <c r="W17" s="13">
        <v>0</v>
      </c>
      <c r="X17" s="13">
        <v>0</v>
      </c>
      <c r="Y17" s="15">
        <v>103.80240000000001</v>
      </c>
      <c r="Z17" s="13">
        <v>47.417200000000001</v>
      </c>
      <c r="AA17" s="13">
        <v>29.071999999999999</v>
      </c>
      <c r="AB17" s="13">
        <v>31.325199999999999</v>
      </c>
      <c r="AC17" s="13">
        <v>0</v>
      </c>
      <c r="AD17" s="13">
        <v>43.6252</v>
      </c>
      <c r="AE17" s="13">
        <v>28.5428</v>
      </c>
      <c r="AF17" s="13">
        <v>30.392800000000001</v>
      </c>
      <c r="AG17" s="13">
        <v>0</v>
      </c>
      <c r="AH17" s="13">
        <v>63.358800000000002</v>
      </c>
      <c r="AI17" s="14">
        <f t="shared" si="1"/>
        <v>377.53640000000007</v>
      </c>
    </row>
    <row r="18" spans="1:35" ht="18" customHeight="1" x14ac:dyDescent="0.2">
      <c r="A18" s="27" t="str">
        <f t="shared" si="0"/>
        <v>개인</v>
      </c>
      <c r="B18" s="27" t="s">
        <v>1558</v>
      </c>
      <c r="C18" s="27" t="s">
        <v>1554</v>
      </c>
      <c r="D18" s="26">
        <v>2129097720</v>
      </c>
      <c r="E18" s="26">
        <v>10035078</v>
      </c>
      <c r="F18" s="25" t="s">
        <v>144</v>
      </c>
      <c r="G18" s="48" t="s">
        <v>322</v>
      </c>
      <c r="H18" s="53">
        <v>45810</v>
      </c>
      <c r="I18" s="53">
        <v>45923</v>
      </c>
      <c r="J18" s="14">
        <v>279.08499999999998</v>
      </c>
      <c r="K18" s="14">
        <f t="shared" si="2"/>
        <v>7.7523611111111101</v>
      </c>
      <c r="L18" s="49" t="s">
        <v>311</v>
      </c>
      <c r="M18" s="13">
        <v>0</v>
      </c>
      <c r="N18" s="13">
        <v>0</v>
      </c>
      <c r="O18" s="13">
        <v>0</v>
      </c>
      <c r="P18" s="13">
        <v>0</v>
      </c>
      <c r="Q18" s="13">
        <v>0</v>
      </c>
      <c r="R18" s="13">
        <v>0</v>
      </c>
      <c r="S18" s="13">
        <v>0</v>
      </c>
      <c r="T18" s="13">
        <v>0</v>
      </c>
      <c r="U18" s="13">
        <v>0</v>
      </c>
      <c r="V18" s="13">
        <v>0</v>
      </c>
      <c r="W18" s="13">
        <v>0</v>
      </c>
      <c r="X18" s="13">
        <v>0</v>
      </c>
      <c r="Y18" s="13">
        <v>0</v>
      </c>
      <c r="Z18" s="13">
        <v>0</v>
      </c>
      <c r="AA18" s="13">
        <v>0</v>
      </c>
      <c r="AB18" s="13">
        <v>0</v>
      </c>
      <c r="AC18" s="144">
        <v>28.132999999999999</v>
      </c>
      <c r="AD18" s="13">
        <v>6.3620000000000001</v>
      </c>
      <c r="AE18" s="13">
        <v>7.4569999999999999</v>
      </c>
      <c r="AF18" s="13">
        <v>0</v>
      </c>
      <c r="AG18" s="13">
        <v>6.2910000000000004</v>
      </c>
      <c r="AH18" s="13">
        <v>0</v>
      </c>
      <c r="AI18" s="14">
        <f t="shared" si="1"/>
        <v>48.242999999999995</v>
      </c>
    </row>
    <row r="19" spans="1:35" ht="18" customHeight="1" x14ac:dyDescent="0.2">
      <c r="A19" s="27" t="str">
        <f t="shared" si="0"/>
        <v>법인</v>
      </c>
      <c r="B19" s="27" t="s">
        <v>1563</v>
      </c>
      <c r="C19" s="27" t="s">
        <v>1496</v>
      </c>
      <c r="D19" s="26">
        <v>2248207089</v>
      </c>
      <c r="E19" s="26">
        <v>10046570</v>
      </c>
      <c r="F19" s="25" t="s">
        <v>118</v>
      </c>
      <c r="G19" s="48" t="s">
        <v>322</v>
      </c>
      <c r="H19" s="53">
        <v>45902</v>
      </c>
      <c r="I19" s="53">
        <v>45965</v>
      </c>
      <c r="J19" s="14">
        <v>884.44200000000001</v>
      </c>
      <c r="K19" s="14">
        <f t="shared" si="2"/>
        <v>24.567833333333333</v>
      </c>
      <c r="L19" s="49" t="s">
        <v>311</v>
      </c>
      <c r="M19" s="13">
        <v>0</v>
      </c>
      <c r="N19" s="13">
        <v>0</v>
      </c>
      <c r="O19" s="13">
        <v>0</v>
      </c>
      <c r="P19" s="13">
        <v>0</v>
      </c>
      <c r="Q19" s="13">
        <v>0</v>
      </c>
      <c r="R19" s="13">
        <v>0</v>
      </c>
      <c r="S19" s="13">
        <v>0</v>
      </c>
      <c r="T19" s="13">
        <v>0</v>
      </c>
      <c r="U19" s="13">
        <v>0</v>
      </c>
      <c r="V19" s="13">
        <v>0</v>
      </c>
      <c r="W19" s="13">
        <v>0</v>
      </c>
      <c r="X19" s="13">
        <v>0</v>
      </c>
      <c r="Y19" s="13">
        <v>0</v>
      </c>
      <c r="Z19" s="13">
        <v>3.0419999999999998</v>
      </c>
      <c r="AA19" s="13">
        <v>3.0419999999999998</v>
      </c>
      <c r="AB19" s="13">
        <v>20.617999999999999</v>
      </c>
      <c r="AC19" s="13">
        <v>27.495000000000001</v>
      </c>
      <c r="AD19" s="13">
        <v>17.094999999999999</v>
      </c>
      <c r="AE19" s="13">
        <v>21.021000000000001</v>
      </c>
      <c r="AF19" s="13">
        <v>20.384</v>
      </c>
      <c r="AG19" s="13">
        <v>24.088999999999999</v>
      </c>
      <c r="AH19" s="13">
        <v>24.206</v>
      </c>
      <c r="AI19" s="14">
        <f t="shared" si="1"/>
        <v>160.99199999999999</v>
      </c>
    </row>
    <row r="20" spans="1:35" ht="18" customHeight="1" x14ac:dyDescent="0.2">
      <c r="A20" s="27" t="str">
        <f t="shared" si="0"/>
        <v>개인</v>
      </c>
      <c r="B20" s="27" t="s">
        <v>1564</v>
      </c>
      <c r="C20" s="27" t="s">
        <v>1554</v>
      </c>
      <c r="D20" s="26">
        <v>2859000091</v>
      </c>
      <c r="E20" s="26">
        <v>10036016</v>
      </c>
      <c r="F20" s="25" t="s">
        <v>122</v>
      </c>
      <c r="G20" s="48" t="s">
        <v>322</v>
      </c>
      <c r="H20" s="53">
        <v>45880</v>
      </c>
      <c r="I20" s="53">
        <v>45972</v>
      </c>
      <c r="J20" s="14">
        <v>324.59199999999998</v>
      </c>
      <c r="K20" s="14">
        <f t="shared" si="2"/>
        <v>9.0164444444444438</v>
      </c>
      <c r="L20" s="49" t="s">
        <v>311</v>
      </c>
      <c r="M20" s="13">
        <v>0</v>
      </c>
      <c r="N20" s="13">
        <v>0</v>
      </c>
      <c r="O20" s="13">
        <v>0</v>
      </c>
      <c r="P20" s="13">
        <v>0</v>
      </c>
      <c r="Q20" s="13">
        <v>0</v>
      </c>
      <c r="R20" s="13">
        <v>0</v>
      </c>
      <c r="S20" s="13">
        <v>0</v>
      </c>
      <c r="T20" s="13">
        <v>0</v>
      </c>
      <c r="U20" s="13">
        <v>0</v>
      </c>
      <c r="V20" s="13">
        <v>0</v>
      </c>
      <c r="W20" s="13">
        <v>0</v>
      </c>
      <c r="X20" s="13">
        <v>0</v>
      </c>
      <c r="Y20" s="13">
        <v>0</v>
      </c>
      <c r="Z20" s="13">
        <v>1.3280000000000001</v>
      </c>
      <c r="AA20" s="13">
        <v>5.056</v>
      </c>
      <c r="AB20" s="13">
        <v>3.2160000000000002</v>
      </c>
      <c r="AC20" s="13">
        <v>4.5919999999999996</v>
      </c>
      <c r="AD20" s="13">
        <v>5.952</v>
      </c>
      <c r="AE20" s="145">
        <v>2.8800002</v>
      </c>
      <c r="AF20" s="145">
        <v>2.4319999999999999</v>
      </c>
      <c r="AG20" s="145">
        <v>5.12</v>
      </c>
      <c r="AH20" s="13">
        <v>3.6480000000000001</v>
      </c>
      <c r="AI20" s="14">
        <f t="shared" si="1"/>
        <v>34.224000199999999</v>
      </c>
    </row>
    <row r="21" spans="1:35" ht="18" customHeight="1" x14ac:dyDescent="0.2">
      <c r="A21" s="27" t="str">
        <f t="shared" si="0"/>
        <v>개인</v>
      </c>
      <c r="B21" s="27" t="s">
        <v>1559</v>
      </c>
      <c r="C21" s="27" t="s">
        <v>1554</v>
      </c>
      <c r="D21" s="26">
        <v>3109602311</v>
      </c>
      <c r="E21" s="26">
        <v>10036590</v>
      </c>
      <c r="F21" s="25" t="s">
        <v>136</v>
      </c>
      <c r="G21" s="48" t="s">
        <v>322</v>
      </c>
      <c r="H21" s="53">
        <v>45838</v>
      </c>
      <c r="I21" s="53">
        <v>45951</v>
      </c>
      <c r="J21" s="14">
        <v>969.53099999999995</v>
      </c>
      <c r="K21" s="14">
        <f t="shared" si="2"/>
        <v>26.931416666666664</v>
      </c>
      <c r="L21" s="49" t="s">
        <v>313</v>
      </c>
      <c r="M21" s="13">
        <v>0</v>
      </c>
      <c r="N21" s="13">
        <v>0</v>
      </c>
      <c r="O21" s="13">
        <v>0</v>
      </c>
      <c r="P21" s="13">
        <v>0</v>
      </c>
      <c r="Q21" s="13">
        <v>0</v>
      </c>
      <c r="R21" s="13">
        <v>0</v>
      </c>
      <c r="S21" s="13">
        <v>0</v>
      </c>
      <c r="T21" s="13">
        <v>0</v>
      </c>
      <c r="U21" s="13">
        <v>0</v>
      </c>
      <c r="V21" s="13">
        <v>0</v>
      </c>
      <c r="W21" s="13">
        <v>0</v>
      </c>
      <c r="X21" s="13">
        <v>0</v>
      </c>
      <c r="Y21" s="13">
        <v>0</v>
      </c>
      <c r="Z21" s="13">
        <v>0</v>
      </c>
      <c r="AA21" s="13">
        <v>7.6959999999999997</v>
      </c>
      <c r="AB21" s="13">
        <v>14.135</v>
      </c>
      <c r="AC21" s="13">
        <v>14.004</v>
      </c>
      <c r="AD21" s="13">
        <v>8.2159999999999993</v>
      </c>
      <c r="AE21" s="13">
        <v>11.755000000000001</v>
      </c>
      <c r="AF21" s="13">
        <v>19.387</v>
      </c>
      <c r="AG21" s="13">
        <v>28.381</v>
      </c>
      <c r="AH21" s="13">
        <v>29.457999999999998</v>
      </c>
      <c r="AI21" s="14">
        <f t="shared" si="1"/>
        <v>133.03200000000001</v>
      </c>
    </row>
    <row r="22" spans="1:35" ht="18" customHeight="1" x14ac:dyDescent="0.2">
      <c r="A22" s="27" t="str">
        <f t="shared" si="0"/>
        <v>개인</v>
      </c>
      <c r="B22" s="27" t="s">
        <v>1558</v>
      </c>
      <c r="C22" s="27" t="s">
        <v>1554</v>
      </c>
      <c r="D22" s="26">
        <v>3129151282</v>
      </c>
      <c r="E22" s="26">
        <v>10008171</v>
      </c>
      <c r="F22" s="25" t="s">
        <v>142</v>
      </c>
      <c r="G22" s="48" t="s">
        <v>322</v>
      </c>
      <c r="H22" s="53">
        <v>45833</v>
      </c>
      <c r="I22" s="53">
        <v>45951</v>
      </c>
      <c r="J22" s="14">
        <v>476.62000000000006</v>
      </c>
      <c r="K22" s="14">
        <f t="shared" si="2"/>
        <v>13.239444444444446</v>
      </c>
      <c r="L22" s="49" t="s">
        <v>311</v>
      </c>
      <c r="M22" s="13">
        <v>0</v>
      </c>
      <c r="N22" s="13">
        <v>0</v>
      </c>
      <c r="O22" s="13">
        <v>0</v>
      </c>
      <c r="P22" s="13">
        <v>0</v>
      </c>
      <c r="Q22" s="13">
        <v>0</v>
      </c>
      <c r="R22" s="13">
        <v>0</v>
      </c>
      <c r="S22" s="13">
        <v>0</v>
      </c>
      <c r="T22" s="13">
        <v>0</v>
      </c>
      <c r="U22" s="13">
        <v>0</v>
      </c>
      <c r="V22" s="13">
        <v>0</v>
      </c>
      <c r="W22" s="13">
        <v>0</v>
      </c>
      <c r="X22" s="13">
        <v>0</v>
      </c>
      <c r="Y22" s="13">
        <v>0</v>
      </c>
      <c r="Z22" s="13">
        <v>0</v>
      </c>
      <c r="AA22" s="13">
        <v>0</v>
      </c>
      <c r="AB22" s="13">
        <v>9.6999999999999993</v>
      </c>
      <c r="AC22" s="13">
        <v>0</v>
      </c>
      <c r="AD22" s="13">
        <v>0</v>
      </c>
      <c r="AE22" s="13">
        <v>0</v>
      </c>
      <c r="AF22" s="13">
        <v>0</v>
      </c>
      <c r="AG22" s="13">
        <v>15.573</v>
      </c>
      <c r="AH22" s="13">
        <v>17.760000000000002</v>
      </c>
      <c r="AI22" s="14">
        <f t="shared" si="1"/>
        <v>43.033000000000001</v>
      </c>
    </row>
    <row r="23" spans="1:35" ht="18" customHeight="1" x14ac:dyDescent="0.2">
      <c r="A23" s="27" t="str">
        <f t="shared" si="0"/>
        <v>법인</v>
      </c>
      <c r="B23" s="27" t="s">
        <v>1560</v>
      </c>
      <c r="C23" s="27" t="s">
        <v>1496</v>
      </c>
      <c r="D23" s="26">
        <v>3668200250</v>
      </c>
      <c r="E23" s="26">
        <v>10037290</v>
      </c>
      <c r="F23" s="25" t="s">
        <v>79</v>
      </c>
      <c r="G23" s="48" t="s">
        <v>320</v>
      </c>
      <c r="H23" s="53">
        <v>45916</v>
      </c>
      <c r="I23" s="50">
        <v>45969</v>
      </c>
      <c r="J23" s="14">
        <v>220</v>
      </c>
      <c r="K23" s="14">
        <f>J23</f>
        <v>220</v>
      </c>
      <c r="L23" s="49" t="s">
        <v>348</v>
      </c>
      <c r="M23" s="13">
        <v>0</v>
      </c>
      <c r="N23" s="13">
        <v>0</v>
      </c>
      <c r="O23" s="13">
        <v>0</v>
      </c>
      <c r="P23" s="13">
        <v>0</v>
      </c>
      <c r="Q23" s="13">
        <v>0</v>
      </c>
      <c r="R23" s="13">
        <v>0</v>
      </c>
      <c r="S23" s="13">
        <v>0</v>
      </c>
      <c r="T23" s="13">
        <v>0</v>
      </c>
      <c r="U23" s="13">
        <v>0</v>
      </c>
      <c r="V23" s="13">
        <v>0</v>
      </c>
      <c r="W23" s="13">
        <v>0</v>
      </c>
      <c r="X23" s="13">
        <v>0</v>
      </c>
      <c r="Y23" s="13">
        <v>0</v>
      </c>
      <c r="Z23" s="13">
        <v>0</v>
      </c>
      <c r="AA23" s="13">
        <v>220</v>
      </c>
      <c r="AB23" s="13">
        <v>0</v>
      </c>
      <c r="AC23" s="13">
        <v>0</v>
      </c>
      <c r="AD23" s="13">
        <v>0</v>
      </c>
      <c r="AE23" s="13">
        <v>0</v>
      </c>
      <c r="AF23" s="13">
        <v>0</v>
      </c>
      <c r="AG23" s="13">
        <v>0</v>
      </c>
      <c r="AH23" s="13">
        <v>0</v>
      </c>
      <c r="AI23" s="14">
        <f t="shared" si="1"/>
        <v>220</v>
      </c>
    </row>
    <row r="24" spans="1:35" ht="18" customHeight="1" x14ac:dyDescent="0.2">
      <c r="A24" s="27" t="str">
        <f t="shared" si="0"/>
        <v>개인</v>
      </c>
      <c r="B24" s="27" t="s">
        <v>1556</v>
      </c>
      <c r="C24" s="27" t="s">
        <v>1554</v>
      </c>
      <c r="D24" s="26">
        <v>4059009702</v>
      </c>
      <c r="E24" s="26">
        <v>10037788</v>
      </c>
      <c r="F24" s="25" t="s">
        <v>150</v>
      </c>
      <c r="G24" s="48" t="s">
        <v>320</v>
      </c>
      <c r="H24" s="53">
        <v>45908</v>
      </c>
      <c r="I24" s="50">
        <v>45993</v>
      </c>
      <c r="J24" s="14">
        <v>209.16499999999999</v>
      </c>
      <c r="K24" s="14">
        <f>J24</f>
        <v>209.16499999999999</v>
      </c>
      <c r="L24" s="49" t="s">
        <v>311</v>
      </c>
      <c r="M24" s="13">
        <v>0</v>
      </c>
      <c r="N24" s="13">
        <v>0</v>
      </c>
      <c r="O24" s="13">
        <v>0</v>
      </c>
      <c r="P24" s="13">
        <v>0</v>
      </c>
      <c r="Q24" s="13">
        <v>0</v>
      </c>
      <c r="R24" s="13">
        <v>0</v>
      </c>
      <c r="S24" s="13">
        <v>0</v>
      </c>
      <c r="T24" s="13">
        <v>0</v>
      </c>
      <c r="U24" s="13">
        <v>0</v>
      </c>
      <c r="V24" s="13">
        <v>0</v>
      </c>
      <c r="W24" s="13">
        <v>0</v>
      </c>
      <c r="X24" s="13">
        <v>0</v>
      </c>
      <c r="Y24" s="13">
        <v>0</v>
      </c>
      <c r="Z24" s="13">
        <v>69.165000000000006</v>
      </c>
      <c r="AA24" s="13">
        <v>70</v>
      </c>
      <c r="AB24" s="13">
        <v>70</v>
      </c>
      <c r="AC24" s="13">
        <v>0</v>
      </c>
      <c r="AD24" s="13">
        <v>0</v>
      </c>
      <c r="AE24" s="13">
        <v>0</v>
      </c>
      <c r="AF24" s="13">
        <v>0</v>
      </c>
      <c r="AG24" s="13">
        <v>0</v>
      </c>
      <c r="AH24" s="13">
        <v>0</v>
      </c>
      <c r="AI24" s="14">
        <f t="shared" si="1"/>
        <v>209.16500000000002</v>
      </c>
    </row>
    <row r="25" spans="1:35" ht="18" customHeight="1" x14ac:dyDescent="0.2">
      <c r="A25" s="27" t="str">
        <f t="shared" si="0"/>
        <v>개인</v>
      </c>
      <c r="B25" s="27" t="s">
        <v>1556</v>
      </c>
      <c r="C25" s="27" t="s">
        <v>1554</v>
      </c>
      <c r="D25" s="26">
        <v>4119603025</v>
      </c>
      <c r="E25" s="26">
        <v>10038346</v>
      </c>
      <c r="F25" s="25" t="s">
        <v>90</v>
      </c>
      <c r="G25" s="48" t="s">
        <v>322</v>
      </c>
      <c r="H25" s="53">
        <v>45825</v>
      </c>
      <c r="I25" s="53">
        <v>45903</v>
      </c>
      <c r="J25" s="14">
        <v>1600.6979999999999</v>
      </c>
      <c r="K25" s="14">
        <f t="shared" si="2"/>
        <v>44.463833333333326</v>
      </c>
      <c r="L25" s="49" t="s">
        <v>311</v>
      </c>
      <c r="M25" s="13">
        <v>0</v>
      </c>
      <c r="N25" s="13">
        <v>0</v>
      </c>
      <c r="O25" s="13">
        <v>0</v>
      </c>
      <c r="P25" s="13">
        <v>0</v>
      </c>
      <c r="Q25" s="13">
        <v>0</v>
      </c>
      <c r="R25" s="13">
        <v>0</v>
      </c>
      <c r="S25" s="13">
        <v>0</v>
      </c>
      <c r="T25" s="13">
        <v>0</v>
      </c>
      <c r="U25" s="13">
        <v>0</v>
      </c>
      <c r="V25" s="13">
        <v>0</v>
      </c>
      <c r="W25" s="13">
        <v>0</v>
      </c>
      <c r="X25" s="13">
        <v>0</v>
      </c>
      <c r="Y25" s="13">
        <v>0</v>
      </c>
      <c r="Z25" s="13">
        <v>0</v>
      </c>
      <c r="AA25" s="13">
        <v>3.117</v>
      </c>
      <c r="AB25" s="13">
        <v>24.332000000000001</v>
      </c>
      <c r="AC25" s="13">
        <v>29.378</v>
      </c>
      <c r="AD25" s="13">
        <v>26.126000000000001</v>
      </c>
      <c r="AE25" s="13">
        <v>20.658000000000001</v>
      </c>
      <c r="AF25" s="13">
        <v>19.803999999999998</v>
      </c>
      <c r="AG25" s="13">
        <v>17.850999999999999</v>
      </c>
      <c r="AH25" s="13">
        <v>20.039000000000001</v>
      </c>
      <c r="AI25" s="14">
        <f t="shared" si="1"/>
        <v>161.30500000000001</v>
      </c>
    </row>
    <row r="26" spans="1:35" ht="18" customHeight="1" x14ac:dyDescent="0.2">
      <c r="A26" s="27" t="str">
        <f t="shared" si="0"/>
        <v>개인</v>
      </c>
      <c r="B26" s="27" t="s">
        <v>1565</v>
      </c>
      <c r="C26" s="27" t="s">
        <v>1554</v>
      </c>
      <c r="D26" s="26">
        <v>5029241763</v>
      </c>
      <c r="E26" s="26">
        <v>10039242</v>
      </c>
      <c r="F26" s="25" t="s">
        <v>140</v>
      </c>
      <c r="G26" s="48" t="s">
        <v>322</v>
      </c>
      <c r="H26" s="53">
        <v>45854</v>
      </c>
      <c r="I26" s="53">
        <v>45972</v>
      </c>
      <c r="J26" s="14">
        <v>254.14599999999999</v>
      </c>
      <c r="K26" s="14">
        <f t="shared" si="2"/>
        <v>7.0596111111111108</v>
      </c>
      <c r="L26" s="49" t="s">
        <v>311</v>
      </c>
      <c r="M26" s="13">
        <v>0</v>
      </c>
      <c r="N26" s="13">
        <v>0</v>
      </c>
      <c r="O26" s="13">
        <v>0</v>
      </c>
      <c r="P26" s="13">
        <v>0</v>
      </c>
      <c r="Q26" s="13">
        <v>0</v>
      </c>
      <c r="R26" s="13">
        <v>0</v>
      </c>
      <c r="S26" s="13">
        <v>0</v>
      </c>
      <c r="T26" s="13">
        <v>0</v>
      </c>
      <c r="U26" s="13">
        <v>0</v>
      </c>
      <c r="V26" s="13">
        <v>0</v>
      </c>
      <c r="W26" s="13">
        <v>0</v>
      </c>
      <c r="X26" s="13">
        <v>0</v>
      </c>
      <c r="Y26" s="13">
        <v>0</v>
      </c>
      <c r="Z26" s="13">
        <v>1.6679999999999999</v>
      </c>
      <c r="AA26" s="13">
        <v>0</v>
      </c>
      <c r="AB26" s="13">
        <v>10.202</v>
      </c>
      <c r="AC26" s="13">
        <v>4.2709999999999999</v>
      </c>
      <c r="AD26" s="13">
        <v>5.0629999999999997</v>
      </c>
      <c r="AE26" s="13">
        <v>4.6539999999999999</v>
      </c>
      <c r="AF26" s="13">
        <v>4.3810000000000002</v>
      </c>
      <c r="AG26" s="13">
        <v>5.8120000000000003</v>
      </c>
      <c r="AH26" s="13">
        <v>6.069</v>
      </c>
      <c r="AI26" s="14">
        <f t="shared" si="1"/>
        <v>42.12</v>
      </c>
    </row>
    <row r="27" spans="1:35" ht="18" customHeight="1" x14ac:dyDescent="0.2">
      <c r="A27" s="27" t="str">
        <f t="shared" si="0"/>
        <v>법인</v>
      </c>
      <c r="B27" s="27" t="s">
        <v>1581</v>
      </c>
      <c r="C27" s="27" t="s">
        <v>1496</v>
      </c>
      <c r="D27" s="26">
        <v>5148204710</v>
      </c>
      <c r="E27" s="26">
        <v>10039905</v>
      </c>
      <c r="F27" s="25" t="s">
        <v>347</v>
      </c>
      <c r="G27" s="48" t="s">
        <v>320</v>
      </c>
      <c r="H27" s="53">
        <v>45926</v>
      </c>
      <c r="I27" s="50">
        <v>45999</v>
      </c>
      <c r="J27" s="14">
        <v>137</v>
      </c>
      <c r="K27" s="14">
        <f>J27</f>
        <v>137</v>
      </c>
      <c r="L27" s="49" t="s">
        <v>346</v>
      </c>
      <c r="M27" s="13">
        <v>0</v>
      </c>
      <c r="N27" s="13">
        <v>0</v>
      </c>
      <c r="O27" s="13">
        <v>0</v>
      </c>
      <c r="P27" s="13">
        <v>0</v>
      </c>
      <c r="Q27" s="13">
        <v>0</v>
      </c>
      <c r="R27" s="13">
        <v>0</v>
      </c>
      <c r="S27" s="13">
        <v>0</v>
      </c>
      <c r="T27" s="13">
        <v>0</v>
      </c>
      <c r="U27" s="13">
        <v>0</v>
      </c>
      <c r="V27" s="13">
        <v>0</v>
      </c>
      <c r="W27" s="13">
        <v>0</v>
      </c>
      <c r="X27" s="13">
        <v>0</v>
      </c>
      <c r="Y27" s="13">
        <v>0</v>
      </c>
      <c r="Z27" s="13">
        <v>0</v>
      </c>
      <c r="AA27" s="13">
        <v>0</v>
      </c>
      <c r="AB27" s="13">
        <v>0</v>
      </c>
      <c r="AC27" s="13">
        <v>137</v>
      </c>
      <c r="AD27" s="13">
        <v>0</v>
      </c>
      <c r="AE27" s="13">
        <v>0</v>
      </c>
      <c r="AF27" s="13">
        <v>0</v>
      </c>
      <c r="AG27" s="13">
        <v>0</v>
      </c>
      <c r="AH27" s="13">
        <v>0</v>
      </c>
      <c r="AI27" s="14">
        <f t="shared" si="1"/>
        <v>137</v>
      </c>
    </row>
    <row r="28" spans="1:35" ht="18" customHeight="1" x14ac:dyDescent="0.2">
      <c r="A28" s="27" t="str">
        <f t="shared" si="0"/>
        <v>법인</v>
      </c>
      <c r="B28" s="27" t="s">
        <v>1557</v>
      </c>
      <c r="C28" s="27" t="s">
        <v>1496</v>
      </c>
      <c r="D28" s="26">
        <v>6058211399</v>
      </c>
      <c r="E28" s="26">
        <v>10003599</v>
      </c>
      <c r="F28" s="25" t="s">
        <v>115</v>
      </c>
      <c r="G28" s="48" t="s">
        <v>322</v>
      </c>
      <c r="H28" s="53">
        <v>45838</v>
      </c>
      <c r="I28" s="53">
        <v>45916</v>
      </c>
      <c r="J28" s="14">
        <v>272.04599999999999</v>
      </c>
      <c r="K28" s="14">
        <f t="shared" si="2"/>
        <v>7.5568333333333335</v>
      </c>
      <c r="L28" s="49" t="s">
        <v>311</v>
      </c>
      <c r="M28" s="13">
        <v>0</v>
      </c>
      <c r="N28" s="13">
        <v>0</v>
      </c>
      <c r="O28" s="13">
        <v>0</v>
      </c>
      <c r="P28" s="13">
        <v>0</v>
      </c>
      <c r="Q28" s="13">
        <v>0</v>
      </c>
      <c r="R28" s="13">
        <v>0</v>
      </c>
      <c r="S28" s="13">
        <v>0</v>
      </c>
      <c r="T28" s="13">
        <v>0</v>
      </c>
      <c r="U28" s="13">
        <v>0</v>
      </c>
      <c r="V28" s="13">
        <v>0</v>
      </c>
      <c r="W28" s="13">
        <v>0</v>
      </c>
      <c r="X28" s="13">
        <v>0</v>
      </c>
      <c r="Y28" s="13">
        <v>0</v>
      </c>
      <c r="Z28" s="13">
        <v>0</v>
      </c>
      <c r="AA28" s="13">
        <v>0</v>
      </c>
      <c r="AB28" s="13">
        <v>0</v>
      </c>
      <c r="AC28" s="144">
        <v>1.1799997</v>
      </c>
      <c r="AD28" s="13">
        <v>0</v>
      </c>
      <c r="AE28" s="13">
        <v>0</v>
      </c>
      <c r="AF28" s="13">
        <v>0</v>
      </c>
      <c r="AG28" s="13">
        <v>50.17</v>
      </c>
      <c r="AH28" s="13">
        <v>0</v>
      </c>
      <c r="AI28" s="14">
        <f t="shared" si="1"/>
        <v>51.349999700000005</v>
      </c>
    </row>
    <row r="29" spans="1:35" ht="18" customHeight="1" x14ac:dyDescent="0.2">
      <c r="A29" s="27" t="str">
        <f t="shared" si="0"/>
        <v>법인</v>
      </c>
      <c r="B29" s="27" t="s">
        <v>1566</v>
      </c>
      <c r="C29" s="27" t="s">
        <v>1496</v>
      </c>
      <c r="D29" s="26">
        <v>6168203453</v>
      </c>
      <c r="E29" s="26">
        <v>10041502</v>
      </c>
      <c r="F29" s="25" t="s">
        <v>126</v>
      </c>
      <c r="G29" s="48" t="s">
        <v>322</v>
      </c>
      <c r="H29" s="53">
        <v>45835</v>
      </c>
      <c r="I29" s="53">
        <v>45881</v>
      </c>
      <c r="J29" s="14">
        <v>2922.7309999999998</v>
      </c>
      <c r="K29" s="14">
        <f t="shared" si="2"/>
        <v>81.186972222222209</v>
      </c>
      <c r="L29" s="49" t="s">
        <v>314</v>
      </c>
      <c r="M29" s="13">
        <v>0</v>
      </c>
      <c r="N29" s="13">
        <v>0</v>
      </c>
      <c r="O29" s="13">
        <v>0</v>
      </c>
      <c r="P29" s="13">
        <v>0</v>
      </c>
      <c r="Q29" s="13">
        <v>0</v>
      </c>
      <c r="R29" s="13">
        <v>0</v>
      </c>
      <c r="S29" s="13">
        <v>0</v>
      </c>
      <c r="T29" s="13">
        <v>0</v>
      </c>
      <c r="U29" s="13">
        <v>0</v>
      </c>
      <c r="V29" s="13">
        <v>0</v>
      </c>
      <c r="W29" s="13">
        <v>0</v>
      </c>
      <c r="X29" s="13">
        <v>0</v>
      </c>
      <c r="Y29" s="13">
        <v>0</v>
      </c>
      <c r="Z29" s="13">
        <v>0</v>
      </c>
      <c r="AA29" s="13">
        <v>26.248999999999999</v>
      </c>
      <c r="AB29" s="13">
        <v>0</v>
      </c>
      <c r="AC29" s="13">
        <v>31.023</v>
      </c>
      <c r="AD29" s="13">
        <v>32.76</v>
      </c>
      <c r="AE29" s="13">
        <v>0</v>
      </c>
      <c r="AF29" s="13">
        <v>102.363</v>
      </c>
      <c r="AG29" s="13">
        <v>28.946000000000002</v>
      </c>
      <c r="AH29" s="13">
        <v>0</v>
      </c>
      <c r="AI29" s="14">
        <f t="shared" si="1"/>
        <v>221.34099999999998</v>
      </c>
    </row>
    <row r="30" spans="1:35" ht="18" customHeight="1" x14ac:dyDescent="0.2">
      <c r="A30" s="27" t="str">
        <f t="shared" si="0"/>
        <v>법인</v>
      </c>
      <c r="B30" s="27" t="s">
        <v>1559</v>
      </c>
      <c r="C30" s="27" t="s">
        <v>1496</v>
      </c>
      <c r="D30" s="26">
        <v>6398200177</v>
      </c>
      <c r="E30" s="26">
        <v>10047292</v>
      </c>
      <c r="F30" s="25" t="s">
        <v>128</v>
      </c>
      <c r="G30" s="48" t="s">
        <v>322</v>
      </c>
      <c r="H30" s="53">
        <v>45897</v>
      </c>
      <c r="I30" s="53">
        <v>45950</v>
      </c>
      <c r="J30" s="14">
        <v>1705.3829000000001</v>
      </c>
      <c r="K30" s="14">
        <f t="shared" si="2"/>
        <v>47.371747222222226</v>
      </c>
      <c r="L30" s="49" t="s">
        <v>311</v>
      </c>
      <c r="M30" s="13">
        <v>0</v>
      </c>
      <c r="N30" s="13">
        <v>0</v>
      </c>
      <c r="O30" s="13">
        <v>0</v>
      </c>
      <c r="P30" s="13">
        <v>0</v>
      </c>
      <c r="Q30" s="13">
        <v>0</v>
      </c>
      <c r="R30" s="13">
        <v>0</v>
      </c>
      <c r="S30" s="13">
        <v>0</v>
      </c>
      <c r="T30" s="13">
        <v>0</v>
      </c>
      <c r="U30" s="13">
        <v>0</v>
      </c>
      <c r="V30" s="13">
        <v>0</v>
      </c>
      <c r="W30" s="13">
        <v>0</v>
      </c>
      <c r="X30" s="13">
        <v>0</v>
      </c>
      <c r="Y30" s="13">
        <v>0</v>
      </c>
      <c r="Z30" s="13">
        <v>0</v>
      </c>
      <c r="AA30" s="13">
        <v>0</v>
      </c>
      <c r="AB30" s="13">
        <v>0</v>
      </c>
      <c r="AC30" s="13">
        <v>0</v>
      </c>
      <c r="AD30" s="13">
        <v>20.716999999999999</v>
      </c>
      <c r="AE30" s="13">
        <v>0</v>
      </c>
      <c r="AF30" s="13">
        <v>0</v>
      </c>
      <c r="AG30" s="13">
        <v>53.552</v>
      </c>
      <c r="AH30" s="13">
        <v>34.56</v>
      </c>
      <c r="AI30" s="14">
        <f t="shared" si="1"/>
        <v>108.82900000000001</v>
      </c>
    </row>
    <row r="31" spans="1:35" ht="18" customHeight="1" x14ac:dyDescent="0.2">
      <c r="A31" s="27" t="str">
        <f t="shared" si="0"/>
        <v>개인</v>
      </c>
      <c r="B31" s="27" t="s">
        <v>1567</v>
      </c>
      <c r="C31" s="27" t="s">
        <v>1554</v>
      </c>
      <c r="D31" s="26">
        <v>6877100016</v>
      </c>
      <c r="E31" s="26">
        <v>10022281</v>
      </c>
      <c r="F31" s="25" t="s">
        <v>86</v>
      </c>
      <c r="G31" s="48" t="s">
        <v>322</v>
      </c>
      <c r="H31" s="53">
        <v>45827</v>
      </c>
      <c r="I31" s="53">
        <v>45902</v>
      </c>
      <c r="J31" s="14">
        <v>206.75200000000001</v>
      </c>
      <c r="K31" s="14">
        <f t="shared" si="2"/>
        <v>5.7431111111111113</v>
      </c>
      <c r="L31" s="49" t="s">
        <v>311</v>
      </c>
      <c r="M31" s="13">
        <v>0</v>
      </c>
      <c r="N31" s="13">
        <v>0</v>
      </c>
      <c r="O31" s="13">
        <v>0</v>
      </c>
      <c r="P31" s="13">
        <v>0</v>
      </c>
      <c r="Q31" s="13">
        <v>0</v>
      </c>
      <c r="R31" s="13">
        <v>0</v>
      </c>
      <c r="S31" s="13">
        <v>0</v>
      </c>
      <c r="T31" s="13">
        <v>0</v>
      </c>
      <c r="U31" s="13">
        <v>0</v>
      </c>
      <c r="V31" s="13">
        <v>0</v>
      </c>
      <c r="W31" s="13">
        <v>0</v>
      </c>
      <c r="X31" s="13">
        <v>0</v>
      </c>
      <c r="Y31" s="13">
        <v>0</v>
      </c>
      <c r="Z31" s="13">
        <v>1</v>
      </c>
      <c r="AA31" s="13">
        <v>2</v>
      </c>
      <c r="AB31" s="13">
        <v>1</v>
      </c>
      <c r="AC31" s="13">
        <v>0</v>
      </c>
      <c r="AD31" s="144">
        <v>0.05</v>
      </c>
      <c r="AE31" s="13">
        <v>3</v>
      </c>
      <c r="AF31" s="13">
        <v>0</v>
      </c>
      <c r="AG31" s="13">
        <v>1</v>
      </c>
      <c r="AH31" s="13">
        <v>0.5</v>
      </c>
      <c r="AI31" s="14">
        <f t="shared" si="1"/>
        <v>8.5500000000000007</v>
      </c>
    </row>
    <row r="32" spans="1:35" s="117" customFormat="1" ht="18" customHeight="1" x14ac:dyDescent="0.2">
      <c r="A32" s="27" t="str">
        <f t="shared" si="0"/>
        <v>개인</v>
      </c>
      <c r="B32" s="27" t="s">
        <v>1564</v>
      </c>
      <c r="C32" s="27" t="s">
        <v>1554</v>
      </c>
      <c r="D32" s="109">
        <v>8039501646</v>
      </c>
      <c r="E32" s="109">
        <v>10086279</v>
      </c>
      <c r="F32" s="110" t="s">
        <v>138</v>
      </c>
      <c r="G32" s="111" t="s">
        <v>321</v>
      </c>
      <c r="H32" s="112">
        <v>45987</v>
      </c>
      <c r="I32" s="113">
        <v>46000</v>
      </c>
      <c r="J32" s="114">
        <v>276.46046999999999</v>
      </c>
      <c r="K32" s="114">
        <f t="shared" si="2"/>
        <v>7.6794574999999998</v>
      </c>
      <c r="L32" s="115" t="s">
        <v>311</v>
      </c>
      <c r="M32" s="116">
        <v>0</v>
      </c>
      <c r="N32" s="116">
        <v>0</v>
      </c>
      <c r="O32" s="116">
        <v>0</v>
      </c>
      <c r="P32" s="116">
        <v>0</v>
      </c>
      <c r="Q32" s="116">
        <v>0</v>
      </c>
      <c r="R32" s="116">
        <v>0</v>
      </c>
      <c r="S32" s="116">
        <v>0</v>
      </c>
      <c r="T32" s="116">
        <v>0</v>
      </c>
      <c r="U32" s="116">
        <v>0</v>
      </c>
      <c r="V32" s="116">
        <v>0</v>
      </c>
      <c r="W32" s="116">
        <v>0</v>
      </c>
      <c r="X32" s="116">
        <v>0</v>
      </c>
      <c r="Y32" s="116">
        <v>0</v>
      </c>
      <c r="Z32" s="116">
        <v>100</v>
      </c>
      <c r="AA32" s="116">
        <v>100</v>
      </c>
      <c r="AB32" s="116">
        <v>76.460470000000001</v>
      </c>
      <c r="AC32" s="116">
        <v>0</v>
      </c>
      <c r="AD32" s="116">
        <v>0</v>
      </c>
      <c r="AE32" s="116">
        <v>0</v>
      </c>
      <c r="AF32" s="116">
        <v>0</v>
      </c>
      <c r="AG32" s="116">
        <v>0</v>
      </c>
      <c r="AH32" s="13">
        <v>0</v>
      </c>
      <c r="AI32" s="114">
        <f t="shared" si="1"/>
        <v>276.46046999999999</v>
      </c>
    </row>
    <row r="33" spans="1:35" ht="18" customHeight="1" x14ac:dyDescent="0.2">
      <c r="A33" s="27" t="str">
        <f t="shared" si="0"/>
        <v>법인</v>
      </c>
      <c r="B33" s="27" t="s">
        <v>1568</v>
      </c>
      <c r="C33" s="27" t="s">
        <v>1496</v>
      </c>
      <c r="D33" s="26">
        <v>6208200931</v>
      </c>
      <c r="E33" s="26">
        <v>10041740</v>
      </c>
      <c r="F33" s="25" t="s">
        <v>113</v>
      </c>
      <c r="G33" s="48" t="s">
        <v>322</v>
      </c>
      <c r="H33" s="53">
        <v>45838</v>
      </c>
      <c r="I33" s="53">
        <v>45916</v>
      </c>
      <c r="J33" s="14">
        <v>290.88499999999999</v>
      </c>
      <c r="K33" s="14">
        <f t="shared" si="2"/>
        <v>8.0801388888888894</v>
      </c>
      <c r="L33" s="49" t="s">
        <v>311</v>
      </c>
      <c r="M33" s="13">
        <v>0</v>
      </c>
      <c r="N33" s="13">
        <v>0</v>
      </c>
      <c r="O33" s="13">
        <v>0</v>
      </c>
      <c r="P33" s="13">
        <v>0</v>
      </c>
      <c r="Q33" s="13">
        <v>0</v>
      </c>
      <c r="R33" s="13">
        <v>0</v>
      </c>
      <c r="S33" s="13">
        <v>0</v>
      </c>
      <c r="T33" s="13">
        <v>0</v>
      </c>
      <c r="U33" s="13">
        <v>0</v>
      </c>
      <c r="V33" s="13">
        <v>0</v>
      </c>
      <c r="W33" s="13">
        <v>0</v>
      </c>
      <c r="X33" s="13">
        <v>0</v>
      </c>
      <c r="Y33" s="13">
        <v>0.79500000000000004</v>
      </c>
      <c r="Z33" s="13">
        <v>6.1970000000000001</v>
      </c>
      <c r="AA33" s="13">
        <v>5.3369999999999997</v>
      </c>
      <c r="AB33" s="13">
        <v>5.5739999999999998</v>
      </c>
      <c r="AC33" s="13">
        <v>5.3570000000000002</v>
      </c>
      <c r="AD33" s="13">
        <v>4.5960000000000001</v>
      </c>
      <c r="AE33" s="13">
        <v>6.0339999999999998</v>
      </c>
      <c r="AF33" s="13">
        <v>4.5369999999999999</v>
      </c>
      <c r="AG33" s="13">
        <v>5.4729999999999999</v>
      </c>
      <c r="AH33" s="13">
        <v>5.4160000000000004</v>
      </c>
      <c r="AI33" s="14">
        <f t="shared" si="1"/>
        <v>49.316000000000003</v>
      </c>
    </row>
    <row r="34" spans="1:35" ht="18" customHeight="1" x14ac:dyDescent="0.2">
      <c r="A34" s="27" t="str">
        <f t="shared" si="0"/>
        <v>법인</v>
      </c>
      <c r="B34" s="27" t="s">
        <v>1555</v>
      </c>
      <c r="C34" s="27" t="s">
        <v>1496</v>
      </c>
      <c r="D34" s="26">
        <v>1538200538</v>
      </c>
      <c r="E34" s="26">
        <v>10074449</v>
      </c>
      <c r="F34" s="25" t="s">
        <v>69</v>
      </c>
      <c r="G34" s="48" t="s">
        <v>322</v>
      </c>
      <c r="H34" s="53">
        <v>45859</v>
      </c>
      <c r="I34" s="53">
        <v>45859</v>
      </c>
      <c r="J34" s="14">
        <v>117.27416699999999</v>
      </c>
      <c r="K34" s="14">
        <f t="shared" si="2"/>
        <v>3.2576157499999998</v>
      </c>
      <c r="L34" s="49" t="s">
        <v>315</v>
      </c>
      <c r="M34" s="13">
        <v>0</v>
      </c>
      <c r="N34" s="13">
        <v>0</v>
      </c>
      <c r="O34" s="13">
        <v>0</v>
      </c>
      <c r="P34" s="13">
        <v>0</v>
      </c>
      <c r="Q34" s="13">
        <v>0</v>
      </c>
      <c r="R34" s="13">
        <v>0</v>
      </c>
      <c r="S34" s="13">
        <v>0</v>
      </c>
      <c r="T34" s="13">
        <v>0</v>
      </c>
      <c r="U34" s="13">
        <v>0</v>
      </c>
      <c r="V34" s="13">
        <v>0</v>
      </c>
      <c r="W34" s="13">
        <v>0</v>
      </c>
      <c r="X34" s="13">
        <v>0</v>
      </c>
      <c r="Y34" s="13">
        <v>1.8460000000000001</v>
      </c>
      <c r="Z34" s="13">
        <v>2.9129999999999998</v>
      </c>
      <c r="AA34" s="13">
        <v>1.9179999999999999</v>
      </c>
      <c r="AB34" s="13">
        <v>2.68</v>
      </c>
      <c r="AC34" s="13">
        <v>2.7269999999999999</v>
      </c>
      <c r="AD34" s="13">
        <v>2.77</v>
      </c>
      <c r="AE34" s="13">
        <v>3.15</v>
      </c>
      <c r="AF34" s="13">
        <v>2.4780000000000002</v>
      </c>
      <c r="AG34" s="13">
        <v>5.2320000000000002</v>
      </c>
      <c r="AH34" s="13">
        <v>2.8029999999999999</v>
      </c>
      <c r="AI34" s="14">
        <f t="shared" si="1"/>
        <v>28.517000000000003</v>
      </c>
    </row>
    <row r="35" spans="1:35" ht="18" customHeight="1" x14ac:dyDescent="0.2">
      <c r="A35" s="27" t="str">
        <f t="shared" si="0"/>
        <v>개인</v>
      </c>
      <c r="B35" s="27" t="s">
        <v>1556</v>
      </c>
      <c r="C35" s="27" t="s">
        <v>1554</v>
      </c>
      <c r="D35" s="26">
        <v>4186500404</v>
      </c>
      <c r="E35" s="26">
        <v>10067520</v>
      </c>
      <c r="F35" s="25" t="s">
        <v>56</v>
      </c>
      <c r="G35" s="48" t="s">
        <v>321</v>
      </c>
      <c r="H35" s="53">
        <v>45821</v>
      </c>
      <c r="I35" s="53">
        <v>45895</v>
      </c>
      <c r="J35" s="14">
        <v>145.15100000000001</v>
      </c>
      <c r="K35" s="14">
        <f>J35</f>
        <v>145.15100000000001</v>
      </c>
      <c r="L35" s="49" t="s">
        <v>311</v>
      </c>
      <c r="M35" s="13">
        <v>0</v>
      </c>
      <c r="N35" s="13">
        <v>0</v>
      </c>
      <c r="O35" s="13">
        <v>0</v>
      </c>
      <c r="P35" s="13">
        <v>0</v>
      </c>
      <c r="Q35" s="13">
        <v>0</v>
      </c>
      <c r="R35" s="13">
        <v>0</v>
      </c>
      <c r="S35" s="13">
        <v>0</v>
      </c>
      <c r="T35" s="13">
        <v>0</v>
      </c>
      <c r="U35" s="13">
        <v>0</v>
      </c>
      <c r="V35" s="13">
        <v>0</v>
      </c>
      <c r="W35" s="13">
        <v>0</v>
      </c>
      <c r="X35" s="13">
        <v>0</v>
      </c>
      <c r="Y35" s="13">
        <v>40</v>
      </c>
      <c r="Z35" s="13">
        <v>40</v>
      </c>
      <c r="AA35" s="13">
        <v>40.140999999999998</v>
      </c>
      <c r="AB35" s="13">
        <v>0</v>
      </c>
      <c r="AC35" s="13">
        <v>0</v>
      </c>
      <c r="AD35" s="13">
        <v>0</v>
      </c>
      <c r="AE35" s="13">
        <v>0</v>
      </c>
      <c r="AF35" s="13">
        <v>0</v>
      </c>
      <c r="AG35" s="13">
        <v>0</v>
      </c>
      <c r="AH35" s="13">
        <v>0</v>
      </c>
      <c r="AI35" s="14">
        <f t="shared" si="1"/>
        <v>120.14099999999999</v>
      </c>
    </row>
    <row r="36" spans="1:35" ht="18" customHeight="1" x14ac:dyDescent="0.2">
      <c r="A36" s="27" t="str">
        <f t="shared" si="0"/>
        <v>개인</v>
      </c>
      <c r="B36" s="27" t="s">
        <v>1555</v>
      </c>
      <c r="C36" s="27" t="s">
        <v>1554</v>
      </c>
      <c r="D36" s="26">
        <v>1269036645</v>
      </c>
      <c r="E36" s="26">
        <v>10032805</v>
      </c>
      <c r="F36" s="25" t="s">
        <v>103</v>
      </c>
      <c r="G36" s="48" t="s">
        <v>322</v>
      </c>
      <c r="H36" s="53">
        <v>45831</v>
      </c>
      <c r="I36" s="53">
        <v>45930</v>
      </c>
      <c r="J36" s="14">
        <v>234.51399999999998</v>
      </c>
      <c r="K36" s="14">
        <f t="shared" si="2"/>
        <v>6.5142777777777772</v>
      </c>
      <c r="L36" s="49" t="s">
        <v>311</v>
      </c>
      <c r="M36" s="13">
        <v>0</v>
      </c>
      <c r="N36" s="13">
        <v>0</v>
      </c>
      <c r="O36" s="13">
        <v>0</v>
      </c>
      <c r="P36" s="13">
        <v>0</v>
      </c>
      <c r="Q36" s="13">
        <v>0</v>
      </c>
      <c r="R36" s="13">
        <v>0</v>
      </c>
      <c r="S36" s="13">
        <v>0</v>
      </c>
      <c r="T36" s="13">
        <v>0</v>
      </c>
      <c r="U36" s="13">
        <v>0</v>
      </c>
      <c r="V36" s="13">
        <v>0</v>
      </c>
      <c r="W36" s="13">
        <v>0</v>
      </c>
      <c r="X36" s="13">
        <v>0</v>
      </c>
      <c r="Y36" s="13">
        <v>2.6869999999999998</v>
      </c>
      <c r="Z36" s="13">
        <v>6.5759999999999996</v>
      </c>
      <c r="AA36" s="13">
        <v>5.4169999999999998</v>
      </c>
      <c r="AB36" s="13">
        <v>5.9210000000000003</v>
      </c>
      <c r="AC36" s="13">
        <v>4.1219999999999999</v>
      </c>
      <c r="AD36" s="13">
        <v>5.1580000000000004</v>
      </c>
      <c r="AE36" s="13">
        <v>3.34</v>
      </c>
      <c r="AF36" s="13">
        <v>4.2519999999999998</v>
      </c>
      <c r="AG36" s="13">
        <v>2.6150000000000002</v>
      </c>
      <c r="AH36" s="13">
        <v>3.1309999999999998</v>
      </c>
      <c r="AI36" s="14">
        <f t="shared" si="1"/>
        <v>43.219000000000008</v>
      </c>
    </row>
    <row r="37" spans="1:35" ht="18" customHeight="1" x14ac:dyDescent="0.2">
      <c r="A37" s="27" t="str">
        <f t="shared" ref="A37:A60" si="3">IF(MID(D37,4,1)="8","법인","개인")</f>
        <v>법인</v>
      </c>
      <c r="B37" s="27" t="s">
        <v>1555</v>
      </c>
      <c r="C37" s="27" t="s">
        <v>1496</v>
      </c>
      <c r="D37" s="26">
        <v>5028213744</v>
      </c>
      <c r="E37" s="26">
        <v>10039210</v>
      </c>
      <c r="F37" s="25" t="s">
        <v>111</v>
      </c>
      <c r="G37" s="48" t="s">
        <v>322</v>
      </c>
      <c r="H37" s="53">
        <v>45852</v>
      </c>
      <c r="I37" s="53">
        <v>45909</v>
      </c>
      <c r="J37" s="14">
        <v>380.61600000000004</v>
      </c>
      <c r="K37" s="14">
        <f t="shared" si="2"/>
        <v>10.572666666666668</v>
      </c>
      <c r="L37" s="49" t="s">
        <v>311</v>
      </c>
      <c r="M37" s="13">
        <v>0</v>
      </c>
      <c r="N37" s="13">
        <v>0</v>
      </c>
      <c r="O37" s="13">
        <v>0</v>
      </c>
      <c r="P37" s="13">
        <v>0</v>
      </c>
      <c r="Q37" s="13">
        <v>0</v>
      </c>
      <c r="R37" s="13">
        <v>0</v>
      </c>
      <c r="S37" s="13">
        <v>0</v>
      </c>
      <c r="T37" s="13">
        <v>0</v>
      </c>
      <c r="U37" s="13">
        <v>0</v>
      </c>
      <c r="V37" s="13">
        <v>0</v>
      </c>
      <c r="W37" s="13">
        <v>0</v>
      </c>
      <c r="X37" s="13">
        <v>0</v>
      </c>
      <c r="Y37" s="13">
        <v>17.824000000000002</v>
      </c>
      <c r="Z37" s="13">
        <v>19.605</v>
      </c>
      <c r="AA37" s="13">
        <v>22.393999999999998</v>
      </c>
      <c r="AB37" s="13">
        <v>21.068999999999999</v>
      </c>
      <c r="AC37" s="13">
        <v>19.463000000000001</v>
      </c>
      <c r="AD37" s="13">
        <v>23.059000000000001</v>
      </c>
      <c r="AE37" s="13">
        <v>24.18</v>
      </c>
      <c r="AF37" s="13">
        <v>22.01</v>
      </c>
      <c r="AG37" s="13">
        <v>22.696000000000002</v>
      </c>
      <c r="AH37" s="13">
        <v>24.686</v>
      </c>
      <c r="AI37" s="14">
        <f t="shared" si="1"/>
        <v>216.98599999999999</v>
      </c>
    </row>
    <row r="38" spans="1:35" ht="18" customHeight="1" x14ac:dyDescent="0.2">
      <c r="A38" s="27" t="str">
        <f t="shared" si="3"/>
        <v>법인</v>
      </c>
      <c r="B38" s="27" t="s">
        <v>1559</v>
      </c>
      <c r="C38" s="27" t="s">
        <v>1496</v>
      </c>
      <c r="D38" s="26">
        <v>6018206614</v>
      </c>
      <c r="E38" s="26">
        <v>10069147</v>
      </c>
      <c r="F38" s="25" t="s">
        <v>92</v>
      </c>
      <c r="G38" s="48" t="s">
        <v>322</v>
      </c>
      <c r="H38" s="53">
        <v>45831</v>
      </c>
      <c r="I38" s="53">
        <v>45882</v>
      </c>
      <c r="J38" s="14">
        <v>721.09800000000007</v>
      </c>
      <c r="K38" s="14">
        <f t="shared" si="2"/>
        <v>20.030500000000004</v>
      </c>
      <c r="L38" s="49" t="s">
        <v>314</v>
      </c>
      <c r="M38" s="13">
        <v>0</v>
      </c>
      <c r="N38" s="13">
        <v>0</v>
      </c>
      <c r="O38" s="13">
        <v>0</v>
      </c>
      <c r="P38" s="13">
        <v>0</v>
      </c>
      <c r="Q38" s="13">
        <v>0</v>
      </c>
      <c r="R38" s="13">
        <v>0</v>
      </c>
      <c r="S38" s="13">
        <v>0</v>
      </c>
      <c r="T38" s="13">
        <v>0</v>
      </c>
      <c r="U38" s="13">
        <v>0</v>
      </c>
      <c r="V38" s="13">
        <v>0</v>
      </c>
      <c r="W38" s="13">
        <v>0</v>
      </c>
      <c r="X38" s="13">
        <v>1.613</v>
      </c>
      <c r="Y38" s="13">
        <v>27.262</v>
      </c>
      <c r="Z38" s="145">
        <v>29.242999999999999</v>
      </c>
      <c r="AA38" s="13">
        <v>34.911999999999999</v>
      </c>
      <c r="AB38" s="13">
        <v>32.067</v>
      </c>
      <c r="AC38" s="13">
        <v>30.785</v>
      </c>
      <c r="AD38" s="13">
        <v>29.227</v>
      </c>
      <c r="AE38" s="13">
        <v>34.512</v>
      </c>
      <c r="AF38" s="13">
        <v>35.423999999999999</v>
      </c>
      <c r="AG38" s="13">
        <v>30.652999999999999</v>
      </c>
      <c r="AH38" s="13">
        <v>33.396000000000001</v>
      </c>
      <c r="AI38" s="14">
        <f t="shared" si="1"/>
        <v>319.09400000000005</v>
      </c>
    </row>
    <row r="39" spans="1:35" ht="18" customHeight="1" x14ac:dyDescent="0.2">
      <c r="A39" s="27" t="str">
        <f t="shared" si="3"/>
        <v>개인</v>
      </c>
      <c r="B39" s="27" t="s">
        <v>1556</v>
      </c>
      <c r="C39" s="27" t="s">
        <v>1554</v>
      </c>
      <c r="D39" s="26">
        <v>6969000063</v>
      </c>
      <c r="E39" s="26">
        <v>10047520</v>
      </c>
      <c r="F39" s="25" t="s">
        <v>23</v>
      </c>
      <c r="G39" s="48" t="s">
        <v>321</v>
      </c>
      <c r="H39" s="53">
        <v>45722</v>
      </c>
      <c r="I39" s="52">
        <v>45722</v>
      </c>
      <c r="J39" s="14">
        <f>159.521458+282.03</f>
        <v>441.55145799999997</v>
      </c>
      <c r="K39" s="14">
        <f>J39</f>
        <v>441.55145799999997</v>
      </c>
      <c r="L39" s="49" t="s">
        <v>311</v>
      </c>
      <c r="M39" s="13">
        <v>0</v>
      </c>
      <c r="N39" s="13">
        <v>0</v>
      </c>
      <c r="O39" s="13">
        <v>0</v>
      </c>
      <c r="P39" s="13">
        <v>0</v>
      </c>
      <c r="Q39" s="13">
        <v>53.2</v>
      </c>
      <c r="R39" s="13">
        <v>53.2</v>
      </c>
      <c r="S39" s="13">
        <v>53.121457999999997</v>
      </c>
      <c r="T39" s="13">
        <v>0</v>
      </c>
      <c r="U39" s="13">
        <v>0</v>
      </c>
      <c r="V39" s="13">
        <v>0</v>
      </c>
      <c r="W39" s="13">
        <v>0</v>
      </c>
      <c r="X39" s="13">
        <v>0</v>
      </c>
      <c r="Y39" s="13">
        <v>70.507499999999993</v>
      </c>
      <c r="Z39" s="13">
        <v>70.507499999999993</v>
      </c>
      <c r="AA39" s="13">
        <v>0</v>
      </c>
      <c r="AB39" s="13">
        <v>141.01499999999999</v>
      </c>
      <c r="AC39" s="13">
        <v>0</v>
      </c>
      <c r="AD39" s="13">
        <v>0</v>
      </c>
      <c r="AE39" s="13">
        <v>0</v>
      </c>
      <c r="AF39" s="13">
        <v>0</v>
      </c>
      <c r="AG39" s="13">
        <v>0</v>
      </c>
      <c r="AH39" s="13">
        <v>0</v>
      </c>
      <c r="AI39" s="14">
        <f t="shared" si="1"/>
        <v>441.55145799999997</v>
      </c>
    </row>
    <row r="40" spans="1:35" ht="18" customHeight="1" x14ac:dyDescent="0.2">
      <c r="A40" s="27" t="str">
        <f t="shared" si="3"/>
        <v>개인</v>
      </c>
      <c r="B40" s="27" t="s">
        <v>1556</v>
      </c>
      <c r="C40" s="27" t="s">
        <v>1554</v>
      </c>
      <c r="D40" s="26">
        <v>3052075442</v>
      </c>
      <c r="E40" s="26">
        <v>10036320</v>
      </c>
      <c r="F40" s="25" t="s">
        <v>75</v>
      </c>
      <c r="G40" s="48" t="s">
        <v>322</v>
      </c>
      <c r="H40" s="53">
        <v>45803</v>
      </c>
      <c r="I40" s="53">
        <v>45872</v>
      </c>
      <c r="J40" s="14">
        <v>1479.0650000000001</v>
      </c>
      <c r="K40" s="14">
        <f t="shared" si="2"/>
        <v>41.085138888888892</v>
      </c>
      <c r="L40" s="49" t="s">
        <v>311</v>
      </c>
      <c r="M40" s="13">
        <v>0</v>
      </c>
      <c r="N40" s="13">
        <v>0</v>
      </c>
      <c r="O40" s="13">
        <v>0</v>
      </c>
      <c r="P40" s="13">
        <v>0</v>
      </c>
      <c r="Q40" s="13">
        <v>0</v>
      </c>
      <c r="R40" s="13">
        <v>0</v>
      </c>
      <c r="S40" s="13">
        <v>0</v>
      </c>
      <c r="T40" s="13">
        <v>0</v>
      </c>
      <c r="U40" s="13">
        <v>0</v>
      </c>
      <c r="V40" s="13">
        <v>0</v>
      </c>
      <c r="W40" s="13">
        <v>2.5760000000000001</v>
      </c>
      <c r="X40" s="13">
        <v>12.65</v>
      </c>
      <c r="Y40" s="13">
        <v>15.715999999999999</v>
      </c>
      <c r="Z40" s="13">
        <v>0</v>
      </c>
      <c r="AA40" s="13">
        <v>51.63</v>
      </c>
      <c r="AB40" s="13">
        <v>0</v>
      </c>
      <c r="AC40" s="13">
        <v>45.512</v>
      </c>
      <c r="AD40" s="13">
        <v>17.07</v>
      </c>
      <c r="AE40" s="13">
        <v>26.408000000000001</v>
      </c>
      <c r="AF40" s="13">
        <v>22.501000000000001</v>
      </c>
      <c r="AG40" s="13">
        <v>18.37</v>
      </c>
      <c r="AH40" s="13">
        <v>24.045000000000002</v>
      </c>
      <c r="AI40" s="14">
        <f t="shared" si="1"/>
        <v>236.47800000000001</v>
      </c>
    </row>
    <row r="41" spans="1:35" ht="18" customHeight="1" x14ac:dyDescent="0.2">
      <c r="A41" s="27" t="str">
        <f t="shared" si="3"/>
        <v>법인</v>
      </c>
      <c r="B41" s="27" t="s">
        <v>1555</v>
      </c>
      <c r="C41" s="27" t="s">
        <v>1496</v>
      </c>
      <c r="D41" s="26">
        <v>6178205191</v>
      </c>
      <c r="E41" s="26">
        <v>10041592</v>
      </c>
      <c r="F41" s="25" t="s">
        <v>73</v>
      </c>
      <c r="G41" s="48" t="s">
        <v>322</v>
      </c>
      <c r="H41" s="53">
        <v>45805</v>
      </c>
      <c r="I41" s="53">
        <v>45881</v>
      </c>
      <c r="J41" s="14">
        <v>400</v>
      </c>
      <c r="K41" s="14">
        <f t="shared" si="2"/>
        <v>11.111111111111111</v>
      </c>
      <c r="L41" s="49" t="s">
        <v>311</v>
      </c>
      <c r="M41" s="13">
        <v>0</v>
      </c>
      <c r="N41" s="13">
        <v>0</v>
      </c>
      <c r="O41" s="13">
        <v>0</v>
      </c>
      <c r="P41" s="13">
        <v>0</v>
      </c>
      <c r="Q41" s="13">
        <v>0</v>
      </c>
      <c r="R41" s="13">
        <v>0</v>
      </c>
      <c r="S41" s="13">
        <v>0</v>
      </c>
      <c r="T41" s="13">
        <v>0</v>
      </c>
      <c r="U41" s="13">
        <v>0</v>
      </c>
      <c r="V41" s="13">
        <v>0</v>
      </c>
      <c r="W41" s="13">
        <v>2.2509999999999999</v>
      </c>
      <c r="X41" s="13">
        <v>12.5</v>
      </c>
      <c r="Y41" s="13">
        <v>12.5</v>
      </c>
      <c r="Z41" s="13">
        <v>18.530999999999999</v>
      </c>
      <c r="AA41" s="13">
        <v>33.979999999999997</v>
      </c>
      <c r="AB41" s="13">
        <v>41.768000000000001</v>
      </c>
      <c r="AC41" s="13">
        <v>46.084000000000003</v>
      </c>
      <c r="AD41" s="13">
        <v>49.624000000000002</v>
      </c>
      <c r="AE41" s="13">
        <v>49.378999999999998</v>
      </c>
      <c r="AF41" s="13">
        <v>52.024000000000001</v>
      </c>
      <c r="AG41" s="13">
        <v>48.231000000000002</v>
      </c>
      <c r="AH41" s="13">
        <v>49.28</v>
      </c>
      <c r="AI41" s="14">
        <f t="shared" si="1"/>
        <v>416.15200000000004</v>
      </c>
    </row>
    <row r="42" spans="1:35" ht="18" customHeight="1" x14ac:dyDescent="0.2">
      <c r="A42" s="27" t="str">
        <f t="shared" si="3"/>
        <v>개인</v>
      </c>
      <c r="B42" s="27" t="s">
        <v>1555</v>
      </c>
      <c r="C42" s="27" t="s">
        <v>1554</v>
      </c>
      <c r="D42" s="26">
        <v>6219601338</v>
      </c>
      <c r="E42" s="26">
        <v>10041888</v>
      </c>
      <c r="F42" s="25" t="s">
        <v>83</v>
      </c>
      <c r="G42" s="48" t="s">
        <v>322</v>
      </c>
      <c r="H42" s="53">
        <v>45810</v>
      </c>
      <c r="I42" s="53">
        <v>45881</v>
      </c>
      <c r="J42" s="14">
        <v>497.40000000000003</v>
      </c>
      <c r="K42" s="14">
        <f t="shared" si="2"/>
        <v>13.816666666666668</v>
      </c>
      <c r="L42" s="49" t="s">
        <v>311</v>
      </c>
      <c r="M42" s="13">
        <v>0</v>
      </c>
      <c r="N42" s="13">
        <v>0</v>
      </c>
      <c r="O42" s="13">
        <v>0</v>
      </c>
      <c r="P42" s="13">
        <v>0</v>
      </c>
      <c r="Q42" s="13">
        <v>0</v>
      </c>
      <c r="R42" s="13">
        <v>0</v>
      </c>
      <c r="S42" s="13">
        <v>0</v>
      </c>
      <c r="T42" s="13">
        <v>0</v>
      </c>
      <c r="U42" s="13">
        <v>0</v>
      </c>
      <c r="V42" s="13">
        <v>0</v>
      </c>
      <c r="W42" s="13">
        <v>0</v>
      </c>
      <c r="X42" s="13">
        <v>9.3320000000000007</v>
      </c>
      <c r="Y42" s="13">
        <v>18.684999999999999</v>
      </c>
      <c r="Z42" s="13">
        <v>17.835000000000001</v>
      </c>
      <c r="AA42" s="13">
        <v>22.88</v>
      </c>
      <c r="AB42" s="13">
        <v>31.55</v>
      </c>
      <c r="AC42" s="13">
        <v>31.562000000000001</v>
      </c>
      <c r="AD42" s="13">
        <v>61.475000000000001</v>
      </c>
      <c r="AE42" s="13">
        <v>0</v>
      </c>
      <c r="AF42" s="13">
        <v>0</v>
      </c>
      <c r="AG42" s="13">
        <v>0</v>
      </c>
      <c r="AH42" s="13">
        <v>0</v>
      </c>
      <c r="AI42" s="14">
        <f t="shared" si="1"/>
        <v>193.31899999999999</v>
      </c>
    </row>
    <row r="43" spans="1:35" ht="18" customHeight="1" x14ac:dyDescent="0.2">
      <c r="A43" s="27" t="str">
        <f t="shared" si="3"/>
        <v>법인</v>
      </c>
      <c r="B43" s="27" t="s">
        <v>1559</v>
      </c>
      <c r="C43" s="27" t="s">
        <v>1496</v>
      </c>
      <c r="D43" s="26">
        <v>6088216068</v>
      </c>
      <c r="E43" s="26">
        <v>10047340</v>
      </c>
      <c r="F43" s="78" t="s">
        <v>98</v>
      </c>
      <c r="G43" s="48" t="s">
        <v>320</v>
      </c>
      <c r="H43" s="53">
        <v>45903</v>
      </c>
      <c r="I43" s="50">
        <v>45950</v>
      </c>
      <c r="J43" s="14">
        <v>259.53100000000001</v>
      </c>
      <c r="K43" s="14">
        <f>J43</f>
        <v>259.53100000000001</v>
      </c>
      <c r="L43" s="49" t="s">
        <v>311</v>
      </c>
      <c r="M43" s="13">
        <v>0</v>
      </c>
      <c r="N43" s="13">
        <v>0</v>
      </c>
      <c r="O43" s="13">
        <v>0</v>
      </c>
      <c r="P43" s="13">
        <v>0</v>
      </c>
      <c r="Q43" s="13">
        <v>0</v>
      </c>
      <c r="R43" s="13">
        <v>0</v>
      </c>
      <c r="S43" s="13">
        <v>0</v>
      </c>
      <c r="T43" s="13">
        <v>0</v>
      </c>
      <c r="U43" s="13">
        <v>0</v>
      </c>
      <c r="V43" s="13">
        <v>0</v>
      </c>
      <c r="W43" s="13">
        <v>0</v>
      </c>
      <c r="X43" s="13">
        <v>0</v>
      </c>
      <c r="Y43" s="13">
        <v>159.53100000000001</v>
      </c>
      <c r="Z43" s="13">
        <v>100</v>
      </c>
      <c r="AA43" s="13">
        <v>0</v>
      </c>
      <c r="AB43" s="13">
        <v>0</v>
      </c>
      <c r="AC43" s="13">
        <v>0</v>
      </c>
      <c r="AD43" s="13">
        <v>0</v>
      </c>
      <c r="AE43" s="13">
        <v>0</v>
      </c>
      <c r="AF43" s="13">
        <v>0</v>
      </c>
      <c r="AG43" s="13">
        <v>0</v>
      </c>
      <c r="AH43" s="13">
        <v>0</v>
      </c>
      <c r="AI43" s="14">
        <f t="shared" si="1"/>
        <v>259.53100000000001</v>
      </c>
    </row>
    <row r="44" spans="1:35" ht="18" customHeight="1" x14ac:dyDescent="0.2">
      <c r="A44" s="27" t="str">
        <f t="shared" si="3"/>
        <v>개인</v>
      </c>
      <c r="B44" s="27" t="s">
        <v>1569</v>
      </c>
      <c r="C44" s="27" t="s">
        <v>1554</v>
      </c>
      <c r="D44" s="26">
        <v>6039134608</v>
      </c>
      <c r="E44" s="26">
        <v>10040545</v>
      </c>
      <c r="F44" s="25" t="s">
        <v>88</v>
      </c>
      <c r="G44" s="48" t="s">
        <v>322</v>
      </c>
      <c r="H44" s="53">
        <v>45853</v>
      </c>
      <c r="I44" s="53">
        <v>45909</v>
      </c>
      <c r="J44" s="14">
        <v>251.82300000000001</v>
      </c>
      <c r="K44" s="14">
        <f t="shared" si="2"/>
        <v>6.9950833333333335</v>
      </c>
      <c r="L44" s="49" t="s">
        <v>311</v>
      </c>
      <c r="M44" s="13">
        <v>0</v>
      </c>
      <c r="N44" s="13">
        <v>0</v>
      </c>
      <c r="O44" s="13">
        <v>0</v>
      </c>
      <c r="P44" s="13">
        <v>0</v>
      </c>
      <c r="Q44" s="13">
        <v>0</v>
      </c>
      <c r="R44" s="13">
        <v>0</v>
      </c>
      <c r="S44" s="13">
        <v>0</v>
      </c>
      <c r="T44" s="13">
        <v>0</v>
      </c>
      <c r="U44" s="13">
        <v>0</v>
      </c>
      <c r="V44" s="13">
        <v>0</v>
      </c>
      <c r="W44" s="13">
        <v>0</v>
      </c>
      <c r="X44" s="13">
        <v>6.5670000000000002</v>
      </c>
      <c r="Y44" s="13">
        <v>11.122999999999999</v>
      </c>
      <c r="Z44" s="13">
        <v>10.49</v>
      </c>
      <c r="AA44" s="13">
        <v>9.6159999999999997</v>
      </c>
      <c r="AB44" s="13">
        <v>8.7710000000000008</v>
      </c>
      <c r="AC44" s="13">
        <v>8.02</v>
      </c>
      <c r="AD44" s="13">
        <v>11.132464000000001</v>
      </c>
      <c r="AE44" s="13">
        <v>10.085000000000001</v>
      </c>
      <c r="AF44" s="13">
        <v>7.585</v>
      </c>
      <c r="AG44" s="13">
        <v>8.2590000000000003</v>
      </c>
      <c r="AH44" s="13">
        <v>8.7899999999999991</v>
      </c>
      <c r="AI44" s="14">
        <f t="shared" si="1"/>
        <v>100.43846399999998</v>
      </c>
    </row>
    <row r="45" spans="1:35" ht="18" customHeight="1" x14ac:dyDescent="0.2">
      <c r="A45" s="27" t="str">
        <f t="shared" si="3"/>
        <v>법인</v>
      </c>
      <c r="B45" s="27" t="s">
        <v>1558</v>
      </c>
      <c r="C45" s="27" t="s">
        <v>1496</v>
      </c>
      <c r="D45" s="26">
        <v>1358210284</v>
      </c>
      <c r="E45" s="26">
        <v>10033733</v>
      </c>
      <c r="F45" s="25" t="s">
        <v>39</v>
      </c>
      <c r="G45" s="48" t="s">
        <v>319</v>
      </c>
      <c r="H45" s="53">
        <v>45777</v>
      </c>
      <c r="I45" s="53">
        <v>45777</v>
      </c>
      <c r="J45" s="14">
        <v>190</v>
      </c>
      <c r="K45" s="14">
        <f>J45</f>
        <v>190</v>
      </c>
      <c r="L45" s="51">
        <v>0</v>
      </c>
      <c r="M45" s="13">
        <v>0</v>
      </c>
      <c r="N45" s="13">
        <v>0</v>
      </c>
      <c r="O45" s="13">
        <v>0</v>
      </c>
      <c r="P45" s="13">
        <v>0</v>
      </c>
      <c r="Q45" s="13">
        <v>0</v>
      </c>
      <c r="R45" s="13">
        <v>0</v>
      </c>
      <c r="S45" s="13">
        <v>0</v>
      </c>
      <c r="T45" s="13">
        <v>0</v>
      </c>
      <c r="U45" s="13">
        <v>0</v>
      </c>
      <c r="V45" s="13">
        <v>0</v>
      </c>
      <c r="W45" s="13">
        <v>20</v>
      </c>
      <c r="X45" s="13">
        <v>50</v>
      </c>
      <c r="Y45" s="13">
        <v>50</v>
      </c>
      <c r="Z45" s="13">
        <v>50</v>
      </c>
      <c r="AA45" s="13">
        <v>20</v>
      </c>
      <c r="AB45" s="13">
        <v>0</v>
      </c>
      <c r="AC45" s="13">
        <v>0</v>
      </c>
      <c r="AD45" s="13">
        <v>0</v>
      </c>
      <c r="AE45" s="13">
        <v>0</v>
      </c>
      <c r="AF45" s="13">
        <v>0</v>
      </c>
      <c r="AG45" s="13">
        <v>0</v>
      </c>
      <c r="AH45" s="13">
        <v>0</v>
      </c>
      <c r="AI45" s="14">
        <f t="shared" si="1"/>
        <v>190</v>
      </c>
    </row>
    <row r="46" spans="1:35" ht="18" customHeight="1" x14ac:dyDescent="0.2">
      <c r="A46" s="27" t="str">
        <f t="shared" si="3"/>
        <v>법인</v>
      </c>
      <c r="B46" s="27" t="s">
        <v>1556</v>
      </c>
      <c r="C46" s="27" t="s">
        <v>1496</v>
      </c>
      <c r="D46" s="26">
        <v>5028215984</v>
      </c>
      <c r="E46" s="26">
        <v>10039216</v>
      </c>
      <c r="F46" s="78" t="s">
        <v>345</v>
      </c>
      <c r="G46" s="48" t="s">
        <v>321</v>
      </c>
      <c r="H46" s="53">
        <v>45817</v>
      </c>
      <c r="I46" s="50">
        <v>45831</v>
      </c>
      <c r="J46" s="14">
        <v>164.16299999999998</v>
      </c>
      <c r="K46" s="14">
        <f>J46</f>
        <v>164.16299999999998</v>
      </c>
      <c r="L46" s="49" t="s">
        <v>316</v>
      </c>
      <c r="M46" s="13">
        <v>0</v>
      </c>
      <c r="N46" s="13">
        <v>0</v>
      </c>
      <c r="O46" s="13">
        <v>0</v>
      </c>
      <c r="P46" s="13">
        <v>0</v>
      </c>
      <c r="Q46" s="13">
        <v>0</v>
      </c>
      <c r="R46" s="13">
        <v>0</v>
      </c>
      <c r="S46" s="13">
        <v>0</v>
      </c>
      <c r="T46" s="13">
        <v>0</v>
      </c>
      <c r="U46" s="13">
        <v>0</v>
      </c>
      <c r="V46" s="13">
        <v>27.360499999999998</v>
      </c>
      <c r="W46" s="13">
        <v>27.360499999999998</v>
      </c>
      <c r="X46" s="13">
        <v>27.360499999999998</v>
      </c>
      <c r="Y46" s="13">
        <v>27.360499999999998</v>
      </c>
      <c r="Z46" s="13">
        <v>54.720999999999997</v>
      </c>
      <c r="AA46" s="13">
        <v>0</v>
      </c>
      <c r="AB46" s="13">
        <v>0</v>
      </c>
      <c r="AC46" s="13">
        <v>0</v>
      </c>
      <c r="AD46" s="13">
        <v>0</v>
      </c>
      <c r="AE46" s="13">
        <v>0</v>
      </c>
      <c r="AF46" s="13">
        <v>0</v>
      </c>
      <c r="AG46" s="13">
        <v>0</v>
      </c>
      <c r="AH46" s="13">
        <v>0</v>
      </c>
      <c r="AI46" s="14">
        <f t="shared" si="1"/>
        <v>164.16299999999998</v>
      </c>
    </row>
    <row r="47" spans="1:35" ht="18" customHeight="1" x14ac:dyDescent="0.2">
      <c r="A47" s="27" t="str">
        <f t="shared" si="3"/>
        <v>개인</v>
      </c>
      <c r="B47" s="27" t="s">
        <v>1559</v>
      </c>
      <c r="C47" s="27" t="s">
        <v>1554</v>
      </c>
      <c r="D47" s="26">
        <v>4081777598</v>
      </c>
      <c r="E47" s="26">
        <v>10037883</v>
      </c>
      <c r="F47" s="25" t="s">
        <v>94</v>
      </c>
      <c r="G47" s="48" t="s">
        <v>322</v>
      </c>
      <c r="H47" s="53">
        <v>45805</v>
      </c>
      <c r="I47" s="53">
        <v>45895</v>
      </c>
      <c r="J47" s="14">
        <v>936.98</v>
      </c>
      <c r="K47" s="14">
        <f t="shared" si="2"/>
        <v>26.027222222222221</v>
      </c>
      <c r="L47" s="49" t="s">
        <v>311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25.39</v>
      </c>
      <c r="Y47" s="13">
        <v>32.179000000000002</v>
      </c>
      <c r="Z47" s="145">
        <v>28.492999999999999</v>
      </c>
      <c r="AA47" s="13">
        <v>39.225999999999999</v>
      </c>
      <c r="AB47" s="13">
        <v>36.939</v>
      </c>
      <c r="AC47" s="13">
        <v>29.843</v>
      </c>
      <c r="AD47" s="13">
        <v>36.472999999999999</v>
      </c>
      <c r="AE47" s="13">
        <v>24.317</v>
      </c>
      <c r="AF47" s="13">
        <v>24.736999999999998</v>
      </c>
      <c r="AG47" s="13">
        <v>20.981999999999999</v>
      </c>
      <c r="AH47" s="13">
        <v>20.446999999999999</v>
      </c>
      <c r="AI47" s="14">
        <f t="shared" si="1"/>
        <v>319.02600000000007</v>
      </c>
    </row>
    <row r="48" spans="1:35" ht="18" customHeight="1" x14ac:dyDescent="0.2">
      <c r="A48" s="27" t="str">
        <f t="shared" si="3"/>
        <v>개인</v>
      </c>
      <c r="B48" s="27" t="s">
        <v>1565</v>
      </c>
      <c r="C48" s="27" t="s">
        <v>1554</v>
      </c>
      <c r="D48" s="26">
        <v>3119038784</v>
      </c>
      <c r="E48" s="26">
        <v>10036633</v>
      </c>
      <c r="F48" s="25" t="s">
        <v>58</v>
      </c>
      <c r="G48" s="48" t="s">
        <v>322</v>
      </c>
      <c r="H48" s="53">
        <v>45803</v>
      </c>
      <c r="I48" s="53">
        <v>45852</v>
      </c>
      <c r="J48" s="14">
        <v>611.98599999999999</v>
      </c>
      <c r="K48" s="14">
        <f t="shared" si="2"/>
        <v>16.999611111111111</v>
      </c>
      <c r="L48" s="49" t="s">
        <v>311</v>
      </c>
      <c r="M48" s="13">
        <v>0</v>
      </c>
      <c r="N48" s="13">
        <v>0</v>
      </c>
      <c r="O48" s="13">
        <v>0</v>
      </c>
      <c r="P48" s="13">
        <v>0</v>
      </c>
      <c r="Q48" s="13">
        <v>0</v>
      </c>
      <c r="R48" s="13">
        <v>0</v>
      </c>
      <c r="S48" s="13">
        <v>0</v>
      </c>
      <c r="T48" s="13">
        <v>0</v>
      </c>
      <c r="U48" s="13">
        <v>0</v>
      </c>
      <c r="V48" s="13">
        <v>4.5049999999999999</v>
      </c>
      <c r="W48" s="13">
        <v>10.613</v>
      </c>
      <c r="X48" s="13">
        <v>10</v>
      </c>
      <c r="Y48" s="13">
        <v>36.277000000000001</v>
      </c>
      <c r="Z48" s="13">
        <v>10</v>
      </c>
      <c r="AA48" s="13">
        <v>18.364000000000001</v>
      </c>
      <c r="AB48" s="13">
        <v>21.896999999999998</v>
      </c>
      <c r="AC48" s="13">
        <v>15.276</v>
      </c>
      <c r="AD48" s="13">
        <v>9</v>
      </c>
      <c r="AE48" s="13">
        <v>8.9339999999999993</v>
      </c>
      <c r="AF48" s="13">
        <v>8.2089999999999996</v>
      </c>
      <c r="AG48" s="13">
        <v>13.571999999999999</v>
      </c>
      <c r="AH48" s="13">
        <v>3</v>
      </c>
      <c r="AI48" s="14">
        <f t="shared" si="1"/>
        <v>169.64700000000002</v>
      </c>
    </row>
    <row r="49" spans="1:35" ht="18" customHeight="1" x14ac:dyDescent="0.2">
      <c r="A49" s="27" t="str">
        <f t="shared" si="3"/>
        <v>개인</v>
      </c>
      <c r="B49" s="27" t="s">
        <v>1566</v>
      </c>
      <c r="C49" s="27" t="s">
        <v>1554</v>
      </c>
      <c r="D49" s="26">
        <v>6719701418</v>
      </c>
      <c r="E49" s="26">
        <v>10070268</v>
      </c>
      <c r="F49" s="25" t="s">
        <v>81</v>
      </c>
      <c r="G49" s="48" t="s">
        <v>322</v>
      </c>
      <c r="H49" s="53">
        <v>45853</v>
      </c>
      <c r="I49" s="53">
        <v>45867</v>
      </c>
      <c r="J49" s="14">
        <v>632.32600000000002</v>
      </c>
      <c r="K49" s="14">
        <f t="shared" si="2"/>
        <v>17.564611111111113</v>
      </c>
      <c r="L49" s="49" t="s">
        <v>311</v>
      </c>
      <c r="M49" s="13">
        <v>0</v>
      </c>
      <c r="N49" s="13">
        <v>0</v>
      </c>
      <c r="O49" s="13">
        <v>0</v>
      </c>
      <c r="P49" s="13">
        <v>0</v>
      </c>
      <c r="Q49" s="13">
        <v>0</v>
      </c>
      <c r="R49" s="13">
        <v>0</v>
      </c>
      <c r="S49" s="13">
        <v>0</v>
      </c>
      <c r="T49" s="13">
        <v>0</v>
      </c>
      <c r="U49" s="13">
        <v>0</v>
      </c>
      <c r="V49" s="13">
        <v>0</v>
      </c>
      <c r="W49" s="13">
        <v>8.8930000000000007</v>
      </c>
      <c r="X49" s="13">
        <v>10.776</v>
      </c>
      <c r="Y49" s="13">
        <v>12.637</v>
      </c>
      <c r="Z49" s="13">
        <v>11.348000000000001</v>
      </c>
      <c r="AA49" s="144">
        <v>12.92</v>
      </c>
      <c r="AB49" s="13">
        <v>11.738</v>
      </c>
      <c r="AC49" s="144">
        <v>11.268000000000001</v>
      </c>
      <c r="AD49" s="13">
        <v>12.484</v>
      </c>
      <c r="AE49" s="13">
        <v>12.318</v>
      </c>
      <c r="AF49" s="13">
        <v>13.782999999999999</v>
      </c>
      <c r="AG49" s="13">
        <v>16.248000000000001</v>
      </c>
      <c r="AH49" s="13">
        <v>19.059000000000001</v>
      </c>
      <c r="AI49" s="14">
        <f t="shared" si="1"/>
        <v>153.47199999999998</v>
      </c>
    </row>
    <row r="50" spans="1:35" ht="18" customHeight="1" x14ac:dyDescent="0.2">
      <c r="A50" s="27" t="str">
        <f t="shared" si="3"/>
        <v>개인</v>
      </c>
      <c r="B50" s="27" t="s">
        <v>1556</v>
      </c>
      <c r="C50" s="27" t="s">
        <v>1554</v>
      </c>
      <c r="D50" s="26">
        <v>1279607029</v>
      </c>
      <c r="E50" s="26">
        <v>10032935</v>
      </c>
      <c r="F50" s="25" t="s">
        <v>77</v>
      </c>
      <c r="G50" s="48" t="s">
        <v>322</v>
      </c>
      <c r="H50" s="53">
        <v>45824</v>
      </c>
      <c r="I50" s="53">
        <v>45852</v>
      </c>
      <c r="J50" s="14">
        <v>1141.1510000000001</v>
      </c>
      <c r="K50" s="14">
        <f t="shared" si="2"/>
        <v>31.69863888888889</v>
      </c>
      <c r="L50" s="49" t="s">
        <v>311</v>
      </c>
      <c r="M50" s="13">
        <v>0</v>
      </c>
      <c r="N50" s="13">
        <v>0</v>
      </c>
      <c r="O50" s="13">
        <v>0</v>
      </c>
      <c r="P50" s="13">
        <v>0</v>
      </c>
      <c r="Q50" s="13">
        <v>0</v>
      </c>
      <c r="R50" s="13">
        <v>0</v>
      </c>
      <c r="S50" s="13">
        <v>0</v>
      </c>
      <c r="T50" s="13">
        <v>0</v>
      </c>
      <c r="U50" s="13">
        <v>0</v>
      </c>
      <c r="V50" s="13">
        <v>0</v>
      </c>
      <c r="W50" s="13">
        <v>52.158000000000001</v>
      </c>
      <c r="X50" s="13">
        <v>52.158000000000001</v>
      </c>
      <c r="Y50" s="13">
        <v>0</v>
      </c>
      <c r="Z50" s="13">
        <v>33.701000000000001</v>
      </c>
      <c r="AA50" s="13">
        <v>40.103999999999999</v>
      </c>
      <c r="AB50" s="13">
        <v>47.039000000000001</v>
      </c>
      <c r="AC50" s="13">
        <v>38.783999999999999</v>
      </c>
      <c r="AD50" s="13">
        <v>37.246000000000002</v>
      </c>
      <c r="AE50" s="13">
        <v>38.305</v>
      </c>
      <c r="AF50" s="13">
        <v>23.68</v>
      </c>
      <c r="AG50" s="13">
        <v>21.712</v>
      </c>
      <c r="AH50" s="13">
        <v>19.968</v>
      </c>
      <c r="AI50" s="14">
        <f t="shared" si="1"/>
        <v>404.85499999999996</v>
      </c>
    </row>
    <row r="51" spans="1:35" s="117" customFormat="1" ht="18" customHeight="1" x14ac:dyDescent="0.2">
      <c r="A51" s="27" t="str">
        <f t="shared" si="3"/>
        <v>개인</v>
      </c>
      <c r="B51" s="27" t="s">
        <v>1570</v>
      </c>
      <c r="C51" s="27" t="s">
        <v>1554</v>
      </c>
      <c r="D51" s="109">
        <v>6173188429</v>
      </c>
      <c r="E51" s="109">
        <v>10003837</v>
      </c>
      <c r="F51" s="110" t="s">
        <v>30</v>
      </c>
      <c r="G51" s="111" t="s">
        <v>319</v>
      </c>
      <c r="H51" s="112">
        <v>45777</v>
      </c>
      <c r="I51" s="112">
        <v>45777</v>
      </c>
      <c r="J51" s="114">
        <v>125</v>
      </c>
      <c r="K51" s="114">
        <f t="shared" ref="K51:K53" si="4">J51</f>
        <v>125</v>
      </c>
      <c r="L51" s="115" t="s">
        <v>311</v>
      </c>
      <c r="M51" s="116">
        <v>0</v>
      </c>
      <c r="N51" s="116">
        <v>0</v>
      </c>
      <c r="O51" s="116">
        <v>0</v>
      </c>
      <c r="P51" s="116">
        <v>0</v>
      </c>
      <c r="Q51" s="116">
        <v>0</v>
      </c>
      <c r="R51" s="116">
        <v>0</v>
      </c>
      <c r="S51" s="116">
        <v>0</v>
      </c>
      <c r="T51" s="116">
        <v>0</v>
      </c>
      <c r="U51" s="116"/>
      <c r="V51" s="116">
        <v>125</v>
      </c>
      <c r="W51" s="116"/>
      <c r="X51" s="116"/>
      <c r="Y51" s="116"/>
      <c r="Z51" s="116"/>
      <c r="AA51" s="116"/>
      <c r="AB51" s="116"/>
      <c r="AC51" s="116">
        <v>0</v>
      </c>
      <c r="AD51" s="116">
        <v>0</v>
      </c>
      <c r="AE51" s="116">
        <v>0</v>
      </c>
      <c r="AF51" s="116">
        <v>0</v>
      </c>
      <c r="AG51" s="116">
        <v>0</v>
      </c>
      <c r="AH51" s="13">
        <v>0</v>
      </c>
      <c r="AI51" s="114">
        <f t="shared" si="1"/>
        <v>125</v>
      </c>
    </row>
    <row r="52" spans="1:35" s="117" customFormat="1" ht="18" customHeight="1" x14ac:dyDescent="0.2">
      <c r="A52" s="27" t="str">
        <f t="shared" si="3"/>
        <v>개인</v>
      </c>
      <c r="B52" s="27" t="s">
        <v>1570</v>
      </c>
      <c r="C52" s="27" t="s">
        <v>1554</v>
      </c>
      <c r="D52" s="109">
        <v>6173188429</v>
      </c>
      <c r="E52" s="109">
        <v>10003837</v>
      </c>
      <c r="F52" s="110" t="s">
        <v>30</v>
      </c>
      <c r="G52" s="48" t="s">
        <v>322</v>
      </c>
      <c r="H52" s="112">
        <v>45943</v>
      </c>
      <c r="I52" s="112">
        <v>45777</v>
      </c>
      <c r="J52" s="114">
        <v>505.20400000000001</v>
      </c>
      <c r="K52" s="114">
        <f t="shared" si="2"/>
        <v>14.033444444444445</v>
      </c>
      <c r="L52" s="115" t="s">
        <v>311</v>
      </c>
      <c r="M52" s="116">
        <v>0</v>
      </c>
      <c r="N52" s="116">
        <v>0</v>
      </c>
      <c r="O52" s="116">
        <v>0</v>
      </c>
      <c r="P52" s="116">
        <v>0</v>
      </c>
      <c r="Q52" s="116">
        <v>0</v>
      </c>
      <c r="R52" s="116">
        <v>0</v>
      </c>
      <c r="S52" s="116">
        <v>0</v>
      </c>
      <c r="T52" s="116">
        <v>0</v>
      </c>
      <c r="U52" s="116">
        <v>1.204</v>
      </c>
      <c r="V52" s="116">
        <v>12.747999999999999</v>
      </c>
      <c r="W52" s="116">
        <v>15.113</v>
      </c>
      <c r="X52" s="116">
        <v>14.691000000000001</v>
      </c>
      <c r="Y52" s="116">
        <v>0</v>
      </c>
      <c r="Z52" s="116">
        <v>38.442</v>
      </c>
      <c r="AA52" s="116">
        <v>23.404</v>
      </c>
      <c r="AB52" s="116">
        <v>33.198</v>
      </c>
      <c r="AC52" s="116">
        <v>0</v>
      </c>
      <c r="AD52" s="116">
        <v>0</v>
      </c>
      <c r="AE52" s="116">
        <v>0</v>
      </c>
      <c r="AF52" s="116">
        <v>0</v>
      </c>
      <c r="AG52" s="116">
        <v>0</v>
      </c>
      <c r="AH52" s="13">
        <v>0</v>
      </c>
      <c r="AI52" s="114">
        <f t="shared" si="1"/>
        <v>138.80000000000001</v>
      </c>
    </row>
    <row r="53" spans="1:35" s="117" customFormat="1" ht="18" customHeight="1" x14ac:dyDescent="0.2">
      <c r="A53" s="27" t="str">
        <f t="shared" si="3"/>
        <v>법인</v>
      </c>
      <c r="B53" s="27" t="s">
        <v>1559</v>
      </c>
      <c r="C53" s="27" t="s">
        <v>1496</v>
      </c>
      <c r="D53" s="109">
        <v>1418202789</v>
      </c>
      <c r="E53" s="109">
        <v>10021890</v>
      </c>
      <c r="F53" s="110" t="s">
        <v>344</v>
      </c>
      <c r="G53" s="111" t="s">
        <v>319</v>
      </c>
      <c r="H53" s="112">
        <v>45636</v>
      </c>
      <c r="I53" s="113">
        <v>45688</v>
      </c>
      <c r="J53" s="114">
        <v>112.4361</v>
      </c>
      <c r="K53" s="114">
        <f t="shared" si="4"/>
        <v>112.4361</v>
      </c>
      <c r="L53" s="115" t="s">
        <v>311</v>
      </c>
      <c r="M53" s="116">
        <v>0</v>
      </c>
      <c r="N53" s="116">
        <v>0</v>
      </c>
      <c r="O53" s="116">
        <v>0</v>
      </c>
      <c r="P53" s="116">
        <v>0</v>
      </c>
      <c r="Q53" s="116">
        <v>112.4361</v>
      </c>
      <c r="R53" s="116">
        <v>0</v>
      </c>
      <c r="S53" s="116">
        <v>0</v>
      </c>
      <c r="T53" s="116">
        <v>0</v>
      </c>
      <c r="U53" s="116">
        <v>0</v>
      </c>
      <c r="V53" s="116">
        <v>0</v>
      </c>
      <c r="W53" s="116"/>
      <c r="X53" s="116"/>
      <c r="Y53" s="116"/>
      <c r="Z53" s="116"/>
      <c r="AA53" s="116"/>
      <c r="AB53" s="116"/>
      <c r="AC53" s="116"/>
      <c r="AD53" s="116">
        <v>0</v>
      </c>
      <c r="AE53" s="116">
        <v>0</v>
      </c>
      <c r="AF53" s="116">
        <v>0</v>
      </c>
      <c r="AG53" s="116">
        <v>0</v>
      </c>
      <c r="AH53" s="13">
        <v>0</v>
      </c>
      <c r="AI53" s="114">
        <f t="shared" si="1"/>
        <v>112.4361</v>
      </c>
    </row>
    <row r="54" spans="1:35" s="117" customFormat="1" ht="18" customHeight="1" x14ac:dyDescent="0.2">
      <c r="A54" s="27" t="str">
        <f t="shared" si="3"/>
        <v>법인</v>
      </c>
      <c r="B54" s="27" t="s">
        <v>1559</v>
      </c>
      <c r="C54" s="27" t="s">
        <v>1496</v>
      </c>
      <c r="D54" s="109">
        <v>1418202789</v>
      </c>
      <c r="E54" s="109">
        <v>10021890</v>
      </c>
      <c r="F54" s="110" t="s">
        <v>344</v>
      </c>
      <c r="G54" s="48" t="s">
        <v>322</v>
      </c>
      <c r="H54" s="112">
        <v>45929</v>
      </c>
      <c r="I54" s="113">
        <v>45688</v>
      </c>
      <c r="J54" s="114">
        <v>489.46949999999998</v>
      </c>
      <c r="K54" s="114">
        <f t="shared" ref="K54" si="5">J54/36</f>
        <v>13.596375</v>
      </c>
      <c r="L54" s="115" t="s">
        <v>311</v>
      </c>
      <c r="M54" s="116">
        <v>0</v>
      </c>
      <c r="N54" s="116">
        <v>0</v>
      </c>
      <c r="O54" s="116">
        <v>0</v>
      </c>
      <c r="P54" s="116">
        <v>0</v>
      </c>
      <c r="Q54" s="116">
        <v>0</v>
      </c>
      <c r="R54" s="116">
        <v>0</v>
      </c>
      <c r="S54" s="116">
        <v>0</v>
      </c>
      <c r="T54" s="116">
        <v>0</v>
      </c>
      <c r="U54" s="116">
        <v>0</v>
      </c>
      <c r="V54" s="116">
        <v>0</v>
      </c>
      <c r="W54" s="116">
        <v>1.2789999999999999</v>
      </c>
      <c r="X54" s="116">
        <v>15.334</v>
      </c>
      <c r="Y54" s="116">
        <v>5.0979999999999999</v>
      </c>
      <c r="Z54" s="116">
        <v>4.8040000000000003</v>
      </c>
      <c r="AA54" s="116">
        <v>4.9829999999999997</v>
      </c>
      <c r="AB54" s="116">
        <v>8.2070000000000007</v>
      </c>
      <c r="AC54" s="116">
        <v>13.978</v>
      </c>
      <c r="AD54" s="116">
        <v>17.981000000000002</v>
      </c>
      <c r="AE54" s="116">
        <v>16.338999999999999</v>
      </c>
      <c r="AF54" s="116">
        <v>14.847</v>
      </c>
      <c r="AG54" s="116">
        <v>14.872</v>
      </c>
      <c r="AH54" s="13">
        <v>15.782</v>
      </c>
      <c r="AI54" s="114">
        <f t="shared" si="1"/>
        <v>133.50399999999999</v>
      </c>
    </row>
    <row r="55" spans="1:35" ht="18" customHeight="1" x14ac:dyDescent="0.2">
      <c r="A55" s="27" t="str">
        <f t="shared" si="3"/>
        <v>법인</v>
      </c>
      <c r="B55" s="27" t="s">
        <v>1568</v>
      </c>
      <c r="C55" s="27" t="s">
        <v>1496</v>
      </c>
      <c r="D55" s="26">
        <v>1108202349</v>
      </c>
      <c r="E55" s="26">
        <v>10031781</v>
      </c>
      <c r="F55" s="78" t="s">
        <v>62</v>
      </c>
      <c r="G55" s="48" t="s">
        <v>320</v>
      </c>
      <c r="H55" s="53">
        <v>45863</v>
      </c>
      <c r="I55" s="50">
        <v>45880</v>
      </c>
      <c r="J55" s="14">
        <v>145</v>
      </c>
      <c r="K55" s="14">
        <f t="shared" ref="K55:K76" si="6">J55</f>
        <v>145</v>
      </c>
      <c r="L55" s="51" t="s">
        <v>343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0</v>
      </c>
      <c r="V55" s="13">
        <v>0</v>
      </c>
      <c r="W55" s="13">
        <v>0</v>
      </c>
      <c r="X55" s="13">
        <v>0</v>
      </c>
      <c r="Y55" s="13">
        <v>145</v>
      </c>
      <c r="Z55" s="13">
        <v>0</v>
      </c>
      <c r="AA55" s="13">
        <v>0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4">
        <f t="shared" si="1"/>
        <v>145</v>
      </c>
    </row>
    <row r="56" spans="1:35" ht="18" customHeight="1" x14ac:dyDescent="0.2">
      <c r="A56" s="27" t="str">
        <f t="shared" si="3"/>
        <v>법인</v>
      </c>
      <c r="B56" s="27" t="s">
        <v>1556</v>
      </c>
      <c r="C56" s="27" t="s">
        <v>1496</v>
      </c>
      <c r="D56" s="26">
        <v>1218216353</v>
      </c>
      <c r="E56" s="26">
        <v>10032281</v>
      </c>
      <c r="F56" s="78" t="s">
        <v>342</v>
      </c>
      <c r="G56" s="48" t="s">
        <v>319</v>
      </c>
      <c r="H56" s="53">
        <v>45754</v>
      </c>
      <c r="I56" s="54">
        <v>45754</v>
      </c>
      <c r="J56" s="14">
        <v>477.86700000000002</v>
      </c>
      <c r="K56" s="14">
        <f t="shared" si="6"/>
        <v>477.86700000000002</v>
      </c>
      <c r="L56" s="51" t="s">
        <v>336</v>
      </c>
      <c r="M56" s="13">
        <v>0</v>
      </c>
      <c r="N56" s="13">
        <v>0</v>
      </c>
      <c r="O56" s="13">
        <v>0</v>
      </c>
      <c r="P56" s="13">
        <v>0</v>
      </c>
      <c r="Q56" s="13">
        <v>310.93799999999999</v>
      </c>
      <c r="R56" s="13">
        <v>0</v>
      </c>
      <c r="S56" s="13">
        <v>0</v>
      </c>
      <c r="T56" s="13">
        <v>0</v>
      </c>
      <c r="U56" s="13">
        <v>166.929</v>
      </c>
      <c r="V56" s="13">
        <v>0</v>
      </c>
      <c r="W56" s="13">
        <v>0</v>
      </c>
      <c r="X56" s="13">
        <v>0</v>
      </c>
      <c r="Y56" s="13">
        <v>0</v>
      </c>
      <c r="Z56" s="13">
        <v>0</v>
      </c>
      <c r="AA56" s="13">
        <v>0</v>
      </c>
      <c r="AB56" s="13">
        <v>0</v>
      </c>
      <c r="AC56" s="13">
        <v>0</v>
      </c>
      <c r="AD56" s="13">
        <v>0</v>
      </c>
      <c r="AE56" s="13">
        <v>0</v>
      </c>
      <c r="AF56" s="13">
        <v>0</v>
      </c>
      <c r="AG56" s="13">
        <v>0</v>
      </c>
      <c r="AH56" s="13">
        <v>0</v>
      </c>
      <c r="AI56" s="14">
        <f t="shared" si="1"/>
        <v>477.86699999999996</v>
      </c>
    </row>
    <row r="57" spans="1:35" ht="18" customHeight="1" x14ac:dyDescent="0.2">
      <c r="A57" s="27" t="str">
        <f t="shared" si="3"/>
        <v>법인</v>
      </c>
      <c r="B57" s="27" t="s">
        <v>1568</v>
      </c>
      <c r="C57" s="27" t="s">
        <v>1496</v>
      </c>
      <c r="D57" s="26">
        <v>1358200113</v>
      </c>
      <c r="E57" s="26">
        <v>10033726</v>
      </c>
      <c r="F57" s="78" t="s">
        <v>45</v>
      </c>
      <c r="G57" s="48" t="s">
        <v>320</v>
      </c>
      <c r="H57" s="53">
        <v>45798</v>
      </c>
      <c r="I57" s="50">
        <v>45798</v>
      </c>
      <c r="J57" s="14">
        <v>133.10299999999998</v>
      </c>
      <c r="K57" s="14">
        <f t="shared" si="6"/>
        <v>133.10299999999998</v>
      </c>
      <c r="L57" s="49" t="s">
        <v>311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133.10300000000001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0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4">
        <f t="shared" si="1"/>
        <v>133.10300000000001</v>
      </c>
    </row>
    <row r="58" spans="1:35" ht="18" customHeight="1" x14ac:dyDescent="0.2">
      <c r="A58" s="27" t="str">
        <f t="shared" si="3"/>
        <v>법인</v>
      </c>
      <c r="B58" s="27" t="s">
        <v>1558</v>
      </c>
      <c r="C58" s="27" t="s">
        <v>1496</v>
      </c>
      <c r="D58" s="26">
        <v>1378200666</v>
      </c>
      <c r="E58" s="26">
        <v>10033875</v>
      </c>
      <c r="F58" s="78" t="s">
        <v>25</v>
      </c>
      <c r="G58" s="48" t="s">
        <v>319</v>
      </c>
      <c r="H58" s="53">
        <v>45740</v>
      </c>
      <c r="I58" s="50">
        <v>45740</v>
      </c>
      <c r="J58" s="14">
        <v>965.49800000000005</v>
      </c>
      <c r="K58" s="14">
        <f t="shared" si="6"/>
        <v>965.49800000000005</v>
      </c>
      <c r="L58" s="51" t="s">
        <v>336</v>
      </c>
      <c r="M58" s="13">
        <v>0</v>
      </c>
      <c r="N58" s="13">
        <v>0</v>
      </c>
      <c r="O58" s="13">
        <v>0</v>
      </c>
      <c r="P58" s="13">
        <v>0</v>
      </c>
      <c r="Q58" s="13">
        <v>0</v>
      </c>
      <c r="R58" s="13">
        <v>0</v>
      </c>
      <c r="S58" s="13">
        <v>0</v>
      </c>
      <c r="T58" s="13">
        <v>0</v>
      </c>
      <c r="U58" s="13">
        <v>965.49800000000005</v>
      </c>
      <c r="V58" s="13">
        <v>0</v>
      </c>
      <c r="W58" s="13">
        <v>0</v>
      </c>
      <c r="X58" s="13">
        <v>0</v>
      </c>
      <c r="Y58" s="13">
        <v>0</v>
      </c>
      <c r="Z58" s="13">
        <v>0</v>
      </c>
      <c r="AA58" s="13">
        <v>0</v>
      </c>
      <c r="AB58" s="13">
        <v>0</v>
      </c>
      <c r="AC58" s="13">
        <v>0</v>
      </c>
      <c r="AD58" s="13">
        <v>0</v>
      </c>
      <c r="AE58" s="13">
        <v>0</v>
      </c>
      <c r="AF58" s="13">
        <v>0</v>
      </c>
      <c r="AG58" s="13">
        <v>0</v>
      </c>
      <c r="AH58" s="13">
        <v>0</v>
      </c>
      <c r="AI58" s="14">
        <f t="shared" si="1"/>
        <v>965.49800000000005</v>
      </c>
    </row>
    <row r="59" spans="1:35" ht="18" customHeight="1" x14ac:dyDescent="0.2">
      <c r="A59" s="27" t="str">
        <f t="shared" si="3"/>
        <v>법인</v>
      </c>
      <c r="B59" s="27" t="s">
        <v>1568</v>
      </c>
      <c r="C59" s="27" t="s">
        <v>1496</v>
      </c>
      <c r="D59" s="26">
        <v>2218203051</v>
      </c>
      <c r="E59" s="26">
        <v>10035467</v>
      </c>
      <c r="F59" s="78" t="s">
        <v>8</v>
      </c>
      <c r="G59" s="48" t="s">
        <v>320</v>
      </c>
      <c r="H59" s="53"/>
      <c r="I59" s="50">
        <v>45626</v>
      </c>
      <c r="J59" s="14">
        <v>240</v>
      </c>
      <c r="K59" s="14">
        <f t="shared" si="6"/>
        <v>240</v>
      </c>
      <c r="L59" s="49" t="s">
        <v>317</v>
      </c>
      <c r="M59" s="13">
        <v>0</v>
      </c>
      <c r="N59" s="13">
        <v>0</v>
      </c>
      <c r="O59" s="13">
        <v>0</v>
      </c>
      <c r="P59" s="13">
        <v>240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0</v>
      </c>
      <c r="W59" s="13">
        <v>0</v>
      </c>
      <c r="X59" s="13">
        <v>0</v>
      </c>
      <c r="Y59" s="13">
        <v>0</v>
      </c>
      <c r="Z59" s="13">
        <v>0</v>
      </c>
      <c r="AA59" s="13">
        <v>0</v>
      </c>
      <c r="AB59" s="13">
        <v>0</v>
      </c>
      <c r="AC59" s="13">
        <v>0</v>
      </c>
      <c r="AD59" s="13">
        <v>0</v>
      </c>
      <c r="AE59" s="13">
        <v>0</v>
      </c>
      <c r="AF59" s="13">
        <v>0</v>
      </c>
      <c r="AG59" s="13">
        <v>0</v>
      </c>
      <c r="AH59" s="13">
        <v>0</v>
      </c>
      <c r="AI59" s="14">
        <f t="shared" si="1"/>
        <v>240</v>
      </c>
    </row>
    <row r="60" spans="1:35" ht="18" customHeight="1" x14ac:dyDescent="0.2">
      <c r="A60" s="27" t="str">
        <f t="shared" si="3"/>
        <v>개인</v>
      </c>
      <c r="B60" s="27" t="s">
        <v>1555</v>
      </c>
      <c r="C60" s="27" t="s">
        <v>1554</v>
      </c>
      <c r="D60" s="26">
        <v>2249099037</v>
      </c>
      <c r="E60" s="26">
        <v>10019136</v>
      </c>
      <c r="F60" s="78" t="s">
        <v>341</v>
      </c>
      <c r="G60" s="48" t="s">
        <v>340</v>
      </c>
      <c r="H60" s="53">
        <v>45777</v>
      </c>
      <c r="I60" s="53">
        <v>45777</v>
      </c>
      <c r="J60" s="14">
        <v>98.144999999999996</v>
      </c>
      <c r="K60" s="14">
        <f t="shared" si="6"/>
        <v>98.144999999999996</v>
      </c>
      <c r="L60" s="49" t="s">
        <v>311</v>
      </c>
      <c r="M60" s="13">
        <v>0</v>
      </c>
      <c r="N60" s="13">
        <v>0</v>
      </c>
      <c r="O60" s="13">
        <v>0</v>
      </c>
      <c r="P60" s="13">
        <v>0</v>
      </c>
      <c r="Q60" s="13">
        <v>0</v>
      </c>
      <c r="R60" s="13">
        <v>0</v>
      </c>
      <c r="S60" s="13">
        <v>0</v>
      </c>
      <c r="T60" s="13">
        <v>0</v>
      </c>
      <c r="U60" s="13">
        <v>98.144999999999996</v>
      </c>
      <c r="V60" s="13">
        <v>0</v>
      </c>
      <c r="W60" s="13">
        <v>0</v>
      </c>
      <c r="X60" s="13">
        <v>0</v>
      </c>
      <c r="Y60" s="13">
        <v>0</v>
      </c>
      <c r="Z60" s="13">
        <v>0</v>
      </c>
      <c r="AA60" s="13">
        <v>0</v>
      </c>
      <c r="AB60" s="13">
        <v>0</v>
      </c>
      <c r="AC60" s="13">
        <v>0</v>
      </c>
      <c r="AD60" s="13">
        <v>0</v>
      </c>
      <c r="AE60" s="13">
        <v>0</v>
      </c>
      <c r="AF60" s="13">
        <v>0</v>
      </c>
      <c r="AG60" s="13">
        <v>0</v>
      </c>
      <c r="AH60" s="13">
        <v>0</v>
      </c>
      <c r="AI60" s="14">
        <f t="shared" si="1"/>
        <v>98.144999999999996</v>
      </c>
    </row>
    <row r="61" spans="1:35" ht="18" customHeight="1" x14ac:dyDescent="0.2">
      <c r="A61" s="27" t="s">
        <v>1598</v>
      </c>
      <c r="B61" s="27" t="s">
        <v>1562</v>
      </c>
      <c r="C61" s="27" t="s">
        <v>1496</v>
      </c>
      <c r="D61" s="26">
        <v>2268204297</v>
      </c>
      <c r="E61" s="26">
        <v>10035639</v>
      </c>
      <c r="F61" s="25" t="s">
        <v>13</v>
      </c>
      <c r="G61" s="48" t="s">
        <v>1477</v>
      </c>
      <c r="H61" s="53" t="s">
        <v>1600</v>
      </c>
      <c r="I61" s="53"/>
      <c r="J61" s="14">
        <v>654.32100000000003</v>
      </c>
      <c r="K61" s="14">
        <f t="shared" si="6"/>
        <v>654.32100000000003</v>
      </c>
      <c r="L61" s="49"/>
      <c r="M61" s="13"/>
      <c r="N61" s="13"/>
      <c r="O61" s="13"/>
      <c r="P61" s="13"/>
      <c r="Q61" s="13"/>
      <c r="R61" s="13"/>
      <c r="S61" s="13"/>
      <c r="T61" s="13"/>
      <c r="U61" s="13"/>
      <c r="V61" s="13"/>
      <c r="W61" s="13"/>
      <c r="X61" s="13"/>
      <c r="Y61" s="13"/>
      <c r="Z61" s="13"/>
      <c r="AA61" s="13"/>
      <c r="AB61" s="13"/>
      <c r="AC61" s="13"/>
      <c r="AD61" s="13"/>
      <c r="AE61" s="13"/>
      <c r="AF61" s="13"/>
      <c r="AG61" s="13">
        <v>4.0309999999999997</v>
      </c>
      <c r="AH61" s="13">
        <v>6.9470000000000001</v>
      </c>
      <c r="AI61" s="14">
        <f t="shared" si="1"/>
        <v>10.978</v>
      </c>
    </row>
    <row r="62" spans="1:35" ht="18" customHeight="1" x14ac:dyDescent="0.2">
      <c r="A62" s="27" t="s">
        <v>1598</v>
      </c>
      <c r="B62" s="27" t="s">
        <v>1562</v>
      </c>
      <c r="C62" s="27" t="s">
        <v>1496</v>
      </c>
      <c r="D62" s="26">
        <v>2268204297</v>
      </c>
      <c r="E62" s="26">
        <v>10035639</v>
      </c>
      <c r="F62" s="78" t="s">
        <v>13</v>
      </c>
      <c r="G62" s="48" t="s">
        <v>320</v>
      </c>
      <c r="H62" s="53">
        <v>45677</v>
      </c>
      <c r="I62" s="50">
        <v>45657</v>
      </c>
      <c r="J62" s="14">
        <v>198</v>
      </c>
      <c r="K62" s="14">
        <f t="shared" si="6"/>
        <v>198</v>
      </c>
      <c r="L62" s="51">
        <v>0</v>
      </c>
      <c r="M62" s="13">
        <v>0</v>
      </c>
      <c r="N62" s="13">
        <v>0</v>
      </c>
      <c r="O62" s="13">
        <v>0</v>
      </c>
      <c r="P62" s="13">
        <v>198</v>
      </c>
      <c r="Q62" s="13">
        <v>0</v>
      </c>
      <c r="R62" s="13">
        <v>0</v>
      </c>
      <c r="S62" s="13">
        <v>0</v>
      </c>
      <c r="T62" s="13">
        <v>0</v>
      </c>
      <c r="U62" s="13">
        <v>0</v>
      </c>
      <c r="V62" s="13">
        <v>0</v>
      </c>
      <c r="W62" s="13">
        <v>0</v>
      </c>
      <c r="X62" s="13">
        <v>0</v>
      </c>
      <c r="Y62" s="13">
        <v>0</v>
      </c>
      <c r="Z62" s="13">
        <v>0</v>
      </c>
      <c r="AA62" s="13">
        <v>0</v>
      </c>
      <c r="AB62" s="13">
        <v>0</v>
      </c>
      <c r="AC62" s="13">
        <v>0</v>
      </c>
      <c r="AD62" s="13">
        <v>0</v>
      </c>
      <c r="AE62" s="13">
        <v>0</v>
      </c>
      <c r="AF62" s="13">
        <v>0</v>
      </c>
      <c r="AG62" s="13">
        <v>0</v>
      </c>
      <c r="AH62" s="13">
        <v>0</v>
      </c>
      <c r="AI62" s="14">
        <f t="shared" si="1"/>
        <v>198</v>
      </c>
    </row>
    <row r="63" spans="1:35" s="117" customFormat="1" ht="18" customHeight="1" x14ac:dyDescent="0.2">
      <c r="A63" s="27" t="s">
        <v>1598</v>
      </c>
      <c r="B63" s="27" t="s">
        <v>1556</v>
      </c>
      <c r="C63" s="27" t="s">
        <v>1496</v>
      </c>
      <c r="D63" s="26">
        <v>2818200245</v>
      </c>
      <c r="E63" s="26">
        <v>10046527</v>
      </c>
      <c r="F63" s="25" t="s">
        <v>53</v>
      </c>
      <c r="G63" s="108" t="s">
        <v>319</v>
      </c>
      <c r="H63" s="53">
        <v>45803</v>
      </c>
      <c r="I63" s="52">
        <v>45845</v>
      </c>
      <c r="J63" s="14">
        <v>531.95799999999997</v>
      </c>
      <c r="K63" s="14">
        <f t="shared" si="6"/>
        <v>531.95799999999997</v>
      </c>
      <c r="L63" s="51" t="s">
        <v>336</v>
      </c>
      <c r="M63" s="116">
        <v>0</v>
      </c>
      <c r="N63" s="116">
        <v>0</v>
      </c>
      <c r="O63" s="116">
        <v>0</v>
      </c>
      <c r="P63" s="116">
        <v>0</v>
      </c>
      <c r="Q63" s="116">
        <v>0</v>
      </c>
      <c r="R63" s="116">
        <v>0</v>
      </c>
      <c r="S63" s="116">
        <v>0</v>
      </c>
      <c r="T63" s="116">
        <v>0</v>
      </c>
      <c r="U63" s="116">
        <v>0</v>
      </c>
      <c r="V63" s="116">
        <v>312.12599999999998</v>
      </c>
      <c r="W63" s="116">
        <v>0</v>
      </c>
      <c r="X63" s="116">
        <v>0</v>
      </c>
      <c r="Y63" s="116">
        <v>0</v>
      </c>
      <c r="Z63" s="116">
        <v>0</v>
      </c>
      <c r="AA63" s="116">
        <v>0</v>
      </c>
      <c r="AB63" s="116">
        <v>0</v>
      </c>
      <c r="AC63" s="116">
        <v>0</v>
      </c>
      <c r="AD63" s="116">
        <v>0</v>
      </c>
      <c r="AE63" s="116">
        <v>0</v>
      </c>
      <c r="AF63" s="116">
        <v>0</v>
      </c>
      <c r="AG63" s="116">
        <v>0</v>
      </c>
      <c r="AH63" s="13">
        <v>0</v>
      </c>
      <c r="AI63" s="114">
        <f t="shared" si="1"/>
        <v>312.12599999999998</v>
      </c>
    </row>
    <row r="64" spans="1:35" ht="18" customHeight="1" x14ac:dyDescent="0.2">
      <c r="A64" s="27" t="s">
        <v>1586</v>
      </c>
      <c r="B64" s="27" t="s">
        <v>1571</v>
      </c>
      <c r="C64" s="27" t="s">
        <v>1597</v>
      </c>
      <c r="D64" s="26">
        <v>3129153766</v>
      </c>
      <c r="E64" s="26">
        <v>10036735</v>
      </c>
      <c r="F64" s="78" t="s">
        <v>15</v>
      </c>
      <c r="G64" s="48" t="s">
        <v>319</v>
      </c>
      <c r="H64" s="53">
        <v>45681</v>
      </c>
      <c r="I64" s="50">
        <v>45681</v>
      </c>
      <c r="J64" s="14">
        <v>194.90299999999999</v>
      </c>
      <c r="K64" s="14">
        <f t="shared" si="6"/>
        <v>194.90299999999999</v>
      </c>
      <c r="L64" s="49" t="s">
        <v>318</v>
      </c>
      <c r="M64" s="13">
        <v>0</v>
      </c>
      <c r="N64" s="13">
        <v>0</v>
      </c>
      <c r="O64" s="13">
        <v>0</v>
      </c>
      <c r="P64" s="13">
        <v>194.90299999999999</v>
      </c>
      <c r="Q64" s="13">
        <v>0</v>
      </c>
      <c r="R64" s="13">
        <v>0</v>
      </c>
      <c r="S64" s="13">
        <v>0</v>
      </c>
      <c r="T64" s="13">
        <v>0</v>
      </c>
      <c r="U64" s="13">
        <v>0</v>
      </c>
      <c r="V64" s="13">
        <v>0</v>
      </c>
      <c r="W64" s="13">
        <v>0</v>
      </c>
      <c r="X64" s="13">
        <v>0</v>
      </c>
      <c r="Y64" s="13">
        <v>0</v>
      </c>
      <c r="Z64" s="13">
        <v>0</v>
      </c>
      <c r="AA64" s="13">
        <v>0</v>
      </c>
      <c r="AB64" s="13">
        <v>0</v>
      </c>
      <c r="AC64" s="13">
        <v>0</v>
      </c>
      <c r="AD64" s="13">
        <v>0</v>
      </c>
      <c r="AE64" s="13">
        <v>0</v>
      </c>
      <c r="AF64" s="13">
        <v>0</v>
      </c>
      <c r="AG64" s="13">
        <v>0</v>
      </c>
      <c r="AH64" s="13">
        <v>0</v>
      </c>
      <c r="AI64" s="14">
        <f t="shared" si="1"/>
        <v>194.90299999999999</v>
      </c>
    </row>
    <row r="65" spans="1:35" ht="18" customHeight="1" x14ac:dyDescent="0.2">
      <c r="A65" s="27" t="s">
        <v>1586</v>
      </c>
      <c r="B65" s="27" t="s">
        <v>1567</v>
      </c>
      <c r="C65" s="27" t="s">
        <v>1597</v>
      </c>
      <c r="D65" s="26">
        <v>3449500361</v>
      </c>
      <c r="E65" s="26">
        <v>10070515</v>
      </c>
      <c r="F65" s="78" t="s">
        <v>41</v>
      </c>
      <c r="G65" s="48" t="s">
        <v>319</v>
      </c>
      <c r="H65" s="53">
        <v>45797</v>
      </c>
      <c r="I65" s="50">
        <v>45797</v>
      </c>
      <c r="J65" s="14">
        <v>146.643</v>
      </c>
      <c r="K65" s="14">
        <f t="shared" si="6"/>
        <v>146.643</v>
      </c>
      <c r="L65" s="51" t="s">
        <v>336</v>
      </c>
      <c r="M65" s="13">
        <v>0</v>
      </c>
      <c r="N65" s="13">
        <v>0</v>
      </c>
      <c r="O65" s="13">
        <v>0</v>
      </c>
      <c r="P65" s="13">
        <v>0</v>
      </c>
      <c r="Q65" s="13">
        <v>0</v>
      </c>
      <c r="R65" s="13">
        <v>0</v>
      </c>
      <c r="S65" s="13">
        <v>0</v>
      </c>
      <c r="T65" s="13">
        <v>0</v>
      </c>
      <c r="U65" s="13">
        <v>146.643</v>
      </c>
      <c r="V65" s="13">
        <v>0</v>
      </c>
      <c r="W65" s="13">
        <v>0</v>
      </c>
      <c r="X65" s="13">
        <v>0</v>
      </c>
      <c r="Y65" s="13">
        <v>0</v>
      </c>
      <c r="Z65" s="13">
        <v>0</v>
      </c>
      <c r="AA65" s="13">
        <v>0</v>
      </c>
      <c r="AB65" s="13">
        <v>0</v>
      </c>
      <c r="AC65" s="13">
        <v>0</v>
      </c>
      <c r="AD65" s="13">
        <v>0</v>
      </c>
      <c r="AE65" s="13">
        <v>0</v>
      </c>
      <c r="AF65" s="13">
        <v>0</v>
      </c>
      <c r="AG65" s="13">
        <v>0</v>
      </c>
      <c r="AH65" s="13">
        <v>0</v>
      </c>
      <c r="AI65" s="14">
        <f t="shared" si="1"/>
        <v>146.643</v>
      </c>
    </row>
    <row r="66" spans="1:35" ht="18" customHeight="1" x14ac:dyDescent="0.2">
      <c r="A66" s="27" t="s">
        <v>1598</v>
      </c>
      <c r="B66" s="27" t="s">
        <v>1563</v>
      </c>
      <c r="C66" s="27" t="s">
        <v>1496</v>
      </c>
      <c r="D66" s="26">
        <v>4038207697</v>
      </c>
      <c r="E66" s="26">
        <v>10037684</v>
      </c>
      <c r="F66" s="78" t="s">
        <v>1501</v>
      </c>
      <c r="G66" s="48" t="s">
        <v>319</v>
      </c>
      <c r="H66" s="53">
        <v>45807</v>
      </c>
      <c r="I66" s="53">
        <v>45888</v>
      </c>
      <c r="J66" s="14">
        <v>233.95299999999997</v>
      </c>
      <c r="K66" s="14">
        <f t="shared" si="6"/>
        <v>233.95299999999997</v>
      </c>
      <c r="L66" s="51" t="s">
        <v>336</v>
      </c>
      <c r="M66" s="13">
        <v>0</v>
      </c>
      <c r="N66" s="13">
        <v>0</v>
      </c>
      <c r="O66" s="13">
        <v>0</v>
      </c>
      <c r="P66" s="13">
        <v>0</v>
      </c>
      <c r="Q66" s="13">
        <v>0</v>
      </c>
      <c r="R66" s="13">
        <v>0</v>
      </c>
      <c r="S66" s="13">
        <v>0</v>
      </c>
      <c r="T66" s="13">
        <v>0</v>
      </c>
      <c r="U66" s="13">
        <v>0</v>
      </c>
      <c r="V66" s="13">
        <v>233.953</v>
      </c>
      <c r="W66" s="13">
        <v>0</v>
      </c>
      <c r="X66" s="13">
        <v>0</v>
      </c>
      <c r="Y66" s="13">
        <v>0</v>
      </c>
      <c r="Z66" s="13">
        <v>0</v>
      </c>
      <c r="AA66" s="13">
        <v>0</v>
      </c>
      <c r="AB66" s="13">
        <v>0</v>
      </c>
      <c r="AC66" s="13">
        <v>0</v>
      </c>
      <c r="AD66" s="13">
        <v>0</v>
      </c>
      <c r="AE66" s="13">
        <v>0</v>
      </c>
      <c r="AF66" s="13">
        <v>0</v>
      </c>
      <c r="AG66" s="13">
        <v>0</v>
      </c>
      <c r="AH66" s="13">
        <v>0</v>
      </c>
      <c r="AI66" s="14">
        <f t="shared" si="1"/>
        <v>233.953</v>
      </c>
    </row>
    <row r="67" spans="1:35" ht="18" customHeight="1" x14ac:dyDescent="0.2">
      <c r="A67" s="27" t="s">
        <v>1586</v>
      </c>
      <c r="B67" s="27" t="s">
        <v>1559</v>
      </c>
      <c r="C67" s="27" t="s">
        <v>1597</v>
      </c>
      <c r="D67" s="26">
        <v>4080598358</v>
      </c>
      <c r="E67" s="26">
        <v>10037863</v>
      </c>
      <c r="F67" s="25" t="s">
        <v>21</v>
      </c>
      <c r="G67" s="48" t="s">
        <v>1477</v>
      </c>
      <c r="H67" s="53" t="s">
        <v>1601</v>
      </c>
      <c r="I67" s="53"/>
      <c r="J67" s="14">
        <v>299.14582899999999</v>
      </c>
      <c r="K67" s="14">
        <f t="shared" si="6"/>
        <v>299.14582899999999</v>
      </c>
      <c r="L67" s="51"/>
      <c r="M67" s="13"/>
      <c r="N67" s="13"/>
      <c r="O67" s="13"/>
      <c r="P67" s="13"/>
      <c r="Q67" s="13"/>
      <c r="R67" s="13"/>
      <c r="S67" s="13"/>
      <c r="T67" s="13"/>
      <c r="U67" s="13"/>
      <c r="V67" s="13"/>
      <c r="W67" s="13"/>
      <c r="X67" s="13"/>
      <c r="Y67" s="13"/>
      <c r="Z67" s="13"/>
      <c r="AA67" s="13"/>
      <c r="AB67" s="13"/>
      <c r="AC67" s="13"/>
      <c r="AD67" s="13"/>
      <c r="AE67" s="13">
        <v>4.4690000000000003</v>
      </c>
      <c r="AF67" s="13">
        <v>6.5119999999999996</v>
      </c>
      <c r="AG67" s="13">
        <v>7.3339999999999996</v>
      </c>
      <c r="AH67" s="13">
        <v>7.516</v>
      </c>
      <c r="AI67" s="14">
        <f t="shared" si="1"/>
        <v>25.830999999999996</v>
      </c>
    </row>
    <row r="68" spans="1:35" ht="18" customHeight="1" x14ac:dyDescent="0.2">
      <c r="A68" s="27" t="s">
        <v>1586</v>
      </c>
      <c r="B68" s="27" t="s">
        <v>1559</v>
      </c>
      <c r="C68" s="27" t="s">
        <v>1597</v>
      </c>
      <c r="D68" s="26">
        <v>4080598358</v>
      </c>
      <c r="E68" s="26">
        <v>10037863</v>
      </c>
      <c r="F68" s="78" t="s">
        <v>21</v>
      </c>
      <c r="G68" s="48" t="s">
        <v>321</v>
      </c>
      <c r="H68" s="53">
        <v>45740</v>
      </c>
      <c r="I68" s="50">
        <v>45740</v>
      </c>
      <c r="J68" s="14">
        <v>100.053</v>
      </c>
      <c r="K68" s="14">
        <f t="shared" si="6"/>
        <v>100.053</v>
      </c>
      <c r="L68" s="49" t="s">
        <v>311</v>
      </c>
      <c r="M68" s="13">
        <v>0</v>
      </c>
      <c r="N68" s="13">
        <v>0</v>
      </c>
      <c r="O68" s="13">
        <v>0</v>
      </c>
      <c r="P68" s="13">
        <v>0</v>
      </c>
      <c r="Q68" s="13">
        <v>33.299999999999997</v>
      </c>
      <c r="R68" s="13">
        <v>33.299999999999997</v>
      </c>
      <c r="S68" s="13">
        <v>33.453000000000003</v>
      </c>
      <c r="T68" s="13">
        <v>0</v>
      </c>
      <c r="U68" s="13">
        <v>0</v>
      </c>
      <c r="V68" s="13">
        <v>0</v>
      </c>
      <c r="W68" s="13">
        <v>0</v>
      </c>
      <c r="X68" s="13">
        <v>0</v>
      </c>
      <c r="Y68" s="13">
        <v>0</v>
      </c>
      <c r="Z68" s="13">
        <v>0</v>
      </c>
      <c r="AA68" s="13">
        <v>0</v>
      </c>
      <c r="AB68" s="13">
        <v>0</v>
      </c>
      <c r="AC68" s="13">
        <v>0</v>
      </c>
      <c r="AD68" s="13">
        <v>0</v>
      </c>
      <c r="AE68" s="13">
        <v>0</v>
      </c>
      <c r="AF68" s="13">
        <v>0</v>
      </c>
      <c r="AG68" s="13">
        <v>0</v>
      </c>
      <c r="AH68" s="13">
        <v>0</v>
      </c>
      <c r="AI68" s="14">
        <f t="shared" si="1"/>
        <v>100.053</v>
      </c>
    </row>
    <row r="69" spans="1:35" ht="18" customHeight="1" x14ac:dyDescent="0.2">
      <c r="A69" s="27" t="s">
        <v>1586</v>
      </c>
      <c r="B69" s="27" t="s">
        <v>1555</v>
      </c>
      <c r="C69" s="27" t="s">
        <v>1597</v>
      </c>
      <c r="D69" s="26">
        <v>4092331145</v>
      </c>
      <c r="E69" s="26">
        <v>10038000</v>
      </c>
      <c r="F69" s="78" t="s">
        <v>105</v>
      </c>
      <c r="G69" s="48" t="s">
        <v>320</v>
      </c>
      <c r="H69" s="53">
        <v>45943</v>
      </c>
      <c r="I69" s="50">
        <v>45972</v>
      </c>
      <c r="J69" s="14">
        <v>378.15</v>
      </c>
      <c r="K69" s="14">
        <f t="shared" si="6"/>
        <v>378.15</v>
      </c>
      <c r="L69" s="49" t="s">
        <v>311</v>
      </c>
      <c r="M69" s="13">
        <v>0</v>
      </c>
      <c r="N69" s="13">
        <v>0</v>
      </c>
      <c r="O69" s="13">
        <v>0</v>
      </c>
      <c r="P69" s="13">
        <v>0</v>
      </c>
      <c r="Q69" s="13">
        <v>0</v>
      </c>
      <c r="R69" s="13">
        <v>0</v>
      </c>
      <c r="S69" s="13">
        <v>0</v>
      </c>
      <c r="T69" s="13">
        <v>0</v>
      </c>
      <c r="U69" s="13">
        <v>0</v>
      </c>
      <c r="V69" s="13">
        <v>0</v>
      </c>
      <c r="W69" s="13">
        <v>0</v>
      </c>
      <c r="X69" s="13">
        <v>0</v>
      </c>
      <c r="Y69" s="13">
        <v>378.15</v>
      </c>
      <c r="Z69" s="13">
        <v>0</v>
      </c>
      <c r="AA69" s="13">
        <v>0</v>
      </c>
      <c r="AB69" s="13">
        <v>0</v>
      </c>
      <c r="AC69" s="13">
        <v>0</v>
      </c>
      <c r="AD69" s="13">
        <v>0</v>
      </c>
      <c r="AE69" s="13">
        <v>0</v>
      </c>
      <c r="AF69" s="13">
        <v>0</v>
      </c>
      <c r="AG69" s="13">
        <v>0</v>
      </c>
      <c r="AH69" s="13">
        <v>0</v>
      </c>
      <c r="AI69" s="14">
        <f t="shared" si="1"/>
        <v>378.15</v>
      </c>
    </row>
    <row r="70" spans="1:35" ht="18" customHeight="1" x14ac:dyDescent="0.2">
      <c r="A70" s="27" t="s">
        <v>1586</v>
      </c>
      <c r="B70" s="27" t="s">
        <v>1569</v>
      </c>
      <c r="C70" s="27" t="s">
        <v>1597</v>
      </c>
      <c r="D70" s="26">
        <v>4099047917</v>
      </c>
      <c r="E70" s="26">
        <v>10038047</v>
      </c>
      <c r="F70" s="78" t="s">
        <v>18</v>
      </c>
      <c r="G70" s="48" t="s">
        <v>321</v>
      </c>
      <c r="H70" s="53">
        <v>45700</v>
      </c>
      <c r="I70" s="50">
        <v>45700</v>
      </c>
      <c r="J70" s="14">
        <v>215.12718999999998</v>
      </c>
      <c r="K70" s="14">
        <f t="shared" si="6"/>
        <v>215.12718999999998</v>
      </c>
      <c r="L70" s="49" t="s">
        <v>311</v>
      </c>
      <c r="M70" s="13">
        <v>0</v>
      </c>
      <c r="N70" s="13">
        <v>0</v>
      </c>
      <c r="O70" s="13">
        <v>0</v>
      </c>
      <c r="P70" s="13">
        <v>72</v>
      </c>
      <c r="Q70" s="13">
        <v>72</v>
      </c>
      <c r="R70" s="13">
        <v>71.127189999999999</v>
      </c>
      <c r="S70" s="13">
        <v>0</v>
      </c>
      <c r="T70" s="13">
        <v>0</v>
      </c>
      <c r="U70" s="13">
        <v>0</v>
      </c>
      <c r="V70" s="13">
        <v>0</v>
      </c>
      <c r="W70" s="13">
        <v>0</v>
      </c>
      <c r="X70" s="13">
        <v>0</v>
      </c>
      <c r="Y70" s="13">
        <v>0</v>
      </c>
      <c r="Z70" s="13">
        <v>0</v>
      </c>
      <c r="AA70" s="13">
        <v>0</v>
      </c>
      <c r="AB70" s="13">
        <v>0</v>
      </c>
      <c r="AC70" s="13">
        <v>0</v>
      </c>
      <c r="AD70" s="13">
        <v>0</v>
      </c>
      <c r="AE70" s="13">
        <v>0</v>
      </c>
      <c r="AF70" s="13">
        <v>0</v>
      </c>
      <c r="AG70" s="13">
        <v>0</v>
      </c>
      <c r="AH70" s="13">
        <v>0</v>
      </c>
      <c r="AI70" s="14">
        <f t="shared" ref="AI70:AI133" si="7">SUM(Z70,Y70,X70,W70,V70,U70,T70,S70,R70,Q70,P70,O70,N70,M70,AA70,AB70,AC70,AD70,AE70,AF70,AG70,AH70)</f>
        <v>215.12718999999998</v>
      </c>
    </row>
    <row r="71" spans="1:35" ht="18" customHeight="1" x14ac:dyDescent="0.2">
      <c r="A71" s="27" t="s">
        <v>1586</v>
      </c>
      <c r="B71" s="27" t="s">
        <v>1558</v>
      </c>
      <c r="C71" s="27" t="s">
        <v>1597</v>
      </c>
      <c r="D71" s="26">
        <v>4101186287</v>
      </c>
      <c r="E71" s="26">
        <v>10038116</v>
      </c>
      <c r="F71" s="78" t="s">
        <v>4</v>
      </c>
      <c r="G71" s="48" t="s">
        <v>319</v>
      </c>
      <c r="H71" s="53"/>
      <c r="I71" s="53">
        <v>45596</v>
      </c>
      <c r="J71" s="14">
        <v>180.57155</v>
      </c>
      <c r="K71" s="14">
        <f t="shared" si="6"/>
        <v>180.57155</v>
      </c>
      <c r="L71" s="49" t="s">
        <v>318</v>
      </c>
      <c r="M71" s="13">
        <v>0</v>
      </c>
      <c r="N71" s="13">
        <v>0</v>
      </c>
      <c r="O71" s="13">
        <v>180.57155</v>
      </c>
      <c r="P71" s="13">
        <v>0</v>
      </c>
      <c r="Q71" s="13">
        <v>0</v>
      </c>
      <c r="R71" s="13">
        <v>0</v>
      </c>
      <c r="S71" s="13">
        <v>0</v>
      </c>
      <c r="T71" s="13">
        <v>0</v>
      </c>
      <c r="U71" s="13">
        <v>0</v>
      </c>
      <c r="V71" s="13">
        <v>0</v>
      </c>
      <c r="W71" s="13">
        <v>0</v>
      </c>
      <c r="X71" s="13">
        <v>0</v>
      </c>
      <c r="Y71" s="13">
        <v>0</v>
      </c>
      <c r="Z71" s="13">
        <v>0</v>
      </c>
      <c r="AA71" s="13">
        <v>0</v>
      </c>
      <c r="AB71" s="13">
        <v>0</v>
      </c>
      <c r="AC71" s="13">
        <v>0</v>
      </c>
      <c r="AD71" s="13">
        <v>0</v>
      </c>
      <c r="AE71" s="13">
        <v>0</v>
      </c>
      <c r="AF71" s="13">
        <v>0</v>
      </c>
      <c r="AG71" s="13">
        <v>0</v>
      </c>
      <c r="AH71" s="13">
        <v>0</v>
      </c>
      <c r="AI71" s="14">
        <f t="shared" si="7"/>
        <v>180.57155</v>
      </c>
    </row>
    <row r="72" spans="1:35" ht="18" customHeight="1" x14ac:dyDescent="0.2">
      <c r="A72" s="27" t="s">
        <v>1598</v>
      </c>
      <c r="B72" s="27" t="s">
        <v>1572</v>
      </c>
      <c r="C72" s="27" t="s">
        <v>1496</v>
      </c>
      <c r="D72" s="26">
        <v>4118204274</v>
      </c>
      <c r="E72" s="26">
        <v>10038298</v>
      </c>
      <c r="F72" s="78" t="s">
        <v>28</v>
      </c>
      <c r="G72" s="48" t="s">
        <v>321</v>
      </c>
      <c r="H72" s="53">
        <v>45754</v>
      </c>
      <c r="I72" s="50">
        <v>45754</v>
      </c>
      <c r="J72" s="14">
        <v>170.792</v>
      </c>
      <c r="K72" s="14">
        <f t="shared" si="6"/>
        <v>170.792</v>
      </c>
      <c r="L72" s="49" t="s">
        <v>311</v>
      </c>
      <c r="M72" s="13">
        <v>0</v>
      </c>
      <c r="N72" s="13">
        <v>0</v>
      </c>
      <c r="O72" s="13">
        <v>0</v>
      </c>
      <c r="P72" s="13">
        <v>0</v>
      </c>
      <c r="Q72" s="13">
        <v>0</v>
      </c>
      <c r="R72" s="13">
        <v>56.932000000000002</v>
      </c>
      <c r="S72" s="13">
        <v>56.93</v>
      </c>
      <c r="T72" s="13">
        <v>56.93</v>
      </c>
      <c r="U72" s="13">
        <v>0</v>
      </c>
      <c r="V72" s="13">
        <v>0</v>
      </c>
      <c r="W72" s="13">
        <v>0</v>
      </c>
      <c r="X72" s="13">
        <v>0</v>
      </c>
      <c r="Y72" s="13">
        <v>0</v>
      </c>
      <c r="Z72" s="13">
        <v>0</v>
      </c>
      <c r="AA72" s="13">
        <v>0</v>
      </c>
      <c r="AB72" s="13">
        <v>0</v>
      </c>
      <c r="AC72" s="13">
        <v>0</v>
      </c>
      <c r="AD72" s="13">
        <v>0</v>
      </c>
      <c r="AE72" s="13">
        <v>0</v>
      </c>
      <c r="AF72" s="13">
        <v>0</v>
      </c>
      <c r="AG72" s="13">
        <v>0</v>
      </c>
      <c r="AH72" s="13">
        <v>0</v>
      </c>
      <c r="AI72" s="14">
        <f t="shared" si="7"/>
        <v>170.792</v>
      </c>
    </row>
    <row r="73" spans="1:35" ht="18" customHeight="1" x14ac:dyDescent="0.2">
      <c r="A73" s="27" t="s">
        <v>1598</v>
      </c>
      <c r="B73" s="27" t="s">
        <v>1559</v>
      </c>
      <c r="C73" s="27" t="s">
        <v>1496</v>
      </c>
      <c r="D73" s="26">
        <v>4118210102</v>
      </c>
      <c r="E73" s="26">
        <v>10038304</v>
      </c>
      <c r="F73" s="78" t="s">
        <v>2</v>
      </c>
      <c r="G73" s="48" t="s">
        <v>319</v>
      </c>
      <c r="H73" s="53"/>
      <c r="I73" s="53">
        <v>45565</v>
      </c>
      <c r="J73" s="14">
        <v>140.11969999999999</v>
      </c>
      <c r="K73" s="14">
        <f t="shared" si="6"/>
        <v>140.11969999999999</v>
      </c>
      <c r="L73" s="49" t="s">
        <v>318</v>
      </c>
      <c r="M73" s="13">
        <v>0</v>
      </c>
      <c r="N73" s="13">
        <v>0</v>
      </c>
      <c r="O73" s="13">
        <v>140.11969999999999</v>
      </c>
      <c r="P73" s="13">
        <v>0</v>
      </c>
      <c r="Q73" s="13">
        <v>0</v>
      </c>
      <c r="R73" s="13">
        <v>0</v>
      </c>
      <c r="S73" s="13">
        <v>0</v>
      </c>
      <c r="T73" s="13">
        <v>0</v>
      </c>
      <c r="U73" s="13">
        <v>0</v>
      </c>
      <c r="V73" s="13">
        <v>0</v>
      </c>
      <c r="W73" s="13">
        <v>0</v>
      </c>
      <c r="X73" s="13">
        <v>0</v>
      </c>
      <c r="Y73" s="13">
        <v>0</v>
      </c>
      <c r="Z73" s="13">
        <v>0</v>
      </c>
      <c r="AA73" s="13">
        <v>0</v>
      </c>
      <c r="AB73" s="13">
        <v>0</v>
      </c>
      <c r="AC73" s="13">
        <v>0</v>
      </c>
      <c r="AD73" s="13">
        <v>0</v>
      </c>
      <c r="AE73" s="13">
        <v>0</v>
      </c>
      <c r="AF73" s="13">
        <v>0</v>
      </c>
      <c r="AG73" s="13">
        <v>0</v>
      </c>
      <c r="AH73" s="13">
        <v>0</v>
      </c>
      <c r="AI73" s="14">
        <f t="shared" si="7"/>
        <v>140.11969999999999</v>
      </c>
    </row>
    <row r="74" spans="1:35" ht="18" customHeight="1" x14ac:dyDescent="0.2">
      <c r="A74" s="27" t="s">
        <v>1598</v>
      </c>
      <c r="B74" s="27" t="s">
        <v>1578</v>
      </c>
      <c r="C74" s="27" t="s">
        <v>1496</v>
      </c>
      <c r="D74" s="26">
        <v>4158200659</v>
      </c>
      <c r="E74" s="26">
        <v>10038434</v>
      </c>
      <c r="F74" s="78" t="s">
        <v>71</v>
      </c>
      <c r="G74" s="48" t="s">
        <v>320</v>
      </c>
      <c r="H74" s="53">
        <v>45847</v>
      </c>
      <c r="I74" s="50">
        <v>45916</v>
      </c>
      <c r="J74" s="14">
        <v>715.86900000000003</v>
      </c>
      <c r="K74" s="14">
        <f t="shared" si="6"/>
        <v>715.86900000000003</v>
      </c>
      <c r="L74" s="49" t="s">
        <v>311</v>
      </c>
      <c r="M74" s="13">
        <v>0</v>
      </c>
      <c r="N74" s="13">
        <v>0</v>
      </c>
      <c r="O74" s="13">
        <v>0</v>
      </c>
      <c r="P74" s="13">
        <v>0</v>
      </c>
      <c r="Q74" s="13">
        <v>0</v>
      </c>
      <c r="R74" s="13">
        <v>0</v>
      </c>
      <c r="S74" s="13">
        <v>0</v>
      </c>
      <c r="T74" s="13">
        <v>0</v>
      </c>
      <c r="U74" s="13">
        <v>0</v>
      </c>
      <c r="V74" s="13">
        <v>0</v>
      </c>
      <c r="W74" s="13">
        <v>0</v>
      </c>
      <c r="X74" s="13">
        <v>715.86900000000003</v>
      </c>
      <c r="Y74" s="13">
        <v>0</v>
      </c>
      <c r="Z74" s="13">
        <v>0</v>
      </c>
      <c r="AA74" s="13">
        <v>0</v>
      </c>
      <c r="AB74" s="13">
        <v>0</v>
      </c>
      <c r="AC74" s="13">
        <v>0</v>
      </c>
      <c r="AD74" s="13">
        <v>0</v>
      </c>
      <c r="AE74" s="13">
        <v>0</v>
      </c>
      <c r="AF74" s="13">
        <v>0</v>
      </c>
      <c r="AG74" s="13">
        <v>0</v>
      </c>
      <c r="AH74" s="13">
        <v>0</v>
      </c>
      <c r="AI74" s="14">
        <f t="shared" si="7"/>
        <v>715.86900000000003</v>
      </c>
    </row>
    <row r="75" spans="1:35" ht="18" customHeight="1" x14ac:dyDescent="0.2">
      <c r="A75" s="27" t="s">
        <v>1598</v>
      </c>
      <c r="B75" s="27" t="s">
        <v>1573</v>
      </c>
      <c r="C75" s="27" t="s">
        <v>1496</v>
      </c>
      <c r="D75" s="26">
        <v>4178204011</v>
      </c>
      <c r="E75" s="26">
        <v>10038606</v>
      </c>
      <c r="F75" s="25" t="s">
        <v>1502</v>
      </c>
      <c r="G75" s="48" t="s">
        <v>1477</v>
      </c>
      <c r="H75" s="53" t="s">
        <v>1603</v>
      </c>
      <c r="I75" s="50"/>
      <c r="J75" s="14">
        <v>786.70207000000005</v>
      </c>
      <c r="K75" s="14">
        <f t="shared" si="6"/>
        <v>786.70207000000005</v>
      </c>
      <c r="L75" s="49"/>
      <c r="M75" s="13"/>
      <c r="N75" s="13"/>
      <c r="O75" s="13"/>
      <c r="P75" s="13"/>
      <c r="Q75" s="13"/>
      <c r="R75" s="13"/>
      <c r="S75" s="13"/>
      <c r="T75" s="13"/>
      <c r="U75" s="13"/>
      <c r="V75" s="13"/>
      <c r="W75" s="13"/>
      <c r="X75" s="13"/>
      <c r="Y75" s="13"/>
      <c r="Z75" s="13"/>
      <c r="AA75" s="13"/>
      <c r="AB75" s="13"/>
      <c r="AC75" s="13"/>
      <c r="AD75" s="13"/>
      <c r="AE75" s="13">
        <v>10.734</v>
      </c>
      <c r="AF75" s="13">
        <v>14.428000000000001</v>
      </c>
      <c r="AG75" s="13">
        <v>11.959</v>
      </c>
      <c r="AH75" s="13">
        <v>13.728</v>
      </c>
      <c r="AI75" s="14">
        <f t="shared" si="7"/>
        <v>50.848999999999997</v>
      </c>
    </row>
    <row r="76" spans="1:35" ht="18" customHeight="1" x14ac:dyDescent="0.2">
      <c r="A76" s="27" t="s">
        <v>1598</v>
      </c>
      <c r="B76" s="27" t="s">
        <v>1573</v>
      </c>
      <c r="C76" s="27" t="s">
        <v>1496</v>
      </c>
      <c r="D76" s="26">
        <v>4178204011</v>
      </c>
      <c r="E76" s="26">
        <v>10038606</v>
      </c>
      <c r="F76" s="78" t="s">
        <v>1502</v>
      </c>
      <c r="G76" s="48" t="s">
        <v>319</v>
      </c>
      <c r="H76" s="53">
        <v>45664</v>
      </c>
      <c r="I76" s="50">
        <v>45664</v>
      </c>
      <c r="J76" s="14">
        <v>139.36750000000001</v>
      </c>
      <c r="K76" s="14">
        <f t="shared" si="6"/>
        <v>139.36750000000001</v>
      </c>
      <c r="L76" s="51" t="s">
        <v>332</v>
      </c>
      <c r="M76" s="13">
        <v>0</v>
      </c>
      <c r="N76" s="13">
        <v>0</v>
      </c>
      <c r="O76" s="13">
        <v>0</v>
      </c>
      <c r="P76" s="13">
        <v>0</v>
      </c>
      <c r="Q76" s="13">
        <v>0</v>
      </c>
      <c r="R76" s="13">
        <v>0</v>
      </c>
      <c r="S76" s="13">
        <v>79</v>
      </c>
      <c r="T76" s="13">
        <v>30.3675</v>
      </c>
      <c r="U76" s="13">
        <v>0</v>
      </c>
      <c r="V76" s="13">
        <v>30</v>
      </c>
      <c r="W76" s="13">
        <v>0</v>
      </c>
      <c r="X76" s="13">
        <v>0</v>
      </c>
      <c r="Y76" s="13">
        <v>0</v>
      </c>
      <c r="Z76" s="13">
        <v>0</v>
      </c>
      <c r="AA76" s="13">
        <v>0</v>
      </c>
      <c r="AB76" s="13">
        <v>0</v>
      </c>
      <c r="AC76" s="13">
        <v>0</v>
      </c>
      <c r="AD76" s="13">
        <v>0</v>
      </c>
      <c r="AE76" s="13">
        <v>0</v>
      </c>
      <c r="AF76" s="13">
        <v>0</v>
      </c>
      <c r="AG76" s="13">
        <v>0</v>
      </c>
      <c r="AH76" s="13">
        <v>0</v>
      </c>
      <c r="AI76" s="14">
        <f t="shared" si="7"/>
        <v>139.36750000000001</v>
      </c>
    </row>
    <row r="77" spans="1:35" ht="18" customHeight="1" x14ac:dyDescent="0.2">
      <c r="A77" s="27" t="str">
        <f t="shared" ref="A77:A103" si="8">IF(MID(D77,4,1)="8","법인","개인")</f>
        <v>개인</v>
      </c>
      <c r="B77" s="27" t="s">
        <v>1569</v>
      </c>
      <c r="C77" s="27" t="s">
        <v>1554</v>
      </c>
      <c r="D77" s="26">
        <v>6089311526</v>
      </c>
      <c r="E77" s="26">
        <v>10092105</v>
      </c>
      <c r="F77" s="78" t="s">
        <v>47</v>
      </c>
      <c r="G77" s="48" t="s">
        <v>319</v>
      </c>
      <c r="H77" s="53">
        <v>45799</v>
      </c>
      <c r="I77" s="50">
        <v>45799</v>
      </c>
      <c r="J77" s="14">
        <v>73.512999999999991</v>
      </c>
      <c r="K77" s="14">
        <f t="shared" ref="K77:K79" si="9">J77</f>
        <v>73.512999999999991</v>
      </c>
      <c r="L77" s="51" t="s">
        <v>336</v>
      </c>
      <c r="M77" s="13">
        <v>0</v>
      </c>
      <c r="N77" s="13">
        <v>0</v>
      </c>
      <c r="O77" s="13">
        <v>0</v>
      </c>
      <c r="P77" s="13">
        <v>0</v>
      </c>
      <c r="Q77" s="13">
        <v>0</v>
      </c>
      <c r="R77" s="13">
        <v>0</v>
      </c>
      <c r="S77" s="13">
        <v>0</v>
      </c>
      <c r="T77" s="13">
        <v>0</v>
      </c>
      <c r="U77" s="13">
        <v>0</v>
      </c>
      <c r="V77" s="13">
        <v>73.513000000000005</v>
      </c>
      <c r="W77" s="13">
        <v>0</v>
      </c>
      <c r="X77" s="13">
        <v>0</v>
      </c>
      <c r="Y77" s="13">
        <v>0</v>
      </c>
      <c r="Z77" s="13">
        <v>0</v>
      </c>
      <c r="AA77" s="13">
        <v>0</v>
      </c>
      <c r="AB77" s="13">
        <v>0</v>
      </c>
      <c r="AC77" s="13">
        <v>0</v>
      </c>
      <c r="AD77" s="13">
        <v>0</v>
      </c>
      <c r="AE77" s="13">
        <v>0</v>
      </c>
      <c r="AF77" s="13">
        <v>0</v>
      </c>
      <c r="AG77" s="13">
        <v>0</v>
      </c>
      <c r="AH77" s="13">
        <v>0</v>
      </c>
      <c r="AI77" s="14">
        <f t="shared" si="7"/>
        <v>73.513000000000005</v>
      </c>
    </row>
    <row r="78" spans="1:35" ht="18" customHeight="1" x14ac:dyDescent="0.2">
      <c r="A78" s="27" t="str">
        <f t="shared" si="8"/>
        <v>개인</v>
      </c>
      <c r="B78" s="27" t="s">
        <v>1555</v>
      </c>
      <c r="C78" s="27" t="s">
        <v>1554</v>
      </c>
      <c r="D78" s="26">
        <v>8039701640</v>
      </c>
      <c r="E78" s="26">
        <v>10078174</v>
      </c>
      <c r="F78" s="78" t="s">
        <v>60</v>
      </c>
      <c r="G78" s="48" t="s">
        <v>321</v>
      </c>
      <c r="H78" s="53">
        <v>45831</v>
      </c>
      <c r="I78" s="50">
        <v>45903</v>
      </c>
      <c r="J78" s="14">
        <v>239</v>
      </c>
      <c r="K78" s="14">
        <f t="shared" si="9"/>
        <v>239</v>
      </c>
      <c r="L78" s="51" t="s">
        <v>332</v>
      </c>
      <c r="M78" s="13">
        <v>0</v>
      </c>
      <c r="N78" s="13">
        <v>0</v>
      </c>
      <c r="O78" s="13">
        <v>0</v>
      </c>
      <c r="P78" s="13">
        <v>0</v>
      </c>
      <c r="Q78" s="13">
        <v>0</v>
      </c>
      <c r="R78" s="13">
        <v>0</v>
      </c>
      <c r="S78" s="13">
        <v>0</v>
      </c>
      <c r="T78" s="13">
        <v>0</v>
      </c>
      <c r="U78" s="13">
        <v>0</v>
      </c>
      <c r="V78" s="13">
        <v>80</v>
      </c>
      <c r="W78" s="13">
        <v>80</v>
      </c>
      <c r="X78" s="13">
        <v>79</v>
      </c>
      <c r="Y78" s="13">
        <v>0</v>
      </c>
      <c r="Z78" s="13">
        <v>0</v>
      </c>
      <c r="AA78" s="13">
        <v>0</v>
      </c>
      <c r="AB78" s="13">
        <v>0</v>
      </c>
      <c r="AC78" s="13">
        <v>0</v>
      </c>
      <c r="AD78" s="13">
        <v>0</v>
      </c>
      <c r="AE78" s="13">
        <v>0</v>
      </c>
      <c r="AF78" s="13">
        <v>0</v>
      </c>
      <c r="AG78" s="13">
        <v>0</v>
      </c>
      <c r="AH78" s="13">
        <v>0</v>
      </c>
      <c r="AI78" s="14">
        <f t="shared" si="7"/>
        <v>239</v>
      </c>
    </row>
    <row r="79" spans="1:35" ht="18" customHeight="1" x14ac:dyDescent="0.2">
      <c r="A79" s="27" t="str">
        <f t="shared" si="8"/>
        <v>법인</v>
      </c>
      <c r="B79" s="27" t="s">
        <v>1559</v>
      </c>
      <c r="C79" s="27" t="s">
        <v>1496</v>
      </c>
      <c r="D79" s="26">
        <v>8908701140</v>
      </c>
      <c r="E79" s="89">
        <v>10100887</v>
      </c>
      <c r="F79" s="25" t="s">
        <v>334</v>
      </c>
      <c r="G79" s="48" t="s">
        <v>321</v>
      </c>
      <c r="H79" s="53">
        <v>45804</v>
      </c>
      <c r="I79" s="50">
        <v>45804</v>
      </c>
      <c r="J79" s="14">
        <v>195</v>
      </c>
      <c r="K79" s="14">
        <f t="shared" si="9"/>
        <v>195</v>
      </c>
      <c r="L79" s="49" t="s">
        <v>311</v>
      </c>
      <c r="M79" s="13">
        <v>0</v>
      </c>
      <c r="N79" s="13">
        <v>0</v>
      </c>
      <c r="O79" s="13">
        <v>0</v>
      </c>
      <c r="P79" s="13">
        <v>0</v>
      </c>
      <c r="Q79" s="13">
        <v>0</v>
      </c>
      <c r="R79" s="13">
        <v>0</v>
      </c>
      <c r="S79" s="13">
        <v>194.99999970000002</v>
      </c>
      <c r="T79" s="13">
        <v>0</v>
      </c>
      <c r="U79" s="13">
        <v>0</v>
      </c>
      <c r="V79" s="13">
        <v>0</v>
      </c>
      <c r="W79" s="13">
        <v>0</v>
      </c>
      <c r="X79" s="13">
        <v>0</v>
      </c>
      <c r="Y79" s="13">
        <v>0</v>
      </c>
      <c r="Z79" s="13">
        <v>0</v>
      </c>
      <c r="AA79" s="13">
        <v>0</v>
      </c>
      <c r="AB79" s="13">
        <v>0</v>
      </c>
      <c r="AC79" s="13">
        <v>0</v>
      </c>
      <c r="AD79" s="13">
        <v>0</v>
      </c>
      <c r="AE79" s="13">
        <v>0</v>
      </c>
      <c r="AF79" s="13">
        <v>0</v>
      </c>
      <c r="AG79" s="13">
        <v>0</v>
      </c>
      <c r="AH79" s="13">
        <v>0</v>
      </c>
      <c r="AI79" s="14">
        <f t="shared" si="7"/>
        <v>194.99999970000002</v>
      </c>
    </row>
    <row r="80" spans="1:35" ht="18" customHeight="1" x14ac:dyDescent="0.2">
      <c r="A80" s="27" t="str">
        <f t="shared" si="8"/>
        <v>법인</v>
      </c>
      <c r="B80" s="27" t="s">
        <v>1559</v>
      </c>
      <c r="C80" s="27" t="s">
        <v>1496</v>
      </c>
      <c r="D80" s="26">
        <v>8908701140</v>
      </c>
      <c r="E80" s="89">
        <v>10100887</v>
      </c>
      <c r="F80" s="25" t="s">
        <v>334</v>
      </c>
      <c r="G80" s="48" t="s">
        <v>320</v>
      </c>
      <c r="H80" s="53">
        <v>46042</v>
      </c>
      <c r="I80" s="50">
        <v>45804</v>
      </c>
      <c r="J80" s="14">
        <v>24.9</v>
      </c>
      <c r="K80" s="14">
        <f t="shared" ref="K80" si="10">J80</f>
        <v>24.9</v>
      </c>
      <c r="L80" s="49" t="s">
        <v>311</v>
      </c>
      <c r="M80" s="13">
        <v>0</v>
      </c>
      <c r="N80" s="13">
        <v>0</v>
      </c>
      <c r="O80" s="13">
        <v>0</v>
      </c>
      <c r="P80" s="13">
        <v>0</v>
      </c>
      <c r="Q80" s="13">
        <v>0</v>
      </c>
      <c r="R80" s="13">
        <v>0</v>
      </c>
      <c r="S80" s="13">
        <v>0</v>
      </c>
      <c r="T80" s="13">
        <v>0</v>
      </c>
      <c r="U80" s="13">
        <v>0</v>
      </c>
      <c r="V80" s="13">
        <v>0</v>
      </c>
      <c r="W80" s="13">
        <v>0</v>
      </c>
      <c r="X80" s="13">
        <v>0</v>
      </c>
      <c r="Y80" s="13">
        <v>0</v>
      </c>
      <c r="Z80" s="13">
        <v>0</v>
      </c>
      <c r="AA80" s="13">
        <v>0</v>
      </c>
      <c r="AB80" s="13">
        <v>0</v>
      </c>
      <c r="AC80" s="13">
        <v>0</v>
      </c>
      <c r="AD80" s="13">
        <v>24.92</v>
      </c>
      <c r="AE80" s="13">
        <v>0</v>
      </c>
      <c r="AF80" s="13">
        <v>0</v>
      </c>
      <c r="AG80" s="13">
        <v>0</v>
      </c>
      <c r="AH80" s="13">
        <v>0</v>
      </c>
      <c r="AI80" s="14">
        <f t="shared" si="7"/>
        <v>24.92</v>
      </c>
    </row>
    <row r="81" spans="1:35" ht="18" customHeight="1" x14ac:dyDescent="0.2">
      <c r="A81" s="27" t="str">
        <f t="shared" si="8"/>
        <v>개인</v>
      </c>
      <c r="B81" s="27" t="s">
        <v>1556</v>
      </c>
      <c r="C81" s="27" t="s">
        <v>1554</v>
      </c>
      <c r="D81" s="26">
        <v>1189601695</v>
      </c>
      <c r="E81" s="89">
        <v>10017056</v>
      </c>
      <c r="F81" s="25" t="s">
        <v>43</v>
      </c>
      <c r="G81" s="48" t="s">
        <v>322</v>
      </c>
      <c r="H81" s="53">
        <v>45975</v>
      </c>
      <c r="I81" s="50">
        <v>46035</v>
      </c>
      <c r="J81" s="14">
        <v>1047.33</v>
      </c>
      <c r="K81" s="14">
        <f t="shared" ref="K81:K133" si="11">J81/36</f>
        <v>29.092499999999998</v>
      </c>
      <c r="L81" s="49" t="s">
        <v>311</v>
      </c>
      <c r="M81" s="13">
        <v>0</v>
      </c>
      <c r="N81" s="13">
        <v>0</v>
      </c>
      <c r="O81" s="13">
        <v>0</v>
      </c>
      <c r="P81" s="13">
        <v>0</v>
      </c>
      <c r="Q81" s="13">
        <v>0</v>
      </c>
      <c r="R81" s="13">
        <v>0</v>
      </c>
      <c r="S81" s="13">
        <v>0</v>
      </c>
      <c r="T81" s="13">
        <v>0</v>
      </c>
      <c r="U81" s="13">
        <v>0</v>
      </c>
      <c r="V81" s="13">
        <v>0</v>
      </c>
      <c r="W81" s="13">
        <v>0</v>
      </c>
      <c r="X81" s="13">
        <v>0</v>
      </c>
      <c r="Y81" s="13">
        <v>0</v>
      </c>
      <c r="Z81" s="13">
        <v>0</v>
      </c>
      <c r="AA81" s="13">
        <v>0</v>
      </c>
      <c r="AB81" s="13">
        <v>1.014</v>
      </c>
      <c r="AC81" s="13">
        <v>1.2609999999999999</v>
      </c>
      <c r="AD81" s="13">
        <v>4.7450000000000001</v>
      </c>
      <c r="AE81" s="13">
        <v>6.3440000000000003</v>
      </c>
      <c r="AF81" s="13">
        <v>7.202</v>
      </c>
      <c r="AG81" s="13">
        <v>7.4749999999999996</v>
      </c>
      <c r="AH81" s="13">
        <v>8.5020000000000007</v>
      </c>
      <c r="AI81" s="14">
        <f t="shared" si="7"/>
        <v>36.543000000000006</v>
      </c>
    </row>
    <row r="82" spans="1:35" ht="18" customHeight="1" x14ac:dyDescent="0.2">
      <c r="A82" s="27" t="str">
        <f t="shared" si="8"/>
        <v>법인</v>
      </c>
      <c r="B82" s="27" t="s">
        <v>1562</v>
      </c>
      <c r="C82" s="27" t="s">
        <v>1496</v>
      </c>
      <c r="D82" s="26">
        <v>1258212553</v>
      </c>
      <c r="E82" s="89">
        <v>10032728</v>
      </c>
      <c r="F82" s="25" t="s">
        <v>96</v>
      </c>
      <c r="G82" s="48" t="s">
        <v>322</v>
      </c>
      <c r="H82" s="53">
        <v>45827</v>
      </c>
      <c r="I82" s="50">
        <v>45909</v>
      </c>
      <c r="J82" s="14">
        <v>2025</v>
      </c>
      <c r="K82" s="14">
        <f t="shared" si="11"/>
        <v>56.25</v>
      </c>
      <c r="L82" s="49" t="s">
        <v>311</v>
      </c>
      <c r="M82" s="13">
        <v>0</v>
      </c>
      <c r="N82" s="13">
        <v>0</v>
      </c>
      <c r="O82" s="13">
        <v>0</v>
      </c>
      <c r="P82" s="13">
        <v>0</v>
      </c>
      <c r="Q82" s="13">
        <v>0</v>
      </c>
      <c r="R82" s="13">
        <v>0</v>
      </c>
      <c r="S82" s="13">
        <v>0</v>
      </c>
      <c r="T82" s="13">
        <v>0</v>
      </c>
      <c r="U82" s="13">
        <v>0</v>
      </c>
      <c r="V82" s="13">
        <v>0</v>
      </c>
      <c r="W82" s="13">
        <v>0</v>
      </c>
      <c r="X82" s="13">
        <v>0</v>
      </c>
      <c r="Y82" s="13">
        <v>0</v>
      </c>
      <c r="Z82" s="13">
        <v>0</v>
      </c>
      <c r="AA82" s="13">
        <v>0</v>
      </c>
      <c r="AB82" s="13">
        <v>0</v>
      </c>
      <c r="AC82" s="13">
        <v>47.494999999999997</v>
      </c>
      <c r="AD82" s="13">
        <v>0</v>
      </c>
      <c r="AE82" s="13">
        <v>54.941000000000003</v>
      </c>
      <c r="AF82" s="13">
        <v>84.024000000000001</v>
      </c>
      <c r="AG82" s="13">
        <v>39.825000000000003</v>
      </c>
      <c r="AH82" s="13">
        <v>37.878</v>
      </c>
      <c r="AI82" s="14">
        <f t="shared" si="7"/>
        <v>264.16300000000001</v>
      </c>
    </row>
    <row r="83" spans="1:35" ht="18" customHeight="1" x14ac:dyDescent="0.2">
      <c r="A83" s="27" t="str">
        <f t="shared" si="8"/>
        <v>법인</v>
      </c>
      <c r="B83" s="27" t="s">
        <v>1569</v>
      </c>
      <c r="C83" s="27" t="s">
        <v>1496</v>
      </c>
      <c r="D83" s="26">
        <v>1328207422</v>
      </c>
      <c r="E83" s="89">
        <v>10014151</v>
      </c>
      <c r="F83" s="25" t="s">
        <v>167</v>
      </c>
      <c r="G83" s="48" t="s">
        <v>322</v>
      </c>
      <c r="H83" s="53">
        <v>45832</v>
      </c>
      <c r="I83" s="50">
        <v>45930</v>
      </c>
      <c r="J83" s="14">
        <v>799.99800000000005</v>
      </c>
      <c r="K83" s="14">
        <f t="shared" si="11"/>
        <v>22.222166666666666</v>
      </c>
      <c r="L83" s="49" t="s">
        <v>311</v>
      </c>
      <c r="M83" s="13">
        <v>0</v>
      </c>
      <c r="N83" s="13">
        <v>0</v>
      </c>
      <c r="O83" s="13">
        <v>0</v>
      </c>
      <c r="P83" s="13">
        <v>0</v>
      </c>
      <c r="Q83" s="13">
        <v>0</v>
      </c>
      <c r="R83" s="13">
        <v>0</v>
      </c>
      <c r="S83" s="13">
        <v>0</v>
      </c>
      <c r="T83" s="13">
        <v>0</v>
      </c>
      <c r="U83" s="13">
        <v>0</v>
      </c>
      <c r="V83" s="13">
        <v>0</v>
      </c>
      <c r="W83" s="13">
        <v>0</v>
      </c>
      <c r="X83" s="13">
        <v>0</v>
      </c>
      <c r="Y83" s="13">
        <v>0</v>
      </c>
      <c r="Z83" s="13">
        <v>0</v>
      </c>
      <c r="AA83" s="13">
        <v>41.737000000000002</v>
      </c>
      <c r="AB83" s="13">
        <v>0</v>
      </c>
      <c r="AC83" s="13">
        <v>0</v>
      </c>
      <c r="AD83" s="13">
        <v>14.467000000000001</v>
      </c>
      <c r="AE83" s="13">
        <v>16.103999999999999</v>
      </c>
      <c r="AF83" s="13">
        <v>22.724</v>
      </c>
      <c r="AG83" s="13">
        <v>24.146000000000001</v>
      </c>
      <c r="AH83" s="13">
        <v>21.613</v>
      </c>
      <c r="AI83" s="14">
        <f t="shared" si="7"/>
        <v>140.791</v>
      </c>
    </row>
    <row r="84" spans="1:35" ht="18" customHeight="1" x14ac:dyDescent="0.2">
      <c r="A84" s="27" t="str">
        <f t="shared" si="8"/>
        <v>개인</v>
      </c>
      <c r="B84" s="27" t="s">
        <v>1564</v>
      </c>
      <c r="C84" s="27" t="s">
        <v>1554</v>
      </c>
      <c r="D84" s="26">
        <v>1139456769</v>
      </c>
      <c r="E84" s="89">
        <v>10014653</v>
      </c>
      <c r="F84" s="25" t="s">
        <v>164</v>
      </c>
      <c r="G84" s="48" t="s">
        <v>322</v>
      </c>
      <c r="H84" s="53">
        <v>45870</v>
      </c>
      <c r="I84" s="50">
        <v>46000</v>
      </c>
      <c r="J84" s="14">
        <v>233.62700000000001</v>
      </c>
      <c r="K84" s="14">
        <f t="shared" si="11"/>
        <v>6.489638888888889</v>
      </c>
      <c r="L84" s="49" t="s">
        <v>311</v>
      </c>
      <c r="M84" s="13">
        <v>0</v>
      </c>
      <c r="N84" s="13">
        <v>0</v>
      </c>
      <c r="O84" s="13">
        <v>0</v>
      </c>
      <c r="P84" s="13">
        <v>0</v>
      </c>
      <c r="Q84" s="13">
        <v>0</v>
      </c>
      <c r="R84" s="13">
        <v>0</v>
      </c>
      <c r="S84" s="13">
        <v>0</v>
      </c>
      <c r="T84" s="13">
        <v>0</v>
      </c>
      <c r="U84" s="13">
        <v>0</v>
      </c>
      <c r="V84" s="13">
        <v>0</v>
      </c>
      <c r="W84" s="13">
        <v>0</v>
      </c>
      <c r="X84" s="13">
        <v>0</v>
      </c>
      <c r="Y84" s="13">
        <v>0</v>
      </c>
      <c r="Z84" s="13">
        <v>0</v>
      </c>
      <c r="AA84" s="13">
        <v>0</v>
      </c>
      <c r="AB84" s="13">
        <v>4.0110000000000001</v>
      </c>
      <c r="AC84" s="13">
        <v>0</v>
      </c>
      <c r="AD84" s="13">
        <v>1.744</v>
      </c>
      <c r="AE84" s="13">
        <v>3.1520000000000001</v>
      </c>
      <c r="AF84" s="13">
        <v>1.5</v>
      </c>
      <c r="AG84" s="13">
        <v>1.5</v>
      </c>
      <c r="AH84" s="13">
        <v>1.5</v>
      </c>
      <c r="AI84" s="14">
        <f t="shared" si="7"/>
        <v>13.407</v>
      </c>
    </row>
    <row r="85" spans="1:35" ht="18" customHeight="1" x14ac:dyDescent="0.2">
      <c r="A85" s="27" t="str">
        <f t="shared" si="8"/>
        <v>법인</v>
      </c>
      <c r="B85" s="27" t="s">
        <v>1555</v>
      </c>
      <c r="C85" s="27" t="s">
        <v>1496</v>
      </c>
      <c r="D85" s="26">
        <v>1408201185</v>
      </c>
      <c r="E85" s="89">
        <v>10021506</v>
      </c>
      <c r="F85" s="25" t="s">
        <v>168</v>
      </c>
      <c r="G85" s="48" t="s">
        <v>322</v>
      </c>
      <c r="H85" s="53">
        <v>45853</v>
      </c>
      <c r="I85" s="50">
        <v>45944</v>
      </c>
      <c r="J85" s="14">
        <v>1521.4965</v>
      </c>
      <c r="K85" s="14">
        <f t="shared" si="11"/>
        <v>42.263791666666663</v>
      </c>
      <c r="L85" s="49" t="s">
        <v>311</v>
      </c>
      <c r="M85" s="13">
        <v>0</v>
      </c>
      <c r="N85" s="13">
        <v>0</v>
      </c>
      <c r="O85" s="13">
        <v>0</v>
      </c>
      <c r="P85" s="13">
        <v>0</v>
      </c>
      <c r="Q85" s="13">
        <v>0</v>
      </c>
      <c r="R85" s="13">
        <v>0</v>
      </c>
      <c r="S85" s="13">
        <v>0</v>
      </c>
      <c r="T85" s="13">
        <v>0</v>
      </c>
      <c r="U85" s="13">
        <v>0</v>
      </c>
      <c r="V85" s="13">
        <v>0</v>
      </c>
      <c r="W85" s="13">
        <v>0</v>
      </c>
      <c r="X85" s="13">
        <v>0</v>
      </c>
      <c r="Y85" s="13">
        <v>0</v>
      </c>
      <c r="Z85" s="13">
        <v>0</v>
      </c>
      <c r="AA85" s="13">
        <v>6.6950000000000003</v>
      </c>
      <c r="AB85" s="13">
        <v>0</v>
      </c>
      <c r="AC85" s="13">
        <v>0</v>
      </c>
      <c r="AD85" s="13">
        <v>0</v>
      </c>
      <c r="AE85" s="13">
        <v>35.914000000000001</v>
      </c>
      <c r="AF85" s="13">
        <v>24.849</v>
      </c>
      <c r="AG85" s="13">
        <v>30.771000000000001</v>
      </c>
      <c r="AH85" s="13">
        <v>27.210999999999999</v>
      </c>
      <c r="AI85" s="14">
        <f t="shared" si="7"/>
        <v>125.44</v>
      </c>
    </row>
    <row r="86" spans="1:35" ht="18" customHeight="1" x14ac:dyDescent="0.2">
      <c r="A86" s="27" t="str">
        <f t="shared" si="8"/>
        <v>법인</v>
      </c>
      <c r="B86" s="27" t="s">
        <v>1556</v>
      </c>
      <c r="C86" s="27" t="s">
        <v>1496</v>
      </c>
      <c r="D86" s="26">
        <v>1118202809</v>
      </c>
      <c r="E86" s="89">
        <v>10031830</v>
      </c>
      <c r="F86" s="25" t="s">
        <v>163</v>
      </c>
      <c r="G86" s="48" t="s">
        <v>322</v>
      </c>
      <c r="H86" s="53">
        <v>45930</v>
      </c>
      <c r="I86" s="50">
        <v>45971</v>
      </c>
      <c r="J86" s="14">
        <v>1560.0117</v>
      </c>
      <c r="K86" s="14">
        <f t="shared" si="11"/>
        <v>43.333658333333332</v>
      </c>
      <c r="L86" s="49" t="s">
        <v>311</v>
      </c>
      <c r="M86" s="13">
        <v>0</v>
      </c>
      <c r="N86" s="13">
        <v>0</v>
      </c>
      <c r="O86" s="13">
        <v>0</v>
      </c>
      <c r="P86" s="13">
        <v>0</v>
      </c>
      <c r="Q86" s="13">
        <v>0</v>
      </c>
      <c r="R86" s="13">
        <v>0</v>
      </c>
      <c r="S86" s="13">
        <v>0</v>
      </c>
      <c r="T86" s="13">
        <v>0</v>
      </c>
      <c r="U86" s="13">
        <v>0</v>
      </c>
      <c r="V86" s="13">
        <v>0</v>
      </c>
      <c r="W86" s="13">
        <v>0</v>
      </c>
      <c r="X86" s="13">
        <v>0</v>
      </c>
      <c r="Y86" s="13">
        <v>0</v>
      </c>
      <c r="Z86" s="13">
        <v>0</v>
      </c>
      <c r="AA86" s="13">
        <v>30.213000000000001</v>
      </c>
      <c r="AB86" s="13">
        <v>40.579000000000001</v>
      </c>
      <c r="AC86" s="13">
        <v>35.194000000000003</v>
      </c>
      <c r="AD86" s="13">
        <v>41.631999999999998</v>
      </c>
      <c r="AE86" s="13">
        <v>49.075000000000003</v>
      </c>
      <c r="AF86" s="13">
        <v>47.353000000000002</v>
      </c>
      <c r="AG86" s="13">
        <v>45.954000000000001</v>
      </c>
      <c r="AH86" s="13">
        <v>52.921999999999997</v>
      </c>
      <c r="AI86" s="14">
        <f t="shared" si="7"/>
        <v>342.92200000000003</v>
      </c>
    </row>
    <row r="87" spans="1:35" ht="18" customHeight="1" x14ac:dyDescent="0.2">
      <c r="A87" s="27" t="str">
        <f t="shared" si="8"/>
        <v>법인</v>
      </c>
      <c r="B87" s="27" t="s">
        <v>1556</v>
      </c>
      <c r="C87" s="27" t="s">
        <v>1496</v>
      </c>
      <c r="D87" s="26">
        <v>1278215707</v>
      </c>
      <c r="E87" s="89">
        <v>10032898</v>
      </c>
      <c r="F87" s="25" t="s">
        <v>166</v>
      </c>
      <c r="G87" s="48" t="s">
        <v>322</v>
      </c>
      <c r="H87" s="53">
        <v>45838</v>
      </c>
      <c r="I87" s="50">
        <v>45958</v>
      </c>
      <c r="J87" s="14">
        <v>573.96500000000003</v>
      </c>
      <c r="K87" s="14">
        <f t="shared" si="11"/>
        <v>15.943472222222223</v>
      </c>
      <c r="L87" s="49" t="s">
        <v>311</v>
      </c>
      <c r="M87" s="13">
        <v>0</v>
      </c>
      <c r="N87" s="13">
        <v>0</v>
      </c>
      <c r="O87" s="13">
        <v>0</v>
      </c>
      <c r="P87" s="13">
        <v>0</v>
      </c>
      <c r="Q87" s="13">
        <v>0</v>
      </c>
      <c r="R87" s="13">
        <v>0</v>
      </c>
      <c r="S87" s="13">
        <v>0</v>
      </c>
      <c r="T87" s="13">
        <v>0</v>
      </c>
      <c r="U87" s="13">
        <v>0</v>
      </c>
      <c r="V87" s="13">
        <v>0</v>
      </c>
      <c r="W87" s="13">
        <v>0</v>
      </c>
      <c r="X87" s="13">
        <v>0</v>
      </c>
      <c r="Y87" s="13">
        <v>0</v>
      </c>
      <c r="Z87" s="13">
        <v>0</v>
      </c>
      <c r="AA87" s="13">
        <v>0</v>
      </c>
      <c r="AB87" s="13">
        <v>5</v>
      </c>
      <c r="AC87" s="13">
        <v>5</v>
      </c>
      <c r="AD87" s="13">
        <v>5</v>
      </c>
      <c r="AE87" s="13">
        <v>5</v>
      </c>
      <c r="AF87" s="13">
        <v>5</v>
      </c>
      <c r="AG87" s="13">
        <v>5</v>
      </c>
      <c r="AH87" s="13">
        <v>5.3440000000000003</v>
      </c>
      <c r="AI87" s="14">
        <f t="shared" si="7"/>
        <v>35.344000000000001</v>
      </c>
    </row>
    <row r="88" spans="1:35" ht="18" customHeight="1" x14ac:dyDescent="0.2">
      <c r="A88" s="27" t="str">
        <f t="shared" si="8"/>
        <v>개인</v>
      </c>
      <c r="B88" s="27" t="s">
        <v>1559</v>
      </c>
      <c r="C88" s="27" t="s">
        <v>1554</v>
      </c>
      <c r="D88" s="26">
        <v>2109203614</v>
      </c>
      <c r="E88" s="89">
        <v>10034942</v>
      </c>
      <c r="F88" s="25" t="s">
        <v>171</v>
      </c>
      <c r="G88" s="48" t="s">
        <v>322</v>
      </c>
      <c r="H88" s="53">
        <v>45853</v>
      </c>
      <c r="I88" s="50">
        <v>45965</v>
      </c>
      <c r="J88" s="14">
        <v>886.53039999999999</v>
      </c>
      <c r="K88" s="14">
        <f t="shared" si="11"/>
        <v>24.625844444444443</v>
      </c>
      <c r="L88" s="49" t="s">
        <v>311</v>
      </c>
      <c r="M88" s="13">
        <v>0</v>
      </c>
      <c r="N88" s="13">
        <v>0</v>
      </c>
      <c r="O88" s="13">
        <v>0</v>
      </c>
      <c r="P88" s="13">
        <v>0</v>
      </c>
      <c r="Q88" s="13">
        <v>0</v>
      </c>
      <c r="R88" s="13">
        <v>0</v>
      </c>
      <c r="S88" s="13">
        <v>0</v>
      </c>
      <c r="T88" s="13">
        <v>0</v>
      </c>
      <c r="U88" s="13">
        <v>0</v>
      </c>
      <c r="V88" s="13">
        <v>0</v>
      </c>
      <c r="W88" s="13">
        <v>0</v>
      </c>
      <c r="X88" s="13">
        <v>0</v>
      </c>
      <c r="Y88" s="13">
        <v>0</v>
      </c>
      <c r="Z88" s="13">
        <v>0</v>
      </c>
      <c r="AA88" s="13">
        <v>4.1349999999999998</v>
      </c>
      <c r="AB88" s="13">
        <v>15.279</v>
      </c>
      <c r="AC88" s="13">
        <v>9.7240000000000002</v>
      </c>
      <c r="AD88" s="13">
        <v>9.0530000000000008</v>
      </c>
      <c r="AE88" s="13">
        <v>9.5790000000000006</v>
      </c>
      <c r="AF88" s="13">
        <v>12.058</v>
      </c>
      <c r="AG88" s="13">
        <v>15.561999999999999</v>
      </c>
      <c r="AH88" s="13">
        <v>17.356999999999999</v>
      </c>
      <c r="AI88" s="14">
        <f t="shared" si="7"/>
        <v>92.747</v>
      </c>
    </row>
    <row r="89" spans="1:35" ht="18" customHeight="1" x14ac:dyDescent="0.2">
      <c r="A89" s="27" t="str">
        <f t="shared" si="8"/>
        <v>법인</v>
      </c>
      <c r="B89" s="27" t="s">
        <v>1555</v>
      </c>
      <c r="C89" s="27" t="s">
        <v>1496</v>
      </c>
      <c r="D89" s="26">
        <v>2248207134</v>
      </c>
      <c r="E89" s="89">
        <v>10035562</v>
      </c>
      <c r="F89" s="25" t="s">
        <v>172</v>
      </c>
      <c r="G89" s="48" t="s">
        <v>322</v>
      </c>
      <c r="H89" s="53">
        <v>45859</v>
      </c>
      <c r="I89" s="50">
        <v>45972</v>
      </c>
      <c r="J89" s="14">
        <v>572.94799999999998</v>
      </c>
      <c r="K89" s="14">
        <f t="shared" si="11"/>
        <v>15.915222222222221</v>
      </c>
      <c r="L89" s="49" t="s">
        <v>311</v>
      </c>
      <c r="M89" s="13">
        <v>0</v>
      </c>
      <c r="N89" s="13">
        <v>0</v>
      </c>
      <c r="O89" s="13">
        <v>0</v>
      </c>
      <c r="P89" s="13">
        <v>0</v>
      </c>
      <c r="Q89" s="13">
        <v>0</v>
      </c>
      <c r="R89" s="13">
        <v>0</v>
      </c>
      <c r="S89" s="13">
        <v>0</v>
      </c>
      <c r="T89" s="13">
        <v>0</v>
      </c>
      <c r="U89" s="13">
        <v>0</v>
      </c>
      <c r="V89" s="13">
        <v>0</v>
      </c>
      <c r="W89" s="13">
        <v>0</v>
      </c>
      <c r="X89" s="13">
        <v>0</v>
      </c>
      <c r="Y89" s="13">
        <v>0</v>
      </c>
      <c r="Z89" s="13">
        <v>0</v>
      </c>
      <c r="AA89" s="13">
        <v>2.7360000000000002</v>
      </c>
      <c r="AB89" s="13">
        <v>0</v>
      </c>
      <c r="AC89" s="13">
        <v>35.936999999999998</v>
      </c>
      <c r="AD89" s="13">
        <v>18.84</v>
      </c>
      <c r="AE89" s="13">
        <v>15.093</v>
      </c>
      <c r="AF89" s="13">
        <v>12.766</v>
      </c>
      <c r="AG89" s="13">
        <v>10.933</v>
      </c>
      <c r="AH89" s="13">
        <v>15.613</v>
      </c>
      <c r="AI89" s="14">
        <f t="shared" si="7"/>
        <v>111.91800000000001</v>
      </c>
    </row>
    <row r="90" spans="1:35" ht="18" customHeight="1" x14ac:dyDescent="0.2">
      <c r="A90" s="27" t="str">
        <f t="shared" si="8"/>
        <v>개인</v>
      </c>
      <c r="B90" s="27" t="s">
        <v>1556</v>
      </c>
      <c r="C90" s="27" t="s">
        <v>1554</v>
      </c>
      <c r="D90" s="26">
        <v>2649600117</v>
      </c>
      <c r="E90" s="89">
        <v>10035927</v>
      </c>
      <c r="F90" s="25" t="s">
        <v>173</v>
      </c>
      <c r="G90" s="48" t="s">
        <v>322</v>
      </c>
      <c r="H90" s="53">
        <v>45930</v>
      </c>
      <c r="I90" s="50">
        <v>45992</v>
      </c>
      <c r="J90" s="14">
        <v>543.90493300000003</v>
      </c>
      <c r="K90" s="14">
        <f t="shared" si="11"/>
        <v>15.108470361111111</v>
      </c>
      <c r="L90" s="49" t="s">
        <v>311</v>
      </c>
      <c r="M90" s="13">
        <v>0</v>
      </c>
      <c r="N90" s="13">
        <v>0</v>
      </c>
      <c r="O90" s="13">
        <v>0</v>
      </c>
      <c r="P90" s="13">
        <v>0</v>
      </c>
      <c r="Q90" s="13">
        <v>0</v>
      </c>
      <c r="R90" s="13">
        <v>0</v>
      </c>
      <c r="S90" s="13">
        <v>0</v>
      </c>
      <c r="T90" s="13">
        <v>0</v>
      </c>
      <c r="U90" s="13">
        <v>0</v>
      </c>
      <c r="V90" s="13">
        <v>0</v>
      </c>
      <c r="W90" s="13">
        <v>0</v>
      </c>
      <c r="X90" s="13">
        <v>0</v>
      </c>
      <c r="Y90" s="13">
        <v>0</v>
      </c>
      <c r="Z90" s="13">
        <v>0</v>
      </c>
      <c r="AA90" s="13">
        <v>0</v>
      </c>
      <c r="AB90" s="13">
        <v>15.249000000000001</v>
      </c>
      <c r="AC90" s="13">
        <v>10.061999999999999</v>
      </c>
      <c r="AD90" s="13">
        <v>15.743</v>
      </c>
      <c r="AE90" s="13">
        <v>13.273</v>
      </c>
      <c r="AF90" s="13">
        <v>12.414999999999999</v>
      </c>
      <c r="AG90" s="13">
        <v>13.923</v>
      </c>
      <c r="AH90" s="13">
        <v>10.282999999999999</v>
      </c>
      <c r="AI90" s="14">
        <f t="shared" si="7"/>
        <v>90.947999999999993</v>
      </c>
    </row>
    <row r="91" spans="1:35" ht="18" customHeight="1" x14ac:dyDescent="0.2">
      <c r="A91" s="27" t="str">
        <f t="shared" si="8"/>
        <v>법인</v>
      </c>
      <c r="B91" s="27" t="s">
        <v>1574</v>
      </c>
      <c r="C91" s="27" t="s">
        <v>1496</v>
      </c>
      <c r="D91" s="26">
        <v>3088207903</v>
      </c>
      <c r="E91" s="89">
        <v>10036531</v>
      </c>
      <c r="F91" s="25" t="s">
        <v>176</v>
      </c>
      <c r="G91" s="48" t="s">
        <v>322</v>
      </c>
      <c r="H91" s="53">
        <v>45881</v>
      </c>
      <c r="I91" s="50">
        <v>45986</v>
      </c>
      <c r="J91" s="14">
        <v>283.31200000000001</v>
      </c>
      <c r="K91" s="14">
        <f t="shared" si="11"/>
        <v>7.8697777777777782</v>
      </c>
      <c r="L91" s="49" t="s">
        <v>311</v>
      </c>
      <c r="M91" s="13">
        <v>0</v>
      </c>
      <c r="N91" s="13">
        <v>0</v>
      </c>
      <c r="O91" s="13">
        <v>0</v>
      </c>
      <c r="P91" s="13">
        <v>0</v>
      </c>
      <c r="Q91" s="13">
        <v>0</v>
      </c>
      <c r="R91" s="13">
        <v>0</v>
      </c>
      <c r="S91" s="13">
        <v>0</v>
      </c>
      <c r="T91" s="13">
        <v>0</v>
      </c>
      <c r="U91" s="13">
        <v>0</v>
      </c>
      <c r="V91" s="13">
        <v>0</v>
      </c>
      <c r="W91" s="13">
        <v>0</v>
      </c>
      <c r="X91" s="13">
        <v>0</v>
      </c>
      <c r="Y91" s="13">
        <v>0</v>
      </c>
      <c r="Z91" s="13">
        <v>0</v>
      </c>
      <c r="AA91" s="13">
        <v>3.12</v>
      </c>
      <c r="AB91" s="13">
        <v>4.9139999999999997</v>
      </c>
      <c r="AC91" s="13">
        <v>3.2759999999999998</v>
      </c>
      <c r="AD91" s="13">
        <v>0</v>
      </c>
      <c r="AE91" s="13">
        <v>9.2430000000000003</v>
      </c>
      <c r="AF91" s="13">
        <v>5.0679999999999996</v>
      </c>
      <c r="AG91" s="13">
        <v>5.2649999999999997</v>
      </c>
      <c r="AH91" s="13">
        <v>7.774</v>
      </c>
      <c r="AI91" s="14">
        <f t="shared" si="7"/>
        <v>38.659999999999997</v>
      </c>
    </row>
    <row r="92" spans="1:35" ht="18" customHeight="1" x14ac:dyDescent="0.2">
      <c r="A92" s="27" t="str">
        <f t="shared" si="8"/>
        <v>개인</v>
      </c>
      <c r="B92" s="27" t="s">
        <v>1558</v>
      </c>
      <c r="C92" s="27" t="s">
        <v>1554</v>
      </c>
      <c r="D92" s="26">
        <v>3119602309</v>
      </c>
      <c r="E92" s="89">
        <v>10036639</v>
      </c>
      <c r="F92" s="25" t="s">
        <v>177</v>
      </c>
      <c r="G92" s="48" t="s">
        <v>322</v>
      </c>
      <c r="H92" s="53">
        <v>45870</v>
      </c>
      <c r="I92" s="50">
        <v>45979</v>
      </c>
      <c r="J92" s="14">
        <v>1714.7349999999999</v>
      </c>
      <c r="K92" s="14">
        <f t="shared" si="11"/>
        <v>47.631527777777777</v>
      </c>
      <c r="L92" s="49" t="s">
        <v>311</v>
      </c>
      <c r="M92" s="13">
        <v>0</v>
      </c>
      <c r="N92" s="13">
        <v>0</v>
      </c>
      <c r="O92" s="13">
        <v>0</v>
      </c>
      <c r="P92" s="13">
        <v>0</v>
      </c>
      <c r="Q92" s="13">
        <v>0</v>
      </c>
      <c r="R92" s="13">
        <v>0</v>
      </c>
      <c r="S92" s="13">
        <v>0</v>
      </c>
      <c r="T92" s="13">
        <v>0</v>
      </c>
      <c r="U92" s="13">
        <v>0</v>
      </c>
      <c r="V92" s="13">
        <v>0</v>
      </c>
      <c r="W92" s="13">
        <v>0</v>
      </c>
      <c r="X92" s="13">
        <v>0</v>
      </c>
      <c r="Y92" s="13">
        <v>0</v>
      </c>
      <c r="Z92" s="13">
        <v>0</v>
      </c>
      <c r="AA92" s="13">
        <v>0</v>
      </c>
      <c r="AB92" s="13">
        <v>0.89400000000000002</v>
      </c>
      <c r="AC92" s="13">
        <v>6.6989999999999998</v>
      </c>
      <c r="AD92" s="13">
        <v>31.995000000000001</v>
      </c>
      <c r="AE92" s="13">
        <v>0</v>
      </c>
      <c r="AF92" s="13">
        <v>132.27199999999999</v>
      </c>
      <c r="AG92" s="13">
        <v>68.334999999999994</v>
      </c>
      <c r="AH92" s="13">
        <v>85.936000000000007</v>
      </c>
      <c r="AI92" s="14">
        <f t="shared" si="7"/>
        <v>326.13099999999997</v>
      </c>
    </row>
    <row r="93" spans="1:35" ht="18" customHeight="1" x14ac:dyDescent="0.2">
      <c r="A93" s="27" t="str">
        <f t="shared" si="8"/>
        <v>개인</v>
      </c>
      <c r="B93" s="27" t="s">
        <v>1559</v>
      </c>
      <c r="C93" s="27" t="s">
        <v>1554</v>
      </c>
      <c r="D93" s="26">
        <v>4109607163</v>
      </c>
      <c r="E93" s="89">
        <v>10038259</v>
      </c>
      <c r="F93" s="25" t="s">
        <v>181</v>
      </c>
      <c r="G93" s="48" t="s">
        <v>322</v>
      </c>
      <c r="H93" s="53">
        <v>45923</v>
      </c>
      <c r="I93" s="50">
        <v>45986</v>
      </c>
      <c r="J93" s="14">
        <v>541.98009999999999</v>
      </c>
      <c r="K93" s="14">
        <f t="shared" si="11"/>
        <v>15.055002777777778</v>
      </c>
      <c r="L93" s="49" t="s">
        <v>311</v>
      </c>
      <c r="M93" s="13">
        <v>0</v>
      </c>
      <c r="N93" s="13">
        <v>0</v>
      </c>
      <c r="O93" s="13">
        <v>0</v>
      </c>
      <c r="P93" s="13">
        <v>0</v>
      </c>
      <c r="Q93" s="13">
        <v>0</v>
      </c>
      <c r="R93" s="13">
        <v>0</v>
      </c>
      <c r="S93" s="13">
        <v>0</v>
      </c>
      <c r="T93" s="13">
        <v>0</v>
      </c>
      <c r="U93" s="13">
        <v>0</v>
      </c>
      <c r="V93" s="13">
        <v>0</v>
      </c>
      <c r="W93" s="13">
        <v>0</v>
      </c>
      <c r="X93" s="13">
        <v>0</v>
      </c>
      <c r="Y93" s="13">
        <v>0</v>
      </c>
      <c r="Z93" s="13">
        <v>0</v>
      </c>
      <c r="AA93" s="13">
        <v>5.3550000000000004</v>
      </c>
      <c r="AB93" s="13">
        <v>8.1210000000000004</v>
      </c>
      <c r="AC93" s="13">
        <v>10.372</v>
      </c>
      <c r="AD93" s="13">
        <v>6.1120000000000001</v>
      </c>
      <c r="AE93" s="13">
        <v>5.8879999999999999</v>
      </c>
      <c r="AF93" s="13">
        <v>8.7720000000000002</v>
      </c>
      <c r="AG93" s="13">
        <v>9.4220000000000006</v>
      </c>
      <c r="AH93" s="13">
        <v>9.7880000000000003</v>
      </c>
      <c r="AI93" s="14">
        <f t="shared" si="7"/>
        <v>63.83</v>
      </c>
    </row>
    <row r="94" spans="1:35" ht="18" customHeight="1" x14ac:dyDescent="0.2">
      <c r="A94" s="27" t="str">
        <f t="shared" si="8"/>
        <v>개인</v>
      </c>
      <c r="B94" s="27" t="s">
        <v>1565</v>
      </c>
      <c r="C94" s="27" t="s">
        <v>1554</v>
      </c>
      <c r="D94" s="26">
        <v>4160973375</v>
      </c>
      <c r="E94" s="89">
        <v>10038463</v>
      </c>
      <c r="F94" s="25" t="s">
        <v>182</v>
      </c>
      <c r="G94" s="48" t="s">
        <v>322</v>
      </c>
      <c r="H94" s="53">
        <v>45861</v>
      </c>
      <c r="I94" s="50">
        <v>45972</v>
      </c>
      <c r="J94" s="14">
        <v>347.39400000000001</v>
      </c>
      <c r="K94" s="14">
        <f t="shared" si="11"/>
        <v>9.6498333333333335</v>
      </c>
      <c r="L94" s="49" t="s">
        <v>311</v>
      </c>
      <c r="M94" s="13">
        <v>0</v>
      </c>
      <c r="N94" s="13">
        <v>0</v>
      </c>
      <c r="O94" s="13">
        <v>0</v>
      </c>
      <c r="P94" s="13">
        <v>0</v>
      </c>
      <c r="Q94" s="13">
        <v>0</v>
      </c>
      <c r="R94" s="13">
        <v>0</v>
      </c>
      <c r="S94" s="13">
        <v>0</v>
      </c>
      <c r="T94" s="13">
        <v>0</v>
      </c>
      <c r="U94" s="13">
        <v>0</v>
      </c>
      <c r="V94" s="13">
        <v>0</v>
      </c>
      <c r="W94" s="13">
        <v>0</v>
      </c>
      <c r="X94" s="13">
        <v>0</v>
      </c>
      <c r="Y94" s="13">
        <v>0</v>
      </c>
      <c r="Z94" s="13">
        <v>0</v>
      </c>
      <c r="AA94" s="13">
        <v>0</v>
      </c>
      <c r="AB94" s="13">
        <v>0</v>
      </c>
      <c r="AC94" s="13">
        <v>10.291</v>
      </c>
      <c r="AD94" s="13">
        <v>11.637</v>
      </c>
      <c r="AE94" s="13">
        <v>16.391999999999999</v>
      </c>
      <c r="AF94" s="13">
        <v>6.1840000000000002</v>
      </c>
      <c r="AG94" s="13">
        <v>9.4749999999999996</v>
      </c>
      <c r="AH94" s="13">
        <v>10</v>
      </c>
      <c r="AI94" s="14">
        <f t="shared" si="7"/>
        <v>63.978999999999999</v>
      </c>
    </row>
    <row r="95" spans="1:35" ht="18" customHeight="1" x14ac:dyDescent="0.2">
      <c r="A95" s="27" t="str">
        <f t="shared" si="8"/>
        <v>법인</v>
      </c>
      <c r="B95" s="27" t="s">
        <v>1559</v>
      </c>
      <c r="C95" s="27" t="s">
        <v>1496</v>
      </c>
      <c r="D95" s="26">
        <v>4238200140</v>
      </c>
      <c r="E95" s="89">
        <v>10038694</v>
      </c>
      <c r="F95" s="25" t="s">
        <v>183</v>
      </c>
      <c r="G95" s="48" t="s">
        <v>322</v>
      </c>
      <c r="H95" s="53">
        <v>45881</v>
      </c>
      <c r="I95" s="50">
        <v>45979</v>
      </c>
      <c r="J95" s="14">
        <v>2157.0328</v>
      </c>
      <c r="K95" s="14">
        <f t="shared" si="11"/>
        <v>59.91757777777778</v>
      </c>
      <c r="L95" s="49" t="s">
        <v>311</v>
      </c>
      <c r="M95" s="13">
        <v>0</v>
      </c>
      <c r="N95" s="13">
        <v>0</v>
      </c>
      <c r="O95" s="13">
        <v>0</v>
      </c>
      <c r="P95" s="13">
        <v>0</v>
      </c>
      <c r="Q95" s="13">
        <v>0</v>
      </c>
      <c r="R95" s="13">
        <v>0</v>
      </c>
      <c r="S95" s="13">
        <v>0</v>
      </c>
      <c r="T95" s="13">
        <v>0</v>
      </c>
      <c r="U95" s="13">
        <v>0</v>
      </c>
      <c r="V95" s="13">
        <v>0</v>
      </c>
      <c r="W95" s="13">
        <v>0</v>
      </c>
      <c r="X95" s="13">
        <v>0</v>
      </c>
      <c r="Y95" s="13">
        <v>0</v>
      </c>
      <c r="Z95" s="13">
        <v>0</v>
      </c>
      <c r="AA95" s="13">
        <v>0</v>
      </c>
      <c r="AB95" s="13">
        <v>0</v>
      </c>
      <c r="AC95" s="13">
        <v>22.236000000000001</v>
      </c>
      <c r="AD95" s="13">
        <v>14.372</v>
      </c>
      <c r="AE95" s="13">
        <v>0</v>
      </c>
      <c r="AF95" s="13">
        <v>39.65</v>
      </c>
      <c r="AG95" s="13">
        <v>42.25</v>
      </c>
      <c r="AH95" s="13">
        <v>1.3</v>
      </c>
      <c r="AI95" s="14">
        <f t="shared" si="7"/>
        <v>119.80800000000001</v>
      </c>
    </row>
    <row r="96" spans="1:35" ht="18" customHeight="1" x14ac:dyDescent="0.2">
      <c r="A96" s="27" t="str">
        <f t="shared" si="8"/>
        <v>개인</v>
      </c>
      <c r="B96" s="27" t="s">
        <v>1569</v>
      </c>
      <c r="C96" s="27" t="s">
        <v>1554</v>
      </c>
      <c r="D96" s="26">
        <v>6109097133</v>
      </c>
      <c r="E96" s="89">
        <v>10040095</v>
      </c>
      <c r="F96" s="25" t="s">
        <v>188</v>
      </c>
      <c r="G96" s="48" t="s">
        <v>322</v>
      </c>
      <c r="H96" s="53">
        <v>45891</v>
      </c>
      <c r="I96" s="50">
        <v>45986</v>
      </c>
      <c r="J96" s="14">
        <v>255.917</v>
      </c>
      <c r="K96" s="14">
        <f t="shared" si="11"/>
        <v>7.1088055555555556</v>
      </c>
      <c r="L96" s="49" t="s">
        <v>311</v>
      </c>
      <c r="M96" s="13">
        <v>0</v>
      </c>
      <c r="N96" s="13">
        <v>0</v>
      </c>
      <c r="O96" s="13">
        <v>0</v>
      </c>
      <c r="P96" s="13">
        <v>0</v>
      </c>
      <c r="Q96" s="13">
        <v>0</v>
      </c>
      <c r="R96" s="13">
        <v>0</v>
      </c>
      <c r="S96" s="13">
        <v>0</v>
      </c>
      <c r="T96" s="13">
        <v>0</v>
      </c>
      <c r="U96" s="13">
        <v>0</v>
      </c>
      <c r="V96" s="13">
        <v>0</v>
      </c>
      <c r="W96" s="13">
        <v>0</v>
      </c>
      <c r="X96" s="13">
        <v>0</v>
      </c>
      <c r="Y96" s="13">
        <v>0</v>
      </c>
      <c r="Z96" s="13">
        <v>0</v>
      </c>
      <c r="AA96" s="13">
        <v>7.234</v>
      </c>
      <c r="AB96" s="13">
        <v>7.1440000000000001</v>
      </c>
      <c r="AC96" s="13">
        <v>6.4640000000000004</v>
      </c>
      <c r="AD96" s="13">
        <v>8.2759999999999998</v>
      </c>
      <c r="AE96" s="13">
        <v>7.1959999999999997</v>
      </c>
      <c r="AF96" s="13">
        <v>7.1260000000000003</v>
      </c>
      <c r="AG96" s="13">
        <v>6.609</v>
      </c>
      <c r="AH96" s="13">
        <v>10.144</v>
      </c>
      <c r="AI96" s="14">
        <f t="shared" si="7"/>
        <v>60.192999999999998</v>
      </c>
    </row>
    <row r="97" spans="1:35" ht="18" customHeight="1" x14ac:dyDescent="0.2">
      <c r="A97" s="27" t="str">
        <f t="shared" si="8"/>
        <v>법인</v>
      </c>
      <c r="B97" s="27" t="s">
        <v>1560</v>
      </c>
      <c r="C97" s="27" t="s">
        <v>1496</v>
      </c>
      <c r="D97" s="26">
        <v>6108205190</v>
      </c>
      <c r="E97" s="89">
        <v>10041141</v>
      </c>
      <c r="F97" s="25" t="s">
        <v>187</v>
      </c>
      <c r="G97" s="48" t="s">
        <v>322</v>
      </c>
      <c r="H97" s="53">
        <v>45904</v>
      </c>
      <c r="I97" s="50">
        <v>45985</v>
      </c>
      <c r="J97" s="14">
        <v>995.79349999999999</v>
      </c>
      <c r="K97" s="14">
        <f t="shared" si="11"/>
        <v>27.660930555555556</v>
      </c>
      <c r="L97" s="49" t="s">
        <v>311</v>
      </c>
      <c r="M97" s="13">
        <v>0</v>
      </c>
      <c r="N97" s="13">
        <v>0</v>
      </c>
      <c r="O97" s="13">
        <v>0</v>
      </c>
      <c r="P97" s="13">
        <v>0</v>
      </c>
      <c r="Q97" s="13">
        <v>0</v>
      </c>
      <c r="R97" s="13">
        <v>0</v>
      </c>
      <c r="S97" s="13">
        <v>0</v>
      </c>
      <c r="T97" s="13">
        <v>0</v>
      </c>
      <c r="U97" s="13">
        <v>0</v>
      </c>
      <c r="V97" s="13">
        <v>0</v>
      </c>
      <c r="W97" s="13">
        <v>0</v>
      </c>
      <c r="X97" s="13">
        <v>0</v>
      </c>
      <c r="Y97" s="13">
        <v>0</v>
      </c>
      <c r="Z97" s="13">
        <v>0</v>
      </c>
      <c r="AA97" s="13">
        <v>11.76</v>
      </c>
      <c r="AB97" s="13">
        <v>0</v>
      </c>
      <c r="AC97" s="13">
        <v>12.512</v>
      </c>
      <c r="AD97" s="13">
        <v>24.335999999999999</v>
      </c>
      <c r="AE97" s="13">
        <v>11.568</v>
      </c>
      <c r="AF97" s="13">
        <v>11.071999999999999</v>
      </c>
      <c r="AG97" s="13">
        <v>9.3919999999999995</v>
      </c>
      <c r="AH97" s="13">
        <v>11.375999999999999</v>
      </c>
      <c r="AI97" s="14">
        <f t="shared" si="7"/>
        <v>92.015999999999991</v>
      </c>
    </row>
    <row r="98" spans="1:35" ht="18" customHeight="1" x14ac:dyDescent="0.2">
      <c r="A98" s="27" t="str">
        <f t="shared" si="8"/>
        <v>개인</v>
      </c>
      <c r="B98" s="27" t="s">
        <v>1556</v>
      </c>
      <c r="C98" s="27" t="s">
        <v>1554</v>
      </c>
      <c r="D98" s="26">
        <v>6129235248</v>
      </c>
      <c r="E98" s="89">
        <v>10041259</v>
      </c>
      <c r="F98" s="25" t="s">
        <v>189</v>
      </c>
      <c r="G98" s="48" t="s">
        <v>322</v>
      </c>
      <c r="H98" s="53">
        <v>45924</v>
      </c>
      <c r="I98" s="50">
        <v>45971</v>
      </c>
      <c r="J98" s="14">
        <v>803.43799999999999</v>
      </c>
      <c r="K98" s="14">
        <f t="shared" si="11"/>
        <v>22.317722222222223</v>
      </c>
      <c r="L98" s="49" t="s">
        <v>311</v>
      </c>
      <c r="M98" s="13">
        <v>0</v>
      </c>
      <c r="N98" s="13">
        <v>0</v>
      </c>
      <c r="O98" s="13">
        <v>0</v>
      </c>
      <c r="P98" s="13">
        <v>0</v>
      </c>
      <c r="Q98" s="13">
        <v>0</v>
      </c>
      <c r="R98" s="13">
        <v>0</v>
      </c>
      <c r="S98" s="13">
        <v>0</v>
      </c>
      <c r="T98" s="13">
        <v>0</v>
      </c>
      <c r="U98" s="13">
        <v>0</v>
      </c>
      <c r="V98" s="13">
        <v>0</v>
      </c>
      <c r="W98" s="13">
        <v>0</v>
      </c>
      <c r="X98" s="13">
        <v>0</v>
      </c>
      <c r="Y98" s="13">
        <v>0</v>
      </c>
      <c r="Z98" s="13">
        <v>0</v>
      </c>
      <c r="AA98" s="13">
        <v>0</v>
      </c>
      <c r="AB98" s="13">
        <v>3.036</v>
      </c>
      <c r="AC98" s="13">
        <v>5.3220000000000001</v>
      </c>
      <c r="AD98" s="13">
        <v>0</v>
      </c>
      <c r="AE98" s="13">
        <v>1.7749999999999999</v>
      </c>
      <c r="AF98" s="13">
        <v>18.202000000000002</v>
      </c>
      <c r="AG98" s="13">
        <v>20.486999999999998</v>
      </c>
      <c r="AH98" s="13">
        <v>23.667999999999999</v>
      </c>
      <c r="AI98" s="14">
        <f t="shared" si="7"/>
        <v>72.490000000000009</v>
      </c>
    </row>
    <row r="99" spans="1:35" ht="18" customHeight="1" x14ac:dyDescent="0.2">
      <c r="A99" s="27" t="str">
        <f t="shared" si="8"/>
        <v>개인</v>
      </c>
      <c r="B99" s="27" t="s">
        <v>1558</v>
      </c>
      <c r="C99" s="27" t="s">
        <v>1554</v>
      </c>
      <c r="D99" s="26">
        <v>6159083712</v>
      </c>
      <c r="E99" s="89">
        <v>10041441</v>
      </c>
      <c r="F99" s="25" t="s">
        <v>190</v>
      </c>
      <c r="G99" s="48" t="s">
        <v>322</v>
      </c>
      <c r="H99" s="53">
        <v>45930</v>
      </c>
      <c r="I99" s="50">
        <v>45978</v>
      </c>
      <c r="J99" s="14">
        <v>567.79060000000004</v>
      </c>
      <c r="K99" s="14">
        <f t="shared" si="11"/>
        <v>15.771961111111112</v>
      </c>
      <c r="L99" s="49" t="s">
        <v>311</v>
      </c>
      <c r="M99" s="13">
        <v>0</v>
      </c>
      <c r="N99" s="13">
        <v>0</v>
      </c>
      <c r="O99" s="13">
        <v>0</v>
      </c>
      <c r="P99" s="13">
        <v>0</v>
      </c>
      <c r="Q99" s="13">
        <v>0</v>
      </c>
      <c r="R99" s="13">
        <v>0</v>
      </c>
      <c r="S99" s="13">
        <v>0</v>
      </c>
      <c r="T99" s="13">
        <v>0</v>
      </c>
      <c r="U99" s="13">
        <v>0</v>
      </c>
      <c r="V99" s="13">
        <v>0</v>
      </c>
      <c r="W99" s="13">
        <v>0</v>
      </c>
      <c r="X99" s="13">
        <v>0</v>
      </c>
      <c r="Y99" s="13">
        <v>0</v>
      </c>
      <c r="Z99" s="13">
        <v>0</v>
      </c>
      <c r="AA99" s="13">
        <v>0</v>
      </c>
      <c r="AB99" s="13">
        <v>1.4239999999999999</v>
      </c>
      <c r="AC99" s="13">
        <v>1.1519999999999999</v>
      </c>
      <c r="AD99" s="13">
        <v>1.216</v>
      </c>
      <c r="AE99" s="13">
        <v>0.89600000000000002</v>
      </c>
      <c r="AF99" s="13">
        <v>0.36799999999999999</v>
      </c>
      <c r="AG99" s="13">
        <v>0</v>
      </c>
      <c r="AH99" s="13">
        <v>1.776</v>
      </c>
      <c r="AI99" s="14">
        <f t="shared" si="7"/>
        <v>6.8319999999999999</v>
      </c>
    </row>
    <row r="100" spans="1:35" ht="18" customHeight="1" x14ac:dyDescent="0.2">
      <c r="A100" s="27" t="str">
        <f t="shared" si="8"/>
        <v>법인</v>
      </c>
      <c r="B100" s="27" t="s">
        <v>1558</v>
      </c>
      <c r="C100" s="27" t="s">
        <v>1496</v>
      </c>
      <c r="D100" s="26">
        <v>5058204846</v>
      </c>
      <c r="E100" s="89">
        <v>10046731</v>
      </c>
      <c r="F100" s="25" t="s">
        <v>184</v>
      </c>
      <c r="G100" s="48" t="s">
        <v>322</v>
      </c>
      <c r="H100" s="53">
        <v>45882</v>
      </c>
      <c r="I100" s="50">
        <v>45986</v>
      </c>
      <c r="J100" s="14">
        <v>852.24400000000003</v>
      </c>
      <c r="K100" s="14">
        <f t="shared" si="11"/>
        <v>23.673444444444446</v>
      </c>
      <c r="L100" s="49" t="s">
        <v>311</v>
      </c>
      <c r="M100" s="13">
        <v>0</v>
      </c>
      <c r="N100" s="13">
        <v>0</v>
      </c>
      <c r="O100" s="13">
        <v>0</v>
      </c>
      <c r="P100" s="13">
        <v>0</v>
      </c>
      <c r="Q100" s="13">
        <v>0</v>
      </c>
      <c r="R100" s="13">
        <v>0</v>
      </c>
      <c r="S100" s="13">
        <v>0</v>
      </c>
      <c r="T100" s="13">
        <v>0</v>
      </c>
      <c r="U100" s="13">
        <v>0</v>
      </c>
      <c r="V100" s="13">
        <v>0</v>
      </c>
      <c r="W100" s="13">
        <v>0</v>
      </c>
      <c r="X100" s="13">
        <v>0</v>
      </c>
      <c r="Y100" s="13">
        <v>0</v>
      </c>
      <c r="Z100" s="13">
        <v>0</v>
      </c>
      <c r="AA100" s="13">
        <v>0</v>
      </c>
      <c r="AB100" s="13">
        <v>15.472</v>
      </c>
      <c r="AC100" s="13">
        <v>0</v>
      </c>
      <c r="AD100" s="13">
        <v>42.16</v>
      </c>
      <c r="AE100" s="13">
        <v>39.152000000000001</v>
      </c>
      <c r="AF100" s="13">
        <v>0</v>
      </c>
      <c r="AG100" s="13">
        <v>78.207999999999998</v>
      </c>
      <c r="AH100" s="13">
        <v>0</v>
      </c>
      <c r="AI100" s="14">
        <f t="shared" si="7"/>
        <v>174.99199999999999</v>
      </c>
    </row>
    <row r="101" spans="1:35" ht="18" customHeight="1" x14ac:dyDescent="0.2">
      <c r="A101" s="27" t="str">
        <f t="shared" si="8"/>
        <v>법인</v>
      </c>
      <c r="B101" s="27" t="s">
        <v>1556</v>
      </c>
      <c r="C101" s="27" t="s">
        <v>1496</v>
      </c>
      <c r="D101" s="26">
        <v>7368200013</v>
      </c>
      <c r="E101" s="89">
        <v>10053087</v>
      </c>
      <c r="F101" s="25" t="s">
        <v>381</v>
      </c>
      <c r="G101" s="48" t="s">
        <v>319</v>
      </c>
      <c r="H101" s="53">
        <v>45961</v>
      </c>
      <c r="I101" s="50">
        <v>46028</v>
      </c>
      <c r="J101" s="14">
        <v>196.23956000000001</v>
      </c>
      <c r="K101" s="14">
        <f>J101</f>
        <v>196.23956000000001</v>
      </c>
      <c r="L101" s="49" t="s">
        <v>311</v>
      </c>
      <c r="M101" s="13">
        <v>0</v>
      </c>
      <c r="N101" s="13">
        <v>0</v>
      </c>
      <c r="O101" s="13">
        <v>0</v>
      </c>
      <c r="P101" s="13">
        <v>0</v>
      </c>
      <c r="Q101" s="13">
        <v>0</v>
      </c>
      <c r="R101" s="13">
        <v>0</v>
      </c>
      <c r="S101" s="13">
        <v>0</v>
      </c>
      <c r="T101" s="13">
        <v>0</v>
      </c>
      <c r="U101" s="13">
        <v>0</v>
      </c>
      <c r="V101" s="13">
        <v>0</v>
      </c>
      <c r="W101" s="13">
        <v>0</v>
      </c>
      <c r="X101" s="13">
        <v>0</v>
      </c>
      <c r="Y101" s="13">
        <v>0</v>
      </c>
      <c r="Z101" s="13">
        <v>0</v>
      </c>
      <c r="AA101" s="13">
        <v>0</v>
      </c>
      <c r="AB101" s="13">
        <v>0</v>
      </c>
      <c r="AC101" s="13">
        <v>0</v>
      </c>
      <c r="AD101" s="13">
        <v>0</v>
      </c>
      <c r="AE101" s="13">
        <v>0</v>
      </c>
      <c r="AF101" s="13">
        <v>196.23956000000001</v>
      </c>
      <c r="AG101" s="13">
        <v>0</v>
      </c>
      <c r="AH101" s="13">
        <v>0</v>
      </c>
      <c r="AI101" s="14">
        <f t="shared" si="7"/>
        <v>196.23956000000001</v>
      </c>
    </row>
    <row r="102" spans="1:35" ht="18" customHeight="1" x14ac:dyDescent="0.2">
      <c r="A102" s="27" t="str">
        <f t="shared" si="8"/>
        <v>법인</v>
      </c>
      <c r="B102" s="27" t="s">
        <v>1575</v>
      </c>
      <c r="C102" s="27" t="s">
        <v>1496</v>
      </c>
      <c r="D102" s="26">
        <v>7158200205</v>
      </c>
      <c r="E102" s="89">
        <v>10063044</v>
      </c>
      <c r="F102" s="25" t="s">
        <v>382</v>
      </c>
      <c r="G102" s="48" t="s">
        <v>322</v>
      </c>
      <c r="H102" s="53">
        <v>45967</v>
      </c>
      <c r="I102" s="50">
        <v>45978</v>
      </c>
      <c r="J102" s="14">
        <v>1114.876</v>
      </c>
      <c r="K102" s="14">
        <f t="shared" si="11"/>
        <v>30.968777777777778</v>
      </c>
      <c r="L102" s="49" t="s">
        <v>311</v>
      </c>
      <c r="M102" s="13">
        <v>0</v>
      </c>
      <c r="N102" s="13">
        <v>0</v>
      </c>
      <c r="O102" s="13">
        <v>0</v>
      </c>
      <c r="P102" s="13">
        <v>0</v>
      </c>
      <c r="Q102" s="13">
        <v>0</v>
      </c>
      <c r="R102" s="13">
        <v>0</v>
      </c>
      <c r="S102" s="13">
        <v>0</v>
      </c>
      <c r="T102" s="13">
        <v>0</v>
      </c>
      <c r="U102" s="13">
        <v>0</v>
      </c>
      <c r="V102" s="13">
        <v>0</v>
      </c>
      <c r="W102" s="13">
        <v>0</v>
      </c>
      <c r="X102" s="13">
        <v>0</v>
      </c>
      <c r="Y102" s="13">
        <v>0</v>
      </c>
      <c r="Z102" s="13">
        <v>0</v>
      </c>
      <c r="AA102" s="13">
        <v>33.488</v>
      </c>
      <c r="AB102" s="13">
        <v>32.008000000000003</v>
      </c>
      <c r="AC102" s="13">
        <v>25.7</v>
      </c>
      <c r="AD102" s="13">
        <v>37.501199999999997</v>
      </c>
      <c r="AE102" s="13">
        <v>45.207999999999998</v>
      </c>
      <c r="AF102" s="13">
        <v>41.301600000000001</v>
      </c>
      <c r="AG102" s="13">
        <v>42.015599999999999</v>
      </c>
      <c r="AH102" s="13">
        <v>38.683199999999999</v>
      </c>
      <c r="AI102" s="14">
        <f t="shared" si="7"/>
        <v>295.90559999999999</v>
      </c>
    </row>
    <row r="103" spans="1:35" ht="18" customHeight="1" x14ac:dyDescent="0.2">
      <c r="A103" s="27" t="str">
        <f t="shared" si="8"/>
        <v>법인</v>
      </c>
      <c r="B103" s="27" t="s">
        <v>1567</v>
      </c>
      <c r="C103" s="27" t="s">
        <v>1496</v>
      </c>
      <c r="D103" s="26">
        <v>3348200383</v>
      </c>
      <c r="E103" s="89">
        <v>10081683</v>
      </c>
      <c r="F103" s="25" t="s">
        <v>383</v>
      </c>
      <c r="G103" s="48" t="s">
        <v>319</v>
      </c>
      <c r="H103" s="53">
        <v>45961</v>
      </c>
      <c r="I103" s="50">
        <v>46028</v>
      </c>
      <c r="J103" s="14">
        <v>252.02177</v>
      </c>
      <c r="K103" s="14">
        <f>J103</f>
        <v>252.02177</v>
      </c>
      <c r="L103" s="49" t="s">
        <v>311</v>
      </c>
      <c r="M103" s="13">
        <v>0</v>
      </c>
      <c r="N103" s="13">
        <v>0</v>
      </c>
      <c r="O103" s="13">
        <v>0</v>
      </c>
      <c r="P103" s="13">
        <v>0</v>
      </c>
      <c r="Q103" s="13">
        <v>0</v>
      </c>
      <c r="R103" s="13">
        <v>0</v>
      </c>
      <c r="S103" s="13">
        <v>0</v>
      </c>
      <c r="T103" s="13">
        <v>0</v>
      </c>
      <c r="U103" s="13">
        <v>0</v>
      </c>
      <c r="V103" s="13">
        <v>0</v>
      </c>
      <c r="W103" s="13">
        <v>0</v>
      </c>
      <c r="X103" s="13">
        <v>0</v>
      </c>
      <c r="Y103" s="13">
        <v>0</v>
      </c>
      <c r="Z103" s="13">
        <v>0</v>
      </c>
      <c r="AA103" s="13">
        <v>0</v>
      </c>
      <c r="AB103" s="13">
        <v>0</v>
      </c>
      <c r="AC103" s="13">
        <v>0</v>
      </c>
      <c r="AD103" s="13">
        <v>0</v>
      </c>
      <c r="AE103" s="13">
        <v>0</v>
      </c>
      <c r="AF103" s="13">
        <v>0</v>
      </c>
      <c r="AG103" s="13">
        <v>7.0006050000000002</v>
      </c>
      <c r="AH103" s="13">
        <v>0</v>
      </c>
      <c r="AI103" s="14">
        <f t="shared" si="7"/>
        <v>7.0006050000000002</v>
      </c>
    </row>
    <row r="104" spans="1:35" ht="18" customHeight="1" x14ac:dyDescent="0.2">
      <c r="A104" s="27" t="str">
        <f t="shared" ref="A104:A135" si="12">IF(MID(D104,4,1)="8","법인","개인")</f>
        <v>개인</v>
      </c>
      <c r="B104" s="27" t="s">
        <v>1565</v>
      </c>
      <c r="C104" s="27" t="s">
        <v>1554</v>
      </c>
      <c r="D104" s="26">
        <v>3639300316</v>
      </c>
      <c r="E104" s="89">
        <v>10103688</v>
      </c>
      <c r="F104" s="25" t="s">
        <v>178</v>
      </c>
      <c r="G104" s="48" t="s">
        <v>322</v>
      </c>
      <c r="H104" s="53">
        <v>45961</v>
      </c>
      <c r="I104" s="50">
        <v>46007</v>
      </c>
      <c r="J104" s="14">
        <v>739.47429999999997</v>
      </c>
      <c r="K104" s="14">
        <f t="shared" si="11"/>
        <v>20.540952777777775</v>
      </c>
      <c r="L104" s="49" t="s">
        <v>311</v>
      </c>
      <c r="M104" s="13">
        <v>0</v>
      </c>
      <c r="N104" s="13">
        <v>0</v>
      </c>
      <c r="O104" s="13">
        <v>0</v>
      </c>
      <c r="P104" s="13">
        <v>0</v>
      </c>
      <c r="Q104" s="13">
        <v>0</v>
      </c>
      <c r="R104" s="13">
        <v>0</v>
      </c>
      <c r="S104" s="13">
        <v>0</v>
      </c>
      <c r="T104" s="13">
        <v>0</v>
      </c>
      <c r="U104" s="13">
        <v>0</v>
      </c>
      <c r="V104" s="13">
        <v>0</v>
      </c>
      <c r="W104" s="13">
        <v>0</v>
      </c>
      <c r="X104" s="13">
        <v>0</v>
      </c>
      <c r="Y104" s="13">
        <v>0</v>
      </c>
      <c r="Z104" s="13">
        <v>0</v>
      </c>
      <c r="AA104" s="13">
        <v>0</v>
      </c>
      <c r="AB104" s="13">
        <v>13.65</v>
      </c>
      <c r="AC104" s="13">
        <v>16.678999999999998</v>
      </c>
      <c r="AD104" s="13">
        <v>21.670999999999999</v>
      </c>
      <c r="AE104" s="13">
        <v>17.940000000000001</v>
      </c>
      <c r="AF104" s="13">
        <v>10.231</v>
      </c>
      <c r="AG104" s="13">
        <v>8.6059999999999999</v>
      </c>
      <c r="AH104" s="13">
        <v>0</v>
      </c>
      <c r="AI104" s="14">
        <f t="shared" si="7"/>
        <v>88.776999999999987</v>
      </c>
    </row>
    <row r="105" spans="1:35" ht="18" customHeight="1" x14ac:dyDescent="0.2">
      <c r="A105" s="27" t="str">
        <f t="shared" si="12"/>
        <v>법인</v>
      </c>
      <c r="B105" s="27" t="s">
        <v>1568</v>
      </c>
      <c r="C105" s="27" t="s">
        <v>1496</v>
      </c>
      <c r="D105" s="26">
        <v>1358216196</v>
      </c>
      <c r="E105" s="89">
        <v>10033740</v>
      </c>
      <c r="F105" s="25" t="s">
        <v>385</v>
      </c>
      <c r="G105" s="48" t="s">
        <v>322</v>
      </c>
      <c r="H105" s="50">
        <v>46006</v>
      </c>
      <c r="I105" s="50">
        <v>46056</v>
      </c>
      <c r="J105" s="14">
        <v>329.17</v>
      </c>
      <c r="K105" s="14">
        <f t="shared" si="11"/>
        <v>9.1436111111111114</v>
      </c>
      <c r="L105" s="41" t="s">
        <v>311</v>
      </c>
      <c r="M105" s="13"/>
      <c r="N105" s="13"/>
      <c r="O105" s="13"/>
      <c r="P105" s="13"/>
      <c r="Q105" s="13"/>
      <c r="R105" s="13"/>
      <c r="S105" s="13"/>
      <c r="T105" s="13"/>
      <c r="U105" s="13"/>
      <c r="V105" s="13"/>
      <c r="W105" s="13"/>
      <c r="X105" s="13"/>
      <c r="Y105" s="13"/>
      <c r="Z105" s="13">
        <v>0</v>
      </c>
      <c r="AA105" s="13">
        <v>0</v>
      </c>
      <c r="AB105" s="13">
        <v>0</v>
      </c>
      <c r="AC105" s="13">
        <v>0</v>
      </c>
      <c r="AD105" s="13">
        <v>329.17</v>
      </c>
      <c r="AE105" s="13">
        <v>0</v>
      </c>
      <c r="AF105" s="13">
        <v>0</v>
      </c>
      <c r="AG105" s="13">
        <v>0</v>
      </c>
      <c r="AH105" s="13">
        <v>0</v>
      </c>
      <c r="AI105" s="14">
        <f t="shared" si="7"/>
        <v>329.17</v>
      </c>
    </row>
    <row r="106" spans="1:35" ht="18" customHeight="1" x14ac:dyDescent="0.2">
      <c r="A106" s="27" t="str">
        <f t="shared" si="12"/>
        <v>법인</v>
      </c>
      <c r="B106" s="27" t="s">
        <v>1555</v>
      </c>
      <c r="C106" s="27" t="s">
        <v>1496</v>
      </c>
      <c r="D106" s="26">
        <v>1298204787</v>
      </c>
      <c r="E106" s="89">
        <v>10033160</v>
      </c>
      <c r="F106" s="25" t="s">
        <v>386</v>
      </c>
      <c r="G106" s="48" t="s">
        <v>322</v>
      </c>
      <c r="H106" s="53">
        <v>45883</v>
      </c>
      <c r="I106" s="50">
        <v>45944</v>
      </c>
      <c r="J106" s="14">
        <v>2054.0659999999998</v>
      </c>
      <c r="K106" s="14">
        <f t="shared" si="11"/>
        <v>57.05738888888888</v>
      </c>
      <c r="L106" s="49" t="s">
        <v>311</v>
      </c>
      <c r="M106" s="13"/>
      <c r="N106" s="13"/>
      <c r="O106" s="13"/>
      <c r="P106" s="13"/>
      <c r="Q106" s="13"/>
      <c r="R106" s="13"/>
      <c r="S106" s="13"/>
      <c r="T106" s="13"/>
      <c r="U106" s="13"/>
      <c r="V106" s="13"/>
      <c r="W106" s="13"/>
      <c r="X106" s="13"/>
      <c r="Y106" s="13"/>
      <c r="Z106" s="13">
        <v>0</v>
      </c>
      <c r="AA106" s="13">
        <v>69.818169999999995</v>
      </c>
      <c r="AB106" s="13">
        <v>53.531052000000003</v>
      </c>
      <c r="AC106" s="13">
        <v>69.865391000000002</v>
      </c>
      <c r="AD106" s="13">
        <v>69.563040000000001</v>
      </c>
      <c r="AE106" s="13">
        <v>64.716280999999995</v>
      </c>
      <c r="AF106" s="13">
        <v>67.012353000000004</v>
      </c>
      <c r="AG106" s="13">
        <v>68.347815999999995</v>
      </c>
      <c r="AH106" s="13">
        <v>76.497268000000005</v>
      </c>
      <c r="AI106" s="14">
        <f t="shared" si="7"/>
        <v>539.35137099999997</v>
      </c>
    </row>
    <row r="107" spans="1:35" ht="18" customHeight="1" x14ac:dyDescent="0.2">
      <c r="A107" s="27" t="str">
        <f t="shared" si="12"/>
        <v>개인</v>
      </c>
      <c r="B107" s="27" t="s">
        <v>1556</v>
      </c>
      <c r="C107" s="27" t="s">
        <v>1554</v>
      </c>
      <c r="D107" s="26">
        <v>5061723853</v>
      </c>
      <c r="E107" s="89">
        <v>10014574</v>
      </c>
      <c r="F107" s="25" t="s">
        <v>387</v>
      </c>
      <c r="G107" s="48" t="s">
        <v>322</v>
      </c>
      <c r="H107" s="53">
        <v>45930</v>
      </c>
      <c r="I107" s="50">
        <v>46000</v>
      </c>
      <c r="J107" s="14">
        <v>961.95799999999997</v>
      </c>
      <c r="K107" s="14">
        <f t="shared" si="11"/>
        <v>26.721055555555555</v>
      </c>
      <c r="L107" s="49" t="s">
        <v>311</v>
      </c>
      <c r="M107" s="13"/>
      <c r="N107" s="13"/>
      <c r="O107" s="13"/>
      <c r="P107" s="13"/>
      <c r="Q107" s="13"/>
      <c r="R107" s="13"/>
      <c r="S107" s="13"/>
      <c r="T107" s="13"/>
      <c r="U107" s="13"/>
      <c r="V107" s="13"/>
      <c r="W107" s="13"/>
      <c r="X107" s="13"/>
      <c r="Y107" s="13"/>
      <c r="Z107" s="13">
        <v>0</v>
      </c>
      <c r="AA107" s="13">
        <v>0</v>
      </c>
      <c r="AB107" s="13">
        <v>26.79</v>
      </c>
      <c r="AC107" s="13">
        <v>28.747</v>
      </c>
      <c r="AD107" s="13">
        <v>28.603000000000002</v>
      </c>
      <c r="AE107" s="13">
        <v>32.683</v>
      </c>
      <c r="AF107" s="13">
        <v>34.250999999999998</v>
      </c>
      <c r="AG107" s="13">
        <v>32.838999999999999</v>
      </c>
      <c r="AH107" s="13">
        <v>32.347000000000001</v>
      </c>
      <c r="AI107" s="14">
        <f t="shared" si="7"/>
        <v>216.26000000000002</v>
      </c>
    </row>
    <row r="108" spans="1:35" s="117" customFormat="1" ht="18" customHeight="1" x14ac:dyDescent="0.2">
      <c r="A108" s="27" t="str">
        <f t="shared" si="12"/>
        <v>법인</v>
      </c>
      <c r="B108" s="27" t="s">
        <v>1566</v>
      </c>
      <c r="C108" s="27" t="s">
        <v>1496</v>
      </c>
      <c r="D108" s="109">
        <v>1288206410</v>
      </c>
      <c r="E108" s="118">
        <v>10033023</v>
      </c>
      <c r="F108" s="110" t="s">
        <v>388</v>
      </c>
      <c r="G108" s="111" t="s">
        <v>320</v>
      </c>
      <c r="H108" s="112">
        <v>46073</v>
      </c>
      <c r="I108" s="113">
        <v>46072</v>
      </c>
      <c r="J108" s="120">
        <v>115</v>
      </c>
      <c r="K108" s="14">
        <f t="shared" si="11"/>
        <v>3.1944444444444446</v>
      </c>
      <c r="L108" s="115" t="s">
        <v>311</v>
      </c>
      <c r="M108" s="116"/>
      <c r="N108" s="116"/>
      <c r="O108" s="116"/>
      <c r="P108" s="116"/>
      <c r="Q108" s="116"/>
      <c r="R108" s="116"/>
      <c r="S108" s="116"/>
      <c r="T108" s="116"/>
      <c r="U108" s="116"/>
      <c r="V108" s="116"/>
      <c r="W108" s="116"/>
      <c r="X108" s="116"/>
      <c r="Y108" s="116"/>
      <c r="Z108" s="116">
        <v>0</v>
      </c>
      <c r="AA108" s="116">
        <v>0</v>
      </c>
      <c r="AB108" s="116">
        <v>0</v>
      </c>
      <c r="AC108" s="116">
        <v>0</v>
      </c>
      <c r="AD108" s="116">
        <v>0</v>
      </c>
      <c r="AE108" s="116">
        <v>0</v>
      </c>
      <c r="AF108" s="116">
        <v>0</v>
      </c>
      <c r="AG108" s="116">
        <v>0</v>
      </c>
      <c r="AH108" s="13">
        <v>115</v>
      </c>
      <c r="AI108" s="114">
        <f t="shared" si="7"/>
        <v>115</v>
      </c>
    </row>
    <row r="109" spans="1:35" ht="18" customHeight="1" x14ac:dyDescent="0.2">
      <c r="A109" s="27" t="str">
        <f t="shared" si="12"/>
        <v>법인</v>
      </c>
      <c r="B109" s="27" t="s">
        <v>1556</v>
      </c>
      <c r="C109" s="27" t="s">
        <v>1496</v>
      </c>
      <c r="D109" s="26">
        <v>6058204243</v>
      </c>
      <c r="E109" s="89">
        <v>10040639</v>
      </c>
      <c r="F109" s="25" t="s">
        <v>185</v>
      </c>
      <c r="G109" s="48" t="s">
        <v>322</v>
      </c>
      <c r="H109" s="53">
        <v>45905</v>
      </c>
      <c r="I109" s="50">
        <v>45979</v>
      </c>
      <c r="J109" s="14">
        <v>2143.89</v>
      </c>
      <c r="K109" s="14">
        <f t="shared" si="11"/>
        <v>59.552499999999995</v>
      </c>
      <c r="L109" s="49" t="s">
        <v>311</v>
      </c>
      <c r="M109" s="13"/>
      <c r="N109" s="13"/>
      <c r="O109" s="13"/>
      <c r="P109" s="13"/>
      <c r="Q109" s="13"/>
      <c r="R109" s="13"/>
      <c r="S109" s="13"/>
      <c r="T109" s="13"/>
      <c r="U109" s="13"/>
      <c r="V109" s="13"/>
      <c r="W109" s="13"/>
      <c r="X109" s="13"/>
      <c r="Y109" s="13"/>
      <c r="Z109" s="13">
        <v>0</v>
      </c>
      <c r="AA109" s="13">
        <v>0</v>
      </c>
      <c r="AB109" s="13">
        <v>0</v>
      </c>
      <c r="AC109" s="13">
        <v>9.4730000000000008</v>
      </c>
      <c r="AD109" s="13">
        <v>0</v>
      </c>
      <c r="AE109" s="13">
        <v>8.2089999999999996</v>
      </c>
      <c r="AF109" s="13">
        <v>0</v>
      </c>
      <c r="AG109" s="13">
        <v>14.536</v>
      </c>
      <c r="AH109" s="13">
        <v>29.472000000000001</v>
      </c>
      <c r="AI109" s="14">
        <f t="shared" si="7"/>
        <v>61.690000000000005</v>
      </c>
    </row>
    <row r="110" spans="1:35" ht="18" customHeight="1" x14ac:dyDescent="0.2">
      <c r="A110" s="27" t="str">
        <f t="shared" si="12"/>
        <v>개인</v>
      </c>
      <c r="B110" s="27" t="s">
        <v>1555</v>
      </c>
      <c r="C110" s="27" t="s">
        <v>1554</v>
      </c>
      <c r="D110" s="26">
        <v>4109207035</v>
      </c>
      <c r="E110" s="89">
        <v>10038249</v>
      </c>
      <c r="F110" s="25" t="s">
        <v>180</v>
      </c>
      <c r="G110" s="48" t="s">
        <v>322</v>
      </c>
      <c r="H110" s="53">
        <v>45911</v>
      </c>
      <c r="I110" s="50">
        <v>46006</v>
      </c>
      <c r="J110" s="14">
        <v>1096.4629</v>
      </c>
      <c r="K110" s="14">
        <f t="shared" si="11"/>
        <v>30.457302777777777</v>
      </c>
      <c r="L110" s="49" t="s">
        <v>311</v>
      </c>
      <c r="M110" s="13"/>
      <c r="N110" s="13"/>
      <c r="O110" s="13"/>
      <c r="P110" s="13"/>
      <c r="Q110" s="13"/>
      <c r="R110" s="13"/>
      <c r="S110" s="13"/>
      <c r="T110" s="13"/>
      <c r="U110" s="13"/>
      <c r="V110" s="13"/>
      <c r="W110" s="13"/>
      <c r="X110" s="13"/>
      <c r="Y110" s="13"/>
      <c r="Z110" s="13">
        <v>0</v>
      </c>
      <c r="AA110" s="13">
        <v>0</v>
      </c>
      <c r="AB110" s="13">
        <v>0</v>
      </c>
      <c r="AC110" s="13">
        <v>15.984</v>
      </c>
      <c r="AD110" s="13">
        <v>25.181999999999999</v>
      </c>
      <c r="AE110" s="13">
        <v>24.911999999999999</v>
      </c>
      <c r="AF110" s="13">
        <v>27.422000000000001</v>
      </c>
      <c r="AG110" s="13">
        <v>27.963000000000001</v>
      </c>
      <c r="AH110" s="13">
        <v>26.85</v>
      </c>
      <c r="AI110" s="14">
        <f t="shared" si="7"/>
        <v>148.31299999999999</v>
      </c>
    </row>
    <row r="111" spans="1:35" ht="18" customHeight="1" x14ac:dyDescent="0.2">
      <c r="A111" s="27" t="str">
        <f t="shared" si="12"/>
        <v>개인</v>
      </c>
      <c r="B111" s="27" t="s">
        <v>1558</v>
      </c>
      <c r="C111" s="27" t="s">
        <v>1554</v>
      </c>
      <c r="D111" s="26">
        <v>4099164290</v>
      </c>
      <c r="E111" s="89">
        <v>10002829</v>
      </c>
      <c r="F111" s="25" t="s">
        <v>179</v>
      </c>
      <c r="G111" s="48" t="s">
        <v>322</v>
      </c>
      <c r="H111" s="53">
        <v>45911</v>
      </c>
      <c r="I111" s="50">
        <v>46006</v>
      </c>
      <c r="J111" s="14">
        <v>1553.1581000000001</v>
      </c>
      <c r="K111" s="14">
        <f t="shared" si="11"/>
        <v>43.143280555555556</v>
      </c>
      <c r="L111" s="49" t="s">
        <v>311</v>
      </c>
      <c r="M111" s="120"/>
      <c r="N111" s="13"/>
      <c r="O111" s="13"/>
      <c r="P111" s="13"/>
      <c r="Q111" s="13"/>
      <c r="R111" s="13"/>
      <c r="S111" s="13"/>
      <c r="T111" s="13"/>
      <c r="U111" s="13"/>
      <c r="V111" s="13"/>
      <c r="W111" s="13"/>
      <c r="X111" s="13"/>
      <c r="Y111" s="13"/>
      <c r="Z111" s="13">
        <v>0</v>
      </c>
      <c r="AA111" s="13">
        <v>0</v>
      </c>
      <c r="AB111" s="13">
        <v>0</v>
      </c>
      <c r="AC111" s="13">
        <v>26.527999999999999</v>
      </c>
      <c r="AD111" s="13">
        <v>24.24</v>
      </c>
      <c r="AE111" s="13">
        <v>20.847999999999999</v>
      </c>
      <c r="AF111" s="13">
        <v>25.312000000000001</v>
      </c>
      <c r="AG111" s="13">
        <v>23.391999999999999</v>
      </c>
      <c r="AH111" s="13">
        <v>19.295999999999999</v>
      </c>
      <c r="AI111" s="14">
        <f t="shared" si="7"/>
        <v>139.61599999999999</v>
      </c>
    </row>
    <row r="112" spans="1:35" ht="18" customHeight="1" x14ac:dyDescent="0.2">
      <c r="A112" s="27" t="str">
        <f t="shared" si="12"/>
        <v>법인</v>
      </c>
      <c r="B112" s="27" t="s">
        <v>1555</v>
      </c>
      <c r="C112" s="27" t="s">
        <v>1496</v>
      </c>
      <c r="D112" s="26">
        <v>1228230509</v>
      </c>
      <c r="E112" s="89">
        <v>10032388</v>
      </c>
      <c r="F112" s="25" t="s">
        <v>165</v>
      </c>
      <c r="G112" s="48" t="s">
        <v>322</v>
      </c>
      <c r="H112" s="53">
        <v>45880</v>
      </c>
      <c r="I112" s="50">
        <v>45979</v>
      </c>
      <c r="J112" s="14">
        <v>420.22199999999998</v>
      </c>
      <c r="K112" s="14">
        <f t="shared" si="11"/>
        <v>11.672833333333333</v>
      </c>
      <c r="L112" s="49" t="s">
        <v>311</v>
      </c>
      <c r="M112" s="13"/>
      <c r="N112" s="13"/>
      <c r="O112" s="13"/>
      <c r="P112" s="13"/>
      <c r="Q112" s="13"/>
      <c r="R112" s="13"/>
      <c r="S112" s="13"/>
      <c r="T112" s="13"/>
      <c r="U112" s="13"/>
      <c r="V112" s="13"/>
      <c r="W112" s="13"/>
      <c r="X112" s="13"/>
      <c r="Y112" s="13"/>
      <c r="Z112" s="13">
        <v>0</v>
      </c>
      <c r="AA112" s="13">
        <v>0</v>
      </c>
      <c r="AB112" s="13">
        <v>3.919</v>
      </c>
      <c r="AC112" s="13">
        <v>2.3439999999999999</v>
      </c>
      <c r="AD112" s="13">
        <v>7.4669999999999996</v>
      </c>
      <c r="AE112" s="13">
        <v>8.2129999999999992</v>
      </c>
      <c r="AF112" s="13">
        <v>7.0460000000000003</v>
      </c>
      <c r="AG112" s="13">
        <v>8.1579999999999995</v>
      </c>
      <c r="AH112" s="13">
        <v>7.9509999999999996</v>
      </c>
      <c r="AI112" s="14">
        <f t="shared" si="7"/>
        <v>45.097999999999999</v>
      </c>
    </row>
    <row r="113" spans="1:35" ht="18" customHeight="1" x14ac:dyDescent="0.2">
      <c r="A113" s="27" t="str">
        <f t="shared" si="12"/>
        <v>개인</v>
      </c>
      <c r="B113" s="27" t="s">
        <v>1576</v>
      </c>
      <c r="C113" s="27" t="s">
        <v>1554</v>
      </c>
      <c r="D113" s="26">
        <v>3052995077</v>
      </c>
      <c r="E113" s="89">
        <v>10061981</v>
      </c>
      <c r="F113" s="25" t="s">
        <v>175</v>
      </c>
      <c r="G113" s="48" t="s">
        <v>322</v>
      </c>
      <c r="H113" s="53">
        <v>45916</v>
      </c>
      <c r="I113" s="50">
        <v>45986</v>
      </c>
      <c r="J113" s="14">
        <v>513.91079999999999</v>
      </c>
      <c r="K113" s="14">
        <f t="shared" si="11"/>
        <v>14.2753</v>
      </c>
      <c r="L113" s="49" t="s">
        <v>311</v>
      </c>
      <c r="M113" s="13"/>
      <c r="N113" s="13"/>
      <c r="O113" s="13"/>
      <c r="P113" s="13"/>
      <c r="Q113" s="13"/>
      <c r="R113" s="13"/>
      <c r="S113" s="13"/>
      <c r="T113" s="13"/>
      <c r="U113" s="13"/>
      <c r="V113" s="13"/>
      <c r="W113" s="13"/>
      <c r="X113" s="13"/>
      <c r="Y113" s="13"/>
      <c r="Z113" s="13">
        <v>0</v>
      </c>
      <c r="AA113" s="13">
        <v>0</v>
      </c>
      <c r="AB113" s="144">
        <v>2.3140000000000001</v>
      </c>
      <c r="AC113" s="13">
        <v>3.6269999999999998</v>
      </c>
      <c r="AD113" s="13">
        <v>4.3940000000000001</v>
      </c>
      <c r="AE113" s="13">
        <v>4.1079999999999997</v>
      </c>
      <c r="AF113" s="13">
        <v>4.03</v>
      </c>
      <c r="AG113" s="13">
        <v>5.0570000000000004</v>
      </c>
      <c r="AH113" s="13">
        <v>5.0570000000000004</v>
      </c>
      <c r="AI113" s="14">
        <f t="shared" si="7"/>
        <v>28.587000000000003</v>
      </c>
    </row>
    <row r="114" spans="1:35" ht="18" customHeight="1" x14ac:dyDescent="0.2">
      <c r="A114" s="27" t="str">
        <f t="shared" si="12"/>
        <v>개인</v>
      </c>
      <c r="B114" s="27" t="s">
        <v>1566</v>
      </c>
      <c r="C114" s="27" t="s">
        <v>1554</v>
      </c>
      <c r="D114" s="26">
        <v>1469901371</v>
      </c>
      <c r="E114" s="89">
        <v>10075257</v>
      </c>
      <c r="F114" s="25" t="s">
        <v>389</v>
      </c>
      <c r="G114" s="48" t="s">
        <v>322</v>
      </c>
      <c r="H114" s="53">
        <v>45989</v>
      </c>
      <c r="I114" s="50">
        <v>46003</v>
      </c>
      <c r="J114" s="14">
        <v>330</v>
      </c>
      <c r="K114" s="14">
        <f t="shared" si="11"/>
        <v>9.1666666666666661</v>
      </c>
      <c r="L114" s="49" t="s">
        <v>311</v>
      </c>
      <c r="M114" s="13"/>
      <c r="N114" s="13"/>
      <c r="O114" s="13"/>
      <c r="P114" s="13"/>
      <c r="Q114" s="13"/>
      <c r="R114" s="13"/>
      <c r="S114" s="13"/>
      <c r="T114" s="13"/>
      <c r="U114" s="13"/>
      <c r="V114" s="13"/>
      <c r="W114" s="13"/>
      <c r="X114" s="13"/>
      <c r="Y114" s="13"/>
      <c r="Z114" s="13">
        <v>0</v>
      </c>
      <c r="AA114" s="13">
        <v>0</v>
      </c>
      <c r="AB114" s="13">
        <v>0</v>
      </c>
      <c r="AC114" s="13">
        <v>0</v>
      </c>
      <c r="AD114" s="13">
        <v>0</v>
      </c>
      <c r="AE114" s="13">
        <v>5.6159999999999997</v>
      </c>
      <c r="AF114" s="13">
        <v>9.4440000000000008</v>
      </c>
      <c r="AG114" s="13">
        <v>0</v>
      </c>
      <c r="AH114" s="13">
        <v>8.3870000000000005</v>
      </c>
      <c r="AI114" s="14">
        <f t="shared" si="7"/>
        <v>23.447000000000003</v>
      </c>
    </row>
    <row r="115" spans="1:35" ht="18" customHeight="1" x14ac:dyDescent="0.2">
      <c r="A115" s="27" t="str">
        <f t="shared" si="12"/>
        <v>개인</v>
      </c>
      <c r="B115" s="27" t="s">
        <v>1556</v>
      </c>
      <c r="C115" s="27" t="s">
        <v>1554</v>
      </c>
      <c r="D115" s="26">
        <v>4102672846</v>
      </c>
      <c r="E115" s="89">
        <v>10038148</v>
      </c>
      <c r="F115" s="25" t="s">
        <v>390</v>
      </c>
      <c r="G115" s="48" t="s">
        <v>322</v>
      </c>
      <c r="H115" s="53">
        <v>45968</v>
      </c>
      <c r="I115" s="50">
        <v>46028</v>
      </c>
      <c r="J115" s="14">
        <v>249.23699999999999</v>
      </c>
      <c r="K115" s="14">
        <f t="shared" si="11"/>
        <v>6.9232499999999995</v>
      </c>
      <c r="L115" s="49" t="s">
        <v>311</v>
      </c>
      <c r="M115" s="13"/>
      <c r="N115" s="13"/>
      <c r="O115" s="13"/>
      <c r="P115" s="13"/>
      <c r="Q115" s="13"/>
      <c r="R115" s="13"/>
      <c r="S115" s="13"/>
      <c r="T115" s="13"/>
      <c r="U115" s="13"/>
      <c r="V115" s="13"/>
      <c r="W115" s="13"/>
      <c r="X115" s="13"/>
      <c r="Y115" s="13"/>
      <c r="Z115" s="13">
        <v>0</v>
      </c>
      <c r="AA115" s="13">
        <v>0</v>
      </c>
      <c r="AB115" s="13">
        <v>0</v>
      </c>
      <c r="AC115" s="13">
        <v>1.353</v>
      </c>
      <c r="AD115" s="13">
        <v>12.731999999999999</v>
      </c>
      <c r="AE115" s="13">
        <v>7.7290000000000001</v>
      </c>
      <c r="AF115" s="13">
        <v>8.8070000000000004</v>
      </c>
      <c r="AG115" s="13">
        <v>9.7720000000000002</v>
      </c>
      <c r="AH115" s="13">
        <v>11.18</v>
      </c>
      <c r="AI115" s="14">
        <f t="shared" si="7"/>
        <v>51.573</v>
      </c>
    </row>
    <row r="116" spans="1:35" ht="18" customHeight="1" x14ac:dyDescent="0.2">
      <c r="A116" s="27" t="str">
        <f t="shared" si="12"/>
        <v>개인</v>
      </c>
      <c r="B116" s="27" t="s">
        <v>1559</v>
      </c>
      <c r="C116" s="27" t="s">
        <v>1554</v>
      </c>
      <c r="D116" s="26">
        <v>6091320031</v>
      </c>
      <c r="E116" s="89">
        <v>10040990</v>
      </c>
      <c r="F116" s="25" t="s">
        <v>186</v>
      </c>
      <c r="G116" s="48" t="s">
        <v>322</v>
      </c>
      <c r="H116" s="53">
        <v>45924</v>
      </c>
      <c r="I116" s="50">
        <v>45964</v>
      </c>
      <c r="J116" s="14">
        <v>354.88310000000001</v>
      </c>
      <c r="K116" s="14">
        <f t="shared" si="11"/>
        <v>9.8578638888888896</v>
      </c>
      <c r="L116" s="49" t="s">
        <v>311</v>
      </c>
      <c r="M116" s="13"/>
      <c r="N116" s="13"/>
      <c r="O116" s="13"/>
      <c r="P116" s="13"/>
      <c r="Q116" s="13"/>
      <c r="R116" s="13"/>
      <c r="S116" s="13"/>
      <c r="T116" s="13"/>
      <c r="U116" s="13"/>
      <c r="V116" s="13"/>
      <c r="W116" s="13"/>
      <c r="X116" s="13"/>
      <c r="Y116" s="13"/>
      <c r="Z116" s="13">
        <v>0</v>
      </c>
      <c r="AA116" s="13">
        <v>0</v>
      </c>
      <c r="AB116" s="13">
        <v>0.96</v>
      </c>
      <c r="AC116" s="13">
        <v>2.2400000000000002</v>
      </c>
      <c r="AD116" s="13">
        <v>3.36</v>
      </c>
      <c r="AE116" s="13">
        <v>2.3519999999999999</v>
      </c>
      <c r="AF116" s="13">
        <v>2.2240000000000002</v>
      </c>
      <c r="AG116" s="13">
        <v>2.5680000000000001</v>
      </c>
      <c r="AH116" s="13">
        <v>4.5979999999999999</v>
      </c>
      <c r="AI116" s="14">
        <f t="shared" si="7"/>
        <v>18.302</v>
      </c>
    </row>
    <row r="117" spans="1:35" ht="18" customHeight="1" x14ac:dyDescent="0.2">
      <c r="A117" s="27" t="str">
        <f t="shared" si="12"/>
        <v>법인</v>
      </c>
      <c r="B117" s="27" t="s">
        <v>1582</v>
      </c>
      <c r="C117" s="27" t="s">
        <v>1496</v>
      </c>
      <c r="D117" s="26">
        <v>2088201633</v>
      </c>
      <c r="E117" s="89">
        <v>10006513</v>
      </c>
      <c r="F117" s="25" t="s">
        <v>170</v>
      </c>
      <c r="G117" s="48" t="s">
        <v>322</v>
      </c>
      <c r="H117" s="53">
        <v>45959</v>
      </c>
      <c r="I117" s="50">
        <v>45975</v>
      </c>
      <c r="J117" s="14">
        <v>198</v>
      </c>
      <c r="K117" s="14">
        <f t="shared" si="11"/>
        <v>5.5</v>
      </c>
      <c r="L117" s="49" t="s">
        <v>311</v>
      </c>
      <c r="M117" s="13"/>
      <c r="N117" s="13"/>
      <c r="O117" s="13"/>
      <c r="P117" s="13"/>
      <c r="Q117" s="13"/>
      <c r="R117" s="13"/>
      <c r="S117" s="13"/>
      <c r="T117" s="13"/>
      <c r="U117" s="13"/>
      <c r="V117" s="13"/>
      <c r="W117" s="13"/>
      <c r="X117" s="13"/>
      <c r="Y117" s="13"/>
      <c r="Z117" s="13">
        <v>0</v>
      </c>
      <c r="AA117" s="13">
        <v>0</v>
      </c>
      <c r="AB117" s="13">
        <v>0</v>
      </c>
      <c r="AC117" s="13">
        <v>0</v>
      </c>
      <c r="AD117" s="13">
        <v>4.5869999999999997</v>
      </c>
      <c r="AE117" s="13">
        <v>0</v>
      </c>
      <c r="AF117" s="13">
        <v>6.0839999999999996</v>
      </c>
      <c r="AG117" s="13">
        <v>2.73</v>
      </c>
      <c r="AH117" s="13">
        <v>3.601</v>
      </c>
      <c r="AI117" s="14">
        <f t="shared" si="7"/>
        <v>17.001999999999999</v>
      </c>
    </row>
    <row r="118" spans="1:35" ht="18" customHeight="1" x14ac:dyDescent="0.2">
      <c r="A118" s="27" t="str">
        <f t="shared" si="12"/>
        <v>개인</v>
      </c>
      <c r="B118" s="27" t="s">
        <v>1556</v>
      </c>
      <c r="C118" s="27" t="s">
        <v>1554</v>
      </c>
      <c r="D118" s="26">
        <v>6179208917</v>
      </c>
      <c r="E118" s="89">
        <v>10015909</v>
      </c>
      <c r="F118" s="25" t="s">
        <v>419</v>
      </c>
      <c r="G118" s="48" t="s">
        <v>322</v>
      </c>
      <c r="H118" s="53">
        <v>45989</v>
      </c>
      <c r="I118" s="50">
        <v>46035</v>
      </c>
      <c r="J118" s="14">
        <v>983.75914</v>
      </c>
      <c r="K118" s="14">
        <f t="shared" si="11"/>
        <v>27.326642777777778</v>
      </c>
      <c r="L118" s="49" t="s">
        <v>311</v>
      </c>
      <c r="M118" s="13"/>
      <c r="N118" s="13"/>
      <c r="O118" s="13"/>
      <c r="P118" s="13"/>
      <c r="Q118" s="13"/>
      <c r="R118" s="13"/>
      <c r="S118" s="13"/>
      <c r="T118" s="13"/>
      <c r="U118" s="13"/>
      <c r="V118" s="13"/>
      <c r="W118" s="13"/>
      <c r="X118" s="13"/>
      <c r="Y118" s="13"/>
      <c r="Z118" s="13">
        <v>0</v>
      </c>
      <c r="AA118" s="13">
        <v>0</v>
      </c>
      <c r="AB118" s="13">
        <v>0</v>
      </c>
      <c r="AC118" s="13">
        <v>8.9440000000000008</v>
      </c>
      <c r="AD118" s="13">
        <v>16.132999999999999</v>
      </c>
      <c r="AE118" s="13">
        <v>0</v>
      </c>
      <c r="AF118" s="13">
        <v>0</v>
      </c>
      <c r="AG118" s="13">
        <v>0</v>
      </c>
      <c r="AH118" s="13">
        <v>0</v>
      </c>
      <c r="AI118" s="14">
        <f t="shared" si="7"/>
        <v>25.076999999999998</v>
      </c>
    </row>
    <row r="119" spans="1:35" ht="18" customHeight="1" x14ac:dyDescent="0.2">
      <c r="A119" s="27" t="str">
        <f t="shared" si="12"/>
        <v>개인</v>
      </c>
      <c r="B119" s="27" t="s">
        <v>1558</v>
      </c>
      <c r="C119" s="27" t="s">
        <v>1554</v>
      </c>
      <c r="D119" s="26">
        <v>2249051334</v>
      </c>
      <c r="E119" s="89">
        <v>10019113</v>
      </c>
      <c r="F119" s="25" t="s">
        <v>420</v>
      </c>
      <c r="G119" s="48" t="s">
        <v>322</v>
      </c>
      <c r="H119" s="53">
        <v>46008</v>
      </c>
      <c r="I119" s="50">
        <v>46063</v>
      </c>
      <c r="J119" s="14">
        <v>287.37400000000002</v>
      </c>
      <c r="K119" s="14">
        <f t="shared" si="11"/>
        <v>7.9826111111111118</v>
      </c>
      <c r="L119" s="49" t="s">
        <v>311</v>
      </c>
      <c r="M119" s="13"/>
      <c r="N119" s="13"/>
      <c r="O119" s="13"/>
      <c r="P119" s="13"/>
      <c r="Q119" s="13"/>
      <c r="R119" s="13"/>
      <c r="S119" s="13"/>
      <c r="T119" s="13"/>
      <c r="U119" s="13"/>
      <c r="V119" s="13"/>
      <c r="W119" s="13"/>
      <c r="X119" s="13"/>
      <c r="Y119" s="13"/>
      <c r="Z119" s="13">
        <v>0</v>
      </c>
      <c r="AA119" s="13">
        <v>0</v>
      </c>
      <c r="AB119" s="13">
        <v>0</v>
      </c>
      <c r="AC119" s="13">
        <v>0.94699999999999995</v>
      </c>
      <c r="AD119" s="13">
        <v>0</v>
      </c>
      <c r="AE119" s="13">
        <v>4.5090000000000003</v>
      </c>
      <c r="AF119" s="13">
        <v>1.853</v>
      </c>
      <c r="AG119" s="13">
        <v>2.4500000000000002</v>
      </c>
      <c r="AH119" s="13">
        <v>2.117</v>
      </c>
      <c r="AI119" s="14">
        <f t="shared" si="7"/>
        <v>11.876000000000001</v>
      </c>
    </row>
    <row r="120" spans="1:35" ht="18" customHeight="1" x14ac:dyDescent="0.2">
      <c r="A120" s="27" t="str">
        <f t="shared" si="12"/>
        <v>개인</v>
      </c>
      <c r="B120" s="27" t="s">
        <v>1569</v>
      </c>
      <c r="C120" s="27" t="s">
        <v>1554</v>
      </c>
      <c r="D120" s="26">
        <v>4159055955</v>
      </c>
      <c r="E120" s="89">
        <v>10026494</v>
      </c>
      <c r="F120" s="25" t="s">
        <v>421</v>
      </c>
      <c r="G120" s="48" t="s">
        <v>322</v>
      </c>
      <c r="H120" s="53">
        <v>45980</v>
      </c>
      <c r="I120" s="50">
        <v>46042</v>
      </c>
      <c r="J120" s="14">
        <v>516.31819299999995</v>
      </c>
      <c r="K120" s="14">
        <f t="shared" si="11"/>
        <v>14.342172027777776</v>
      </c>
      <c r="L120" s="49" t="s">
        <v>311</v>
      </c>
      <c r="M120" s="13"/>
      <c r="N120" s="13"/>
      <c r="O120" s="13"/>
      <c r="P120" s="13"/>
      <c r="Q120" s="13"/>
      <c r="R120" s="13"/>
      <c r="S120" s="13"/>
      <c r="T120" s="13"/>
      <c r="U120" s="13"/>
      <c r="V120" s="13"/>
      <c r="W120" s="13"/>
      <c r="X120" s="13"/>
      <c r="Y120" s="13"/>
      <c r="Z120" s="13">
        <v>0</v>
      </c>
      <c r="AA120" s="13">
        <v>0</v>
      </c>
      <c r="AB120" s="13">
        <v>0</v>
      </c>
      <c r="AC120" s="13">
        <v>0</v>
      </c>
      <c r="AD120" s="13">
        <v>0</v>
      </c>
      <c r="AE120" s="13">
        <v>17.974</v>
      </c>
      <c r="AF120" s="13">
        <v>19.945</v>
      </c>
      <c r="AG120" s="13">
        <v>10.608000000000001</v>
      </c>
      <c r="AH120" s="13">
        <v>28.114999999999998</v>
      </c>
      <c r="AI120" s="14">
        <f t="shared" si="7"/>
        <v>76.641999999999996</v>
      </c>
    </row>
    <row r="121" spans="1:35" ht="18" customHeight="1" x14ac:dyDescent="0.2">
      <c r="A121" s="27" t="str">
        <f t="shared" si="12"/>
        <v>법인</v>
      </c>
      <c r="B121" s="27" t="s">
        <v>1556</v>
      </c>
      <c r="C121" s="27" t="s">
        <v>1496</v>
      </c>
      <c r="D121" s="26">
        <v>1228213795</v>
      </c>
      <c r="E121" s="89">
        <v>10032387</v>
      </c>
      <c r="F121" s="25" t="s">
        <v>422</v>
      </c>
      <c r="G121" s="48" t="s">
        <v>322</v>
      </c>
      <c r="H121" s="53">
        <v>45985</v>
      </c>
      <c r="I121" s="50">
        <v>46042</v>
      </c>
      <c r="J121" s="14">
        <v>1502.824646</v>
      </c>
      <c r="K121" s="14">
        <f t="shared" si="11"/>
        <v>41.745129055555559</v>
      </c>
      <c r="L121" s="49" t="s">
        <v>311</v>
      </c>
      <c r="M121" s="13"/>
      <c r="N121" s="13"/>
      <c r="O121" s="13"/>
      <c r="P121" s="13"/>
      <c r="Q121" s="13"/>
      <c r="R121" s="13"/>
      <c r="S121" s="13"/>
      <c r="T121" s="13"/>
      <c r="U121" s="13"/>
      <c r="V121" s="13"/>
      <c r="W121" s="13"/>
      <c r="X121" s="13"/>
      <c r="Y121" s="13"/>
      <c r="Z121" s="13">
        <v>0</v>
      </c>
      <c r="AA121" s="13">
        <v>0</v>
      </c>
      <c r="AB121" s="13">
        <v>0</v>
      </c>
      <c r="AC121" s="13">
        <v>0.67600000000000005</v>
      </c>
      <c r="AD121" s="13">
        <v>11.856</v>
      </c>
      <c r="AE121" s="13">
        <v>14.365</v>
      </c>
      <c r="AF121" s="13">
        <v>11.651</v>
      </c>
      <c r="AG121" s="13">
        <v>11.385</v>
      </c>
      <c r="AH121" s="13">
        <v>12.568</v>
      </c>
      <c r="AI121" s="14">
        <f t="shared" si="7"/>
        <v>62.500999999999998</v>
      </c>
    </row>
    <row r="122" spans="1:35" ht="18" customHeight="1" x14ac:dyDescent="0.2">
      <c r="A122" s="27" t="str">
        <f t="shared" si="12"/>
        <v>법인</v>
      </c>
      <c r="B122" s="27" t="s">
        <v>1566</v>
      </c>
      <c r="C122" s="27" t="s">
        <v>1496</v>
      </c>
      <c r="D122" s="26">
        <v>1308213383</v>
      </c>
      <c r="E122" s="89">
        <v>10033277</v>
      </c>
      <c r="F122" s="25" t="s">
        <v>423</v>
      </c>
      <c r="G122" s="48" t="s">
        <v>322</v>
      </c>
      <c r="H122" s="53">
        <v>45972</v>
      </c>
      <c r="I122" s="50">
        <v>46035</v>
      </c>
      <c r="J122" s="14">
        <v>490.97750000000002</v>
      </c>
      <c r="K122" s="14">
        <f t="shared" si="11"/>
        <v>13.63826388888889</v>
      </c>
      <c r="L122" s="49" t="s">
        <v>311</v>
      </c>
      <c r="M122" s="13"/>
      <c r="N122" s="13"/>
      <c r="O122" s="13"/>
      <c r="P122" s="13"/>
      <c r="Q122" s="13"/>
      <c r="R122" s="13"/>
      <c r="S122" s="13"/>
      <c r="T122" s="13"/>
      <c r="U122" s="13"/>
      <c r="V122" s="13"/>
      <c r="W122" s="13"/>
      <c r="X122" s="13"/>
      <c r="Y122" s="13"/>
      <c r="Z122" s="13">
        <v>0</v>
      </c>
      <c r="AA122" s="13">
        <v>0</v>
      </c>
      <c r="AB122" s="13">
        <v>0</v>
      </c>
      <c r="AC122" s="13">
        <v>0</v>
      </c>
      <c r="AD122" s="13">
        <v>0</v>
      </c>
      <c r="AE122" s="13">
        <v>31.184000000000001</v>
      </c>
      <c r="AF122" s="13">
        <v>17.824000000000002</v>
      </c>
      <c r="AG122" s="13">
        <v>17.088000000000001</v>
      </c>
      <c r="AH122" s="13">
        <v>19.888000000000002</v>
      </c>
      <c r="AI122" s="14">
        <f t="shared" si="7"/>
        <v>85.984000000000009</v>
      </c>
    </row>
    <row r="123" spans="1:35" ht="18" customHeight="1" x14ac:dyDescent="0.2">
      <c r="A123" s="27" t="str">
        <f t="shared" si="12"/>
        <v>법인</v>
      </c>
      <c r="B123" s="27" t="s">
        <v>1576</v>
      </c>
      <c r="C123" s="27" t="s">
        <v>1496</v>
      </c>
      <c r="D123" s="26">
        <v>1348207603</v>
      </c>
      <c r="E123" s="89">
        <v>10033614</v>
      </c>
      <c r="F123" s="25" t="s">
        <v>424</v>
      </c>
      <c r="G123" s="48" t="s">
        <v>322</v>
      </c>
      <c r="H123" s="53">
        <v>46007</v>
      </c>
      <c r="I123" s="50">
        <v>46020</v>
      </c>
      <c r="J123" s="14">
        <v>1621.24</v>
      </c>
      <c r="K123" s="14">
        <f t="shared" si="11"/>
        <v>45.034444444444446</v>
      </c>
      <c r="L123" s="49" t="s">
        <v>311</v>
      </c>
      <c r="M123" s="13"/>
      <c r="N123" s="13"/>
      <c r="O123" s="13"/>
      <c r="P123" s="13"/>
      <c r="Q123" s="13"/>
      <c r="R123" s="13"/>
      <c r="S123" s="13"/>
      <c r="T123" s="13"/>
      <c r="U123" s="13"/>
      <c r="V123" s="13"/>
      <c r="W123" s="13"/>
      <c r="X123" s="13"/>
      <c r="Y123" s="13"/>
      <c r="Z123" s="13">
        <v>0</v>
      </c>
      <c r="AA123" s="13">
        <v>0</v>
      </c>
      <c r="AB123" s="13">
        <v>0</v>
      </c>
      <c r="AC123" s="13">
        <v>0</v>
      </c>
      <c r="AD123" s="13">
        <v>0</v>
      </c>
      <c r="AE123" s="13">
        <v>7.7064000000000004</v>
      </c>
      <c r="AF123" s="13">
        <v>14.976000000000001</v>
      </c>
      <c r="AG123" s="13">
        <v>12.09</v>
      </c>
      <c r="AH123" s="13">
        <v>26.988</v>
      </c>
      <c r="AI123" s="14">
        <f t="shared" si="7"/>
        <v>61.760400000000004</v>
      </c>
    </row>
    <row r="124" spans="1:35" ht="18" customHeight="1" x14ac:dyDescent="0.2">
      <c r="A124" s="27" t="str">
        <f t="shared" si="12"/>
        <v>법인</v>
      </c>
      <c r="B124" s="27" t="s">
        <v>1563</v>
      </c>
      <c r="C124" s="27" t="s">
        <v>1496</v>
      </c>
      <c r="D124" s="26">
        <v>1378209745</v>
      </c>
      <c r="E124" s="89">
        <v>10033888</v>
      </c>
      <c r="F124" s="25" t="s">
        <v>425</v>
      </c>
      <c r="G124" s="48" t="s">
        <v>322</v>
      </c>
      <c r="H124" s="53">
        <v>46009</v>
      </c>
      <c r="I124" s="50">
        <v>46042</v>
      </c>
      <c r="J124" s="14">
        <v>949</v>
      </c>
      <c r="K124" s="14">
        <f t="shared" si="11"/>
        <v>26.361111111111111</v>
      </c>
      <c r="L124" s="49" t="s">
        <v>311</v>
      </c>
      <c r="M124" s="13"/>
      <c r="N124" s="13"/>
      <c r="O124" s="13"/>
      <c r="P124" s="13"/>
      <c r="Q124" s="13"/>
      <c r="R124" s="13"/>
      <c r="S124" s="13"/>
      <c r="T124" s="13"/>
      <c r="U124" s="13"/>
      <c r="V124" s="13"/>
      <c r="W124" s="13"/>
      <c r="X124" s="13"/>
      <c r="Y124" s="13"/>
      <c r="Z124" s="13">
        <v>0</v>
      </c>
      <c r="AA124" s="13">
        <v>0</v>
      </c>
      <c r="AB124" s="13">
        <v>0</v>
      </c>
      <c r="AC124" s="13">
        <v>10.593999999999999</v>
      </c>
      <c r="AD124" s="13">
        <v>25.524999999999999</v>
      </c>
      <c r="AE124" s="13">
        <v>31.449000000000002</v>
      </c>
      <c r="AF124" s="13">
        <v>30.081</v>
      </c>
      <c r="AG124" s="13">
        <v>18.353000000000002</v>
      </c>
      <c r="AH124" s="13">
        <v>17.370999999999999</v>
      </c>
      <c r="AI124" s="14">
        <f t="shared" si="7"/>
        <v>133.37300000000002</v>
      </c>
    </row>
    <row r="125" spans="1:35" ht="18" customHeight="1" x14ac:dyDescent="0.2">
      <c r="A125" s="27" t="str">
        <f t="shared" si="12"/>
        <v>법인</v>
      </c>
      <c r="B125" s="27" t="s">
        <v>1568</v>
      </c>
      <c r="C125" s="27" t="s">
        <v>1496</v>
      </c>
      <c r="D125" s="26">
        <v>1398200376</v>
      </c>
      <c r="E125" s="89">
        <v>10033992</v>
      </c>
      <c r="F125" s="25" t="s">
        <v>255</v>
      </c>
      <c r="G125" s="48" t="s">
        <v>320</v>
      </c>
      <c r="H125" s="53">
        <v>45988</v>
      </c>
      <c r="I125" s="50">
        <v>46042</v>
      </c>
      <c r="J125" s="14">
        <v>99.882000000000005</v>
      </c>
      <c r="K125" s="14">
        <f>J125</f>
        <v>99.882000000000005</v>
      </c>
      <c r="L125" s="49" t="s">
        <v>311</v>
      </c>
      <c r="M125" s="13"/>
      <c r="N125" s="13"/>
      <c r="O125" s="13"/>
      <c r="P125" s="13"/>
      <c r="Q125" s="13"/>
      <c r="R125" s="13"/>
      <c r="S125" s="13"/>
      <c r="T125" s="13"/>
      <c r="U125" s="13"/>
      <c r="V125" s="13"/>
      <c r="W125" s="13"/>
      <c r="X125" s="13"/>
      <c r="Y125" s="13"/>
      <c r="Z125" s="13">
        <v>0</v>
      </c>
      <c r="AA125" s="13">
        <v>0</v>
      </c>
      <c r="AB125" s="13">
        <v>0</v>
      </c>
      <c r="AC125" s="13">
        <v>0</v>
      </c>
      <c r="AD125" s="13">
        <v>0</v>
      </c>
      <c r="AE125" s="13">
        <v>0</v>
      </c>
      <c r="AF125" s="13">
        <v>0</v>
      </c>
      <c r="AG125" s="13">
        <v>99.882000000000005</v>
      </c>
      <c r="AH125" s="13">
        <v>0</v>
      </c>
      <c r="AI125" s="14">
        <f t="shared" si="7"/>
        <v>99.882000000000005</v>
      </c>
    </row>
    <row r="126" spans="1:35" ht="18" customHeight="1" x14ac:dyDescent="0.2">
      <c r="A126" s="27" t="str">
        <f t="shared" si="12"/>
        <v>법인</v>
      </c>
      <c r="B126" s="27" t="s">
        <v>1577</v>
      </c>
      <c r="C126" s="27" t="s">
        <v>1496</v>
      </c>
      <c r="D126" s="26">
        <v>2738200017</v>
      </c>
      <c r="E126" s="89">
        <v>10035968</v>
      </c>
      <c r="F126" s="25" t="s">
        <v>426</v>
      </c>
      <c r="G126" s="48" t="s">
        <v>322</v>
      </c>
      <c r="H126" s="53">
        <v>45895</v>
      </c>
      <c r="I126" s="50">
        <v>46000</v>
      </c>
      <c r="J126" s="14">
        <v>1856.6058499999999</v>
      </c>
      <c r="K126" s="14">
        <f t="shared" si="11"/>
        <v>51.572384722222218</v>
      </c>
      <c r="L126" s="49" t="s">
        <v>311</v>
      </c>
      <c r="M126" s="13"/>
      <c r="N126" s="13"/>
      <c r="O126" s="13"/>
      <c r="P126" s="13"/>
      <c r="Q126" s="13"/>
      <c r="R126" s="13"/>
      <c r="S126" s="13"/>
      <c r="T126" s="13"/>
      <c r="U126" s="13"/>
      <c r="V126" s="13"/>
      <c r="W126" s="13"/>
      <c r="X126" s="13"/>
      <c r="Y126" s="13"/>
      <c r="Z126" s="13">
        <v>0</v>
      </c>
      <c r="AA126" s="13">
        <v>0</v>
      </c>
      <c r="AB126" s="13">
        <v>0</v>
      </c>
      <c r="AC126" s="13">
        <v>0</v>
      </c>
      <c r="AD126" s="13">
        <v>13.5</v>
      </c>
      <c r="AE126" s="13">
        <v>0</v>
      </c>
      <c r="AF126" s="13">
        <v>10.692</v>
      </c>
      <c r="AG126" s="13">
        <v>0</v>
      </c>
      <c r="AH126" s="13">
        <v>13.7</v>
      </c>
      <c r="AI126" s="14">
        <f t="shared" si="7"/>
        <v>37.891999999999996</v>
      </c>
    </row>
    <row r="127" spans="1:35" ht="18" customHeight="1" x14ac:dyDescent="0.2">
      <c r="A127" s="27" t="str">
        <f t="shared" si="12"/>
        <v>법인</v>
      </c>
      <c r="B127" s="27" t="s">
        <v>1555</v>
      </c>
      <c r="C127" s="27" t="s">
        <v>1496</v>
      </c>
      <c r="D127" s="26">
        <v>4038202289</v>
      </c>
      <c r="E127" s="89">
        <v>10037680</v>
      </c>
      <c r="F127" s="25" t="s">
        <v>427</v>
      </c>
      <c r="G127" s="48" t="s">
        <v>322</v>
      </c>
      <c r="H127" s="53">
        <v>45889</v>
      </c>
      <c r="I127" s="50">
        <v>46000</v>
      </c>
      <c r="J127" s="14">
        <v>1553.171</v>
      </c>
      <c r="K127" s="14">
        <f t="shared" si="11"/>
        <v>43.143638888888887</v>
      </c>
      <c r="L127" s="49" t="s">
        <v>311</v>
      </c>
      <c r="M127" s="13"/>
      <c r="N127" s="13"/>
      <c r="O127" s="13"/>
      <c r="P127" s="13"/>
      <c r="Q127" s="13"/>
      <c r="R127" s="13"/>
      <c r="S127" s="13"/>
      <c r="T127" s="13"/>
      <c r="U127" s="13"/>
      <c r="V127" s="13"/>
      <c r="W127" s="13"/>
      <c r="X127" s="13"/>
      <c r="Y127" s="13"/>
      <c r="Z127" s="13">
        <v>0</v>
      </c>
      <c r="AA127" s="13">
        <v>0</v>
      </c>
      <c r="AB127" s="13">
        <v>0</v>
      </c>
      <c r="AC127" s="13">
        <v>0</v>
      </c>
      <c r="AD127" s="13">
        <v>36.81</v>
      </c>
      <c r="AE127" s="13">
        <v>17.91</v>
      </c>
      <c r="AF127" s="13">
        <v>23.524000000000001</v>
      </c>
      <c r="AG127" s="13">
        <v>28.731999999999999</v>
      </c>
      <c r="AH127" s="13">
        <v>27.783999999999999</v>
      </c>
      <c r="AI127" s="14">
        <f t="shared" si="7"/>
        <v>134.76</v>
      </c>
    </row>
    <row r="128" spans="1:35" ht="18" customHeight="1" x14ac:dyDescent="0.2">
      <c r="A128" s="27" t="str">
        <f t="shared" si="12"/>
        <v>법인</v>
      </c>
      <c r="B128" s="27" t="s">
        <v>1559</v>
      </c>
      <c r="C128" s="27" t="s">
        <v>1496</v>
      </c>
      <c r="D128" s="26">
        <v>4168211504</v>
      </c>
      <c r="E128" s="89">
        <v>10038513</v>
      </c>
      <c r="F128" s="25" t="s">
        <v>428</v>
      </c>
      <c r="G128" s="48" t="s">
        <v>322</v>
      </c>
      <c r="H128" s="53">
        <v>45912</v>
      </c>
      <c r="I128" s="50">
        <v>46035</v>
      </c>
      <c r="J128" s="14">
        <v>659.97699999999998</v>
      </c>
      <c r="K128" s="14">
        <f t="shared" si="11"/>
        <v>18.332694444444442</v>
      </c>
      <c r="L128" s="49" t="s">
        <v>311</v>
      </c>
      <c r="M128" s="13"/>
      <c r="N128" s="13"/>
      <c r="O128" s="13"/>
      <c r="P128" s="13"/>
      <c r="Q128" s="13"/>
      <c r="R128" s="13"/>
      <c r="S128" s="13"/>
      <c r="T128" s="13"/>
      <c r="U128" s="13"/>
      <c r="V128" s="13"/>
      <c r="W128" s="13"/>
      <c r="X128" s="13"/>
      <c r="Y128" s="13"/>
      <c r="Z128" s="13">
        <v>0</v>
      </c>
      <c r="AA128" s="13">
        <v>0</v>
      </c>
      <c r="AB128" s="13">
        <v>0</v>
      </c>
      <c r="AC128" s="13">
        <v>1.274</v>
      </c>
      <c r="AD128" s="13">
        <v>5.7039999999999997</v>
      </c>
      <c r="AE128" s="13">
        <v>5.17</v>
      </c>
      <c r="AF128" s="13">
        <v>7.8339999999999996</v>
      </c>
      <c r="AG128" s="13">
        <v>11.616</v>
      </c>
      <c r="AH128" s="13">
        <v>11.004</v>
      </c>
      <c r="AI128" s="14">
        <f t="shared" si="7"/>
        <v>42.601999999999997</v>
      </c>
    </row>
    <row r="129" spans="1:36" ht="18" customHeight="1" x14ac:dyDescent="0.2">
      <c r="A129" s="27" t="str">
        <f t="shared" si="12"/>
        <v>개인</v>
      </c>
      <c r="B129" s="27" t="s">
        <v>1559</v>
      </c>
      <c r="C129" s="27" t="s">
        <v>1554</v>
      </c>
      <c r="D129" s="26">
        <v>4189602686</v>
      </c>
      <c r="E129" s="89">
        <v>10038671</v>
      </c>
      <c r="F129" s="25" t="s">
        <v>429</v>
      </c>
      <c r="G129" s="48" t="s">
        <v>322</v>
      </c>
      <c r="H129" s="53">
        <v>45995</v>
      </c>
      <c r="I129" s="50">
        <v>46049</v>
      </c>
      <c r="J129" s="14">
        <v>370.80939999999998</v>
      </c>
      <c r="K129" s="14">
        <f t="shared" si="11"/>
        <v>10.30026111111111</v>
      </c>
      <c r="L129" s="49" t="s">
        <v>311</v>
      </c>
      <c r="M129" s="13"/>
      <c r="N129" s="13"/>
      <c r="O129" s="13"/>
      <c r="P129" s="13"/>
      <c r="Q129" s="13"/>
      <c r="R129" s="13"/>
      <c r="S129" s="13"/>
      <c r="T129" s="13"/>
      <c r="U129" s="13"/>
      <c r="V129" s="13"/>
      <c r="W129" s="13"/>
      <c r="X129" s="13"/>
      <c r="Y129" s="13"/>
      <c r="Z129" s="13">
        <v>0</v>
      </c>
      <c r="AA129" s="13">
        <v>0</v>
      </c>
      <c r="AB129" s="13">
        <v>0</v>
      </c>
      <c r="AC129" s="13">
        <v>0</v>
      </c>
      <c r="AD129" s="13">
        <v>0</v>
      </c>
      <c r="AE129" s="13">
        <v>13.125</v>
      </c>
      <c r="AF129" s="13">
        <v>15.087999999999999</v>
      </c>
      <c r="AG129" s="13">
        <v>16.696000000000002</v>
      </c>
      <c r="AH129" s="13">
        <v>15.641999999999999</v>
      </c>
      <c r="AI129" s="14">
        <f t="shared" si="7"/>
        <v>60.551000000000002</v>
      </c>
    </row>
    <row r="130" spans="1:36" ht="18" customHeight="1" x14ac:dyDescent="0.2">
      <c r="A130" s="27" t="str">
        <f t="shared" si="12"/>
        <v>개인</v>
      </c>
      <c r="B130" s="27" t="s">
        <v>1556</v>
      </c>
      <c r="C130" s="27" t="s">
        <v>1554</v>
      </c>
      <c r="D130" s="26">
        <v>8839200093</v>
      </c>
      <c r="E130" s="89">
        <v>10038792</v>
      </c>
      <c r="F130" s="25" t="s">
        <v>430</v>
      </c>
      <c r="G130" s="48" t="s">
        <v>322</v>
      </c>
      <c r="H130" s="53">
        <v>45838</v>
      </c>
      <c r="I130" s="50">
        <v>46063</v>
      </c>
      <c r="J130" s="14">
        <v>232.14</v>
      </c>
      <c r="K130" s="14">
        <f t="shared" si="11"/>
        <v>6.4483333333333333</v>
      </c>
      <c r="L130" s="49" t="s">
        <v>311</v>
      </c>
      <c r="M130" s="13"/>
      <c r="N130" s="13"/>
      <c r="O130" s="13"/>
      <c r="P130" s="13"/>
      <c r="Q130" s="13"/>
      <c r="R130" s="13"/>
      <c r="S130" s="13"/>
      <c r="T130" s="13"/>
      <c r="U130" s="13"/>
      <c r="V130" s="13"/>
      <c r="W130" s="13"/>
      <c r="X130" s="13"/>
      <c r="Y130" s="13"/>
      <c r="Z130" s="13">
        <v>0</v>
      </c>
      <c r="AA130" s="13">
        <v>0</v>
      </c>
      <c r="AB130" s="13">
        <v>0</v>
      </c>
      <c r="AC130" s="13">
        <v>1.0629999999999999</v>
      </c>
      <c r="AD130" s="13">
        <v>2.641</v>
      </c>
      <c r="AE130" s="13">
        <v>2.5449999999999999</v>
      </c>
      <c r="AF130" s="13">
        <v>1.9830000000000001</v>
      </c>
      <c r="AG130" s="13">
        <v>2.056</v>
      </c>
      <c r="AH130" s="13">
        <v>2.1320000000000001</v>
      </c>
      <c r="AI130" s="14">
        <f t="shared" si="7"/>
        <v>12.42</v>
      </c>
    </row>
    <row r="131" spans="1:36" ht="18" customHeight="1" x14ac:dyDescent="0.2">
      <c r="A131" s="27" t="str">
        <f t="shared" si="12"/>
        <v>개인</v>
      </c>
      <c r="B131" s="27" t="s">
        <v>1559</v>
      </c>
      <c r="C131" s="27" t="s">
        <v>1554</v>
      </c>
      <c r="D131" s="26">
        <v>6559100341</v>
      </c>
      <c r="E131" s="89">
        <v>10042063</v>
      </c>
      <c r="F131" s="25" t="s">
        <v>431</v>
      </c>
      <c r="G131" s="48" t="s">
        <v>322</v>
      </c>
      <c r="H131" s="53">
        <v>45880</v>
      </c>
      <c r="I131" s="50">
        <v>45993</v>
      </c>
      <c r="J131" s="14">
        <v>222.38900000000001</v>
      </c>
      <c r="K131" s="14">
        <f t="shared" si="11"/>
        <v>6.1774722222222227</v>
      </c>
      <c r="L131" s="49" t="s">
        <v>311</v>
      </c>
      <c r="M131" s="13"/>
      <c r="N131" s="13"/>
      <c r="O131" s="13"/>
      <c r="P131" s="13"/>
      <c r="Q131" s="13"/>
      <c r="R131" s="13"/>
      <c r="S131" s="13"/>
      <c r="T131" s="13"/>
      <c r="U131" s="13"/>
      <c r="V131" s="13"/>
      <c r="W131" s="13"/>
      <c r="X131" s="13"/>
      <c r="Y131" s="13"/>
      <c r="Z131" s="13">
        <v>0</v>
      </c>
      <c r="AA131" s="13">
        <v>0</v>
      </c>
      <c r="AB131" s="13">
        <v>0</v>
      </c>
      <c r="AC131" s="13">
        <v>0</v>
      </c>
      <c r="AD131" s="13">
        <v>0</v>
      </c>
      <c r="AE131" s="13">
        <v>0</v>
      </c>
      <c r="AF131" s="13">
        <v>0</v>
      </c>
      <c r="AG131" s="13">
        <v>0</v>
      </c>
      <c r="AH131" s="13">
        <v>0</v>
      </c>
      <c r="AI131" s="14">
        <f t="shared" si="7"/>
        <v>0</v>
      </c>
    </row>
    <row r="132" spans="1:36" ht="18" customHeight="1" x14ac:dyDescent="0.2">
      <c r="A132" s="27" t="str">
        <f t="shared" si="12"/>
        <v>법인</v>
      </c>
      <c r="B132" s="27" t="s">
        <v>1563</v>
      </c>
      <c r="C132" s="27" t="s">
        <v>1496</v>
      </c>
      <c r="D132" s="26">
        <v>3048207366</v>
      </c>
      <c r="E132" s="89">
        <v>10050471</v>
      </c>
      <c r="F132" s="25" t="s">
        <v>432</v>
      </c>
      <c r="G132" s="48" t="s">
        <v>322</v>
      </c>
      <c r="H132" s="53">
        <v>45994</v>
      </c>
      <c r="I132" s="50">
        <v>46049</v>
      </c>
      <c r="J132" s="14">
        <v>221.839</v>
      </c>
      <c r="K132" s="14">
        <f t="shared" si="11"/>
        <v>6.1621944444444443</v>
      </c>
      <c r="L132" s="49" t="s">
        <v>311</v>
      </c>
      <c r="M132" s="13"/>
      <c r="N132" s="13"/>
      <c r="O132" s="13"/>
      <c r="P132" s="13"/>
      <c r="Q132" s="13"/>
      <c r="R132" s="13"/>
      <c r="S132" s="13"/>
      <c r="T132" s="13"/>
      <c r="U132" s="13"/>
      <c r="V132" s="13"/>
      <c r="W132" s="13"/>
      <c r="X132" s="13"/>
      <c r="Y132" s="13"/>
      <c r="Z132" s="13">
        <v>0</v>
      </c>
      <c r="AA132" s="13">
        <v>0</v>
      </c>
      <c r="AB132" s="13">
        <v>0</v>
      </c>
      <c r="AC132" s="13">
        <v>0</v>
      </c>
      <c r="AD132" s="13">
        <v>7.13</v>
      </c>
      <c r="AE132" s="13">
        <v>0</v>
      </c>
      <c r="AF132" s="13">
        <v>3.4969999999999999</v>
      </c>
      <c r="AG132" s="13">
        <v>4.5629999999999997</v>
      </c>
      <c r="AH132" s="13">
        <v>4.7839999999999998</v>
      </c>
      <c r="AI132" s="14">
        <f t="shared" si="7"/>
        <v>19.973999999999997</v>
      </c>
    </row>
    <row r="133" spans="1:36" ht="18" customHeight="1" x14ac:dyDescent="0.2">
      <c r="A133" s="27" t="str">
        <f t="shared" si="12"/>
        <v>개인</v>
      </c>
      <c r="B133" s="27" t="s">
        <v>1555</v>
      </c>
      <c r="C133" s="27" t="s">
        <v>1554</v>
      </c>
      <c r="D133" s="26">
        <v>5789001589</v>
      </c>
      <c r="E133" s="89">
        <v>10067605</v>
      </c>
      <c r="F133" s="25" t="s">
        <v>433</v>
      </c>
      <c r="G133" s="48" t="s">
        <v>322</v>
      </c>
      <c r="H133" s="53">
        <v>45988</v>
      </c>
      <c r="I133" s="50">
        <v>46042</v>
      </c>
      <c r="J133" s="14">
        <v>686.85469699999999</v>
      </c>
      <c r="K133" s="14">
        <f t="shared" si="11"/>
        <v>19.07929713888889</v>
      </c>
      <c r="L133" s="49" t="s">
        <v>311</v>
      </c>
      <c r="M133" s="13"/>
      <c r="N133" s="13"/>
      <c r="O133" s="13"/>
      <c r="P133" s="13"/>
      <c r="Q133" s="13"/>
      <c r="R133" s="13"/>
      <c r="S133" s="13"/>
      <c r="T133" s="13"/>
      <c r="U133" s="13"/>
      <c r="V133" s="13"/>
      <c r="W133" s="13"/>
      <c r="X133" s="13"/>
      <c r="Y133" s="13"/>
      <c r="Z133" s="13">
        <v>0</v>
      </c>
      <c r="AA133" s="13">
        <v>0</v>
      </c>
      <c r="AB133" s="13">
        <v>0</v>
      </c>
      <c r="AC133" s="13">
        <v>0</v>
      </c>
      <c r="AD133" s="13">
        <v>0</v>
      </c>
      <c r="AE133" s="13">
        <v>26.998999999999999</v>
      </c>
      <c r="AF133" s="13">
        <v>9.9649999999999999</v>
      </c>
      <c r="AG133" s="13">
        <v>9.0039999999999996</v>
      </c>
      <c r="AH133" s="13">
        <v>9.2859999999999996</v>
      </c>
      <c r="AI133" s="14">
        <f t="shared" si="7"/>
        <v>55.253999999999998</v>
      </c>
    </row>
    <row r="134" spans="1:36" ht="18" customHeight="1" x14ac:dyDescent="0.2">
      <c r="A134" s="27" t="str">
        <f t="shared" si="12"/>
        <v>개인</v>
      </c>
      <c r="B134" s="27" t="s">
        <v>1559</v>
      </c>
      <c r="C134" s="27" t="s">
        <v>1554</v>
      </c>
      <c r="D134" s="26">
        <v>2999801310</v>
      </c>
      <c r="E134" s="89">
        <v>10068728</v>
      </c>
      <c r="F134" s="25" t="s">
        <v>434</v>
      </c>
      <c r="G134" s="48" t="s">
        <v>322</v>
      </c>
      <c r="H134" s="53">
        <v>45985</v>
      </c>
      <c r="I134" s="50">
        <v>46042</v>
      </c>
      <c r="J134" s="14">
        <v>862.13728200000003</v>
      </c>
      <c r="K134" s="14">
        <f t="shared" ref="K134:K139" si="13">J134/36</f>
        <v>23.948257833333333</v>
      </c>
      <c r="L134" s="49" t="s">
        <v>311</v>
      </c>
      <c r="M134" s="13"/>
      <c r="N134" s="13"/>
      <c r="O134" s="13"/>
      <c r="P134" s="13"/>
      <c r="Q134" s="13"/>
      <c r="R134" s="13"/>
      <c r="S134" s="13"/>
      <c r="T134" s="13"/>
      <c r="U134" s="13"/>
      <c r="V134" s="13"/>
      <c r="W134" s="13"/>
      <c r="X134" s="13"/>
      <c r="Y134" s="13"/>
      <c r="Z134" s="13">
        <v>0</v>
      </c>
      <c r="AA134" s="13">
        <v>0</v>
      </c>
      <c r="AB134" s="13">
        <v>0</v>
      </c>
      <c r="AC134" s="13">
        <v>10.704000000000001</v>
      </c>
      <c r="AD134" s="13">
        <v>0</v>
      </c>
      <c r="AE134" s="13">
        <v>36.112000000000002</v>
      </c>
      <c r="AF134" s="13">
        <v>17.408000000000001</v>
      </c>
      <c r="AG134" s="13">
        <v>18.608000000000001</v>
      </c>
      <c r="AH134" s="13">
        <v>0</v>
      </c>
      <c r="AI134" s="14">
        <f t="shared" ref="AI134:AI197" si="14">SUM(Z134,Y134,X134,W134,V134,U134,T134,S134,R134,Q134,P134,O134,N134,M134,AA134,AB134,AC134,AD134,AE134,AF134,AG134,AH134)</f>
        <v>82.832000000000008</v>
      </c>
    </row>
    <row r="135" spans="1:36" ht="18" customHeight="1" x14ac:dyDescent="0.2">
      <c r="A135" s="27" t="str">
        <f t="shared" si="12"/>
        <v>법인</v>
      </c>
      <c r="B135" s="27" t="s">
        <v>1556</v>
      </c>
      <c r="C135" s="27" t="s">
        <v>1496</v>
      </c>
      <c r="D135" s="26">
        <v>4098219449</v>
      </c>
      <c r="E135" s="89">
        <v>10069441</v>
      </c>
      <c r="F135" s="25" t="s">
        <v>435</v>
      </c>
      <c r="G135" s="48" t="s">
        <v>322</v>
      </c>
      <c r="H135" s="53">
        <v>46000</v>
      </c>
      <c r="I135" s="50">
        <v>46056</v>
      </c>
      <c r="J135" s="14">
        <v>590.11506399999996</v>
      </c>
      <c r="K135" s="14">
        <f t="shared" si="13"/>
        <v>16.392085111111111</v>
      </c>
      <c r="L135" s="49" t="s">
        <v>311</v>
      </c>
      <c r="M135" s="13"/>
      <c r="N135" s="13"/>
      <c r="O135" s="13"/>
      <c r="P135" s="13"/>
      <c r="Q135" s="13"/>
      <c r="R135" s="13"/>
      <c r="S135" s="13"/>
      <c r="T135" s="13"/>
      <c r="U135" s="13"/>
      <c r="V135" s="13"/>
      <c r="W135" s="13"/>
      <c r="X135" s="13"/>
      <c r="Y135" s="13"/>
      <c r="Z135" s="13">
        <v>0</v>
      </c>
      <c r="AA135" s="13">
        <v>0</v>
      </c>
      <c r="AB135" s="13">
        <v>0</v>
      </c>
      <c r="AC135" s="13">
        <v>3.375</v>
      </c>
      <c r="AD135" s="13">
        <v>5.5659999999999998</v>
      </c>
      <c r="AE135" s="13">
        <v>13.723000000000001</v>
      </c>
      <c r="AF135" s="13">
        <v>13.146000000000001</v>
      </c>
      <c r="AG135" s="13">
        <v>12.346</v>
      </c>
      <c r="AH135" s="13">
        <v>13.826000000000001</v>
      </c>
      <c r="AI135" s="14">
        <f t="shared" si="14"/>
        <v>61.982000000000006</v>
      </c>
    </row>
    <row r="136" spans="1:36" ht="18" customHeight="1" x14ac:dyDescent="0.2">
      <c r="A136" s="27" t="str">
        <f t="shared" ref="A136:A167" si="15">IF(MID(D136,4,1)="8","법인","개인")</f>
        <v>개인</v>
      </c>
      <c r="B136" s="27" t="s">
        <v>1565</v>
      </c>
      <c r="C136" s="27" t="s">
        <v>1554</v>
      </c>
      <c r="D136" s="26">
        <v>8449201739</v>
      </c>
      <c r="E136" s="89">
        <v>10082404</v>
      </c>
      <c r="F136" s="25" t="s">
        <v>436</v>
      </c>
      <c r="G136" s="48" t="s">
        <v>322</v>
      </c>
      <c r="H136" s="53">
        <v>46010</v>
      </c>
      <c r="I136" s="50">
        <v>46063</v>
      </c>
      <c r="J136" s="14">
        <v>710.767875</v>
      </c>
      <c r="K136" s="14">
        <f t="shared" si="13"/>
        <v>19.743552083333334</v>
      </c>
      <c r="L136" s="49" t="s">
        <v>311</v>
      </c>
      <c r="M136" s="13"/>
      <c r="N136" s="13"/>
      <c r="O136" s="13"/>
      <c r="P136" s="13"/>
      <c r="Q136" s="13"/>
      <c r="R136" s="13"/>
      <c r="S136" s="13"/>
      <c r="T136" s="13"/>
      <c r="U136" s="13"/>
      <c r="V136" s="13"/>
      <c r="W136" s="13"/>
      <c r="X136" s="13"/>
      <c r="Y136" s="13"/>
      <c r="Z136" s="13">
        <v>0</v>
      </c>
      <c r="AA136" s="13">
        <v>0</v>
      </c>
      <c r="AB136" s="13">
        <v>0</v>
      </c>
      <c r="AC136" s="13">
        <v>0.16</v>
      </c>
      <c r="AD136" s="13">
        <v>14.16</v>
      </c>
      <c r="AE136" s="13">
        <v>8.9920000000000009</v>
      </c>
      <c r="AF136" s="13">
        <v>5.3150000000000004</v>
      </c>
      <c r="AG136" s="13">
        <v>5.3639999999999999</v>
      </c>
      <c r="AH136" s="13">
        <v>5.6159999999999997</v>
      </c>
      <c r="AI136" s="14">
        <f t="shared" si="14"/>
        <v>39.606999999999999</v>
      </c>
    </row>
    <row r="137" spans="1:36" ht="18" customHeight="1" x14ac:dyDescent="0.2">
      <c r="A137" s="27" t="str">
        <f t="shared" si="15"/>
        <v>개인</v>
      </c>
      <c r="B137" s="27" t="s">
        <v>1564</v>
      </c>
      <c r="C137" s="27" t="s">
        <v>1554</v>
      </c>
      <c r="D137" s="26">
        <v>3839202010</v>
      </c>
      <c r="E137" s="89">
        <v>10091292</v>
      </c>
      <c r="F137" s="25" t="s">
        <v>437</v>
      </c>
      <c r="G137" s="48" t="s">
        <v>322</v>
      </c>
      <c r="H137" s="53">
        <v>45979</v>
      </c>
      <c r="I137" s="50">
        <v>46036</v>
      </c>
      <c r="J137" s="14">
        <v>329.70859999999999</v>
      </c>
      <c r="K137" s="14">
        <f t="shared" si="13"/>
        <v>9.1585722222222223</v>
      </c>
      <c r="L137" s="49" t="s">
        <v>311</v>
      </c>
      <c r="M137" s="13"/>
      <c r="N137" s="13"/>
      <c r="O137" s="13"/>
      <c r="P137" s="13"/>
      <c r="Q137" s="13"/>
      <c r="R137" s="13"/>
      <c r="S137" s="13"/>
      <c r="T137" s="13"/>
      <c r="U137" s="13"/>
      <c r="V137" s="13"/>
      <c r="W137" s="13"/>
      <c r="X137" s="13"/>
      <c r="Y137" s="13"/>
      <c r="Z137" s="13">
        <v>0</v>
      </c>
      <c r="AA137" s="13">
        <v>0</v>
      </c>
      <c r="AB137" s="13">
        <v>0</v>
      </c>
      <c r="AC137" s="13">
        <v>0</v>
      </c>
      <c r="AD137" s="13">
        <v>0</v>
      </c>
      <c r="AE137" s="13">
        <v>0</v>
      </c>
      <c r="AF137" s="13">
        <v>7.5679999999999996</v>
      </c>
      <c r="AG137" s="13">
        <v>1.952</v>
      </c>
      <c r="AH137" s="13">
        <v>2.8319999999999999</v>
      </c>
      <c r="AI137" s="14">
        <f t="shared" si="14"/>
        <v>12.352</v>
      </c>
    </row>
    <row r="138" spans="1:36" ht="18" customHeight="1" x14ac:dyDescent="0.2">
      <c r="A138" s="27" t="str">
        <f t="shared" si="15"/>
        <v>법인</v>
      </c>
      <c r="B138" s="27" t="s">
        <v>1576</v>
      </c>
      <c r="C138" s="27" t="s">
        <v>1496</v>
      </c>
      <c r="D138" s="26">
        <v>7698200425</v>
      </c>
      <c r="E138" s="89">
        <v>10096603</v>
      </c>
      <c r="F138" s="25" t="s">
        <v>438</v>
      </c>
      <c r="G138" s="48" t="s">
        <v>322</v>
      </c>
      <c r="H138" s="53">
        <v>45968</v>
      </c>
      <c r="I138" s="50">
        <v>46028</v>
      </c>
      <c r="J138" s="14">
        <v>2254.6824299999998</v>
      </c>
      <c r="K138" s="14">
        <f t="shared" si="13"/>
        <v>62.630067499999996</v>
      </c>
      <c r="L138" s="49" t="s">
        <v>311</v>
      </c>
      <c r="M138" s="13"/>
      <c r="N138" s="13"/>
      <c r="O138" s="13"/>
      <c r="P138" s="13"/>
      <c r="Q138" s="13"/>
      <c r="R138" s="13"/>
      <c r="S138" s="13"/>
      <c r="T138" s="13"/>
      <c r="U138" s="13"/>
      <c r="V138" s="13"/>
      <c r="W138" s="13"/>
      <c r="X138" s="13"/>
      <c r="Y138" s="13"/>
      <c r="Z138" s="13">
        <v>0</v>
      </c>
      <c r="AA138" s="13">
        <v>0</v>
      </c>
      <c r="AB138" s="13">
        <v>0</v>
      </c>
      <c r="AC138" s="13">
        <v>3.4489999999999998</v>
      </c>
      <c r="AD138" s="13">
        <v>7.4569999999999999</v>
      </c>
      <c r="AE138" s="13">
        <v>11.345000000000001</v>
      </c>
      <c r="AF138" s="13">
        <v>21.436</v>
      </c>
      <c r="AG138" s="13">
        <v>26.5</v>
      </c>
      <c r="AH138" s="13">
        <v>27.349</v>
      </c>
      <c r="AI138" s="14">
        <f t="shared" si="14"/>
        <v>97.536000000000001</v>
      </c>
    </row>
    <row r="139" spans="1:36" ht="18" customHeight="1" x14ac:dyDescent="0.2">
      <c r="A139" s="27" t="str">
        <f t="shared" si="15"/>
        <v>개인</v>
      </c>
      <c r="B139" s="27" t="s">
        <v>1570</v>
      </c>
      <c r="C139" s="27" t="s">
        <v>1554</v>
      </c>
      <c r="D139" s="26">
        <v>3669801736</v>
      </c>
      <c r="E139" s="89">
        <v>10099847</v>
      </c>
      <c r="F139" s="25" t="s">
        <v>439</v>
      </c>
      <c r="G139" s="48" t="s">
        <v>322</v>
      </c>
      <c r="H139" s="53">
        <v>45999</v>
      </c>
      <c r="I139" s="50">
        <v>46049</v>
      </c>
      <c r="J139" s="14">
        <v>688.65480200000002</v>
      </c>
      <c r="K139" s="14">
        <f t="shared" si="13"/>
        <v>19.129300055555557</v>
      </c>
      <c r="L139" s="49" t="s">
        <v>311</v>
      </c>
      <c r="M139" s="13"/>
      <c r="N139" s="13"/>
      <c r="O139" s="13"/>
      <c r="P139" s="13"/>
      <c r="Q139" s="13"/>
      <c r="R139" s="13"/>
      <c r="S139" s="13"/>
      <c r="T139" s="13"/>
      <c r="U139" s="13"/>
      <c r="V139" s="13"/>
      <c r="W139" s="13"/>
      <c r="X139" s="13"/>
      <c r="Y139" s="13"/>
      <c r="Z139" s="13">
        <v>0</v>
      </c>
      <c r="AA139" s="13">
        <v>0</v>
      </c>
      <c r="AB139" s="13">
        <v>0</v>
      </c>
      <c r="AC139" s="13">
        <v>0</v>
      </c>
      <c r="AD139" s="13">
        <v>0</v>
      </c>
      <c r="AE139" s="13">
        <v>0</v>
      </c>
      <c r="AF139" s="13">
        <v>12.128</v>
      </c>
      <c r="AG139" s="13">
        <v>19.654</v>
      </c>
      <c r="AH139" s="13">
        <v>15.919</v>
      </c>
      <c r="AI139" s="14">
        <f t="shared" si="14"/>
        <v>47.701000000000001</v>
      </c>
    </row>
    <row r="140" spans="1:36" ht="18" customHeight="1" x14ac:dyDescent="0.2">
      <c r="A140" s="27" t="str">
        <f t="shared" si="15"/>
        <v>개인</v>
      </c>
      <c r="B140" s="27" t="s">
        <v>1559</v>
      </c>
      <c r="C140" s="27" t="s">
        <v>1554</v>
      </c>
      <c r="D140" s="26">
        <v>7339000251</v>
      </c>
      <c r="E140" s="89">
        <v>10105796</v>
      </c>
      <c r="F140" s="25" t="s">
        <v>440</v>
      </c>
      <c r="G140" s="48" t="s">
        <v>320</v>
      </c>
      <c r="H140" s="53">
        <v>46056</v>
      </c>
      <c r="I140" s="50">
        <v>46105</v>
      </c>
      <c r="J140" s="14">
        <v>285</v>
      </c>
      <c r="K140" s="14">
        <f>J140</f>
        <v>285</v>
      </c>
      <c r="L140" s="49" t="s">
        <v>311</v>
      </c>
      <c r="M140" s="13"/>
      <c r="N140" s="13"/>
      <c r="O140" s="13"/>
      <c r="P140" s="13"/>
      <c r="Q140" s="13"/>
      <c r="R140" s="13"/>
      <c r="S140" s="13"/>
      <c r="T140" s="13"/>
      <c r="U140" s="13"/>
      <c r="V140" s="13"/>
      <c r="W140" s="13"/>
      <c r="X140" s="13"/>
      <c r="Y140" s="13"/>
      <c r="Z140" s="13">
        <v>0</v>
      </c>
      <c r="AA140" s="13">
        <v>0</v>
      </c>
      <c r="AB140" s="13">
        <v>0</v>
      </c>
      <c r="AC140" s="13">
        <v>0</v>
      </c>
      <c r="AD140" s="13">
        <v>285</v>
      </c>
      <c r="AE140" s="13">
        <v>0</v>
      </c>
      <c r="AF140" s="13">
        <v>0</v>
      </c>
      <c r="AG140" s="13">
        <v>0</v>
      </c>
      <c r="AH140" s="13">
        <v>0</v>
      </c>
      <c r="AI140" s="14">
        <f t="shared" si="14"/>
        <v>285</v>
      </c>
    </row>
    <row r="141" spans="1:36" ht="18" customHeight="1" x14ac:dyDescent="0.2">
      <c r="A141" s="27" t="str">
        <f t="shared" si="15"/>
        <v>개인</v>
      </c>
      <c r="B141" s="27" t="s">
        <v>1558</v>
      </c>
      <c r="C141" s="27" t="s">
        <v>1554</v>
      </c>
      <c r="D141" s="26">
        <v>1179601595</v>
      </c>
      <c r="E141" s="89">
        <v>10032062</v>
      </c>
      <c r="F141" s="25" t="s">
        <v>1437</v>
      </c>
      <c r="G141" s="48" t="s">
        <v>1477</v>
      </c>
      <c r="H141" s="53">
        <v>46013</v>
      </c>
      <c r="I141" s="50">
        <v>46063</v>
      </c>
      <c r="J141" s="127">
        <v>232.33699999999999</v>
      </c>
      <c r="K141" s="14">
        <f t="shared" ref="K141:K148" si="16">J141/36</f>
        <v>6.4538055555555554</v>
      </c>
      <c r="L141" s="49" t="s">
        <v>311</v>
      </c>
      <c r="M141" s="101"/>
      <c r="N141" s="101"/>
      <c r="O141" s="101"/>
      <c r="P141" s="101"/>
      <c r="Q141" s="101"/>
      <c r="R141" s="101"/>
      <c r="S141" s="101"/>
      <c r="T141" s="101"/>
      <c r="U141" s="101"/>
      <c r="V141" s="101"/>
      <c r="W141" s="101"/>
      <c r="X141" s="101"/>
      <c r="Y141" s="101"/>
      <c r="Z141" s="101">
        <v>0</v>
      </c>
      <c r="AA141" s="101">
        <v>0</v>
      </c>
      <c r="AB141" s="101">
        <v>0</v>
      </c>
      <c r="AC141" s="101"/>
      <c r="AD141" s="101">
        <v>5.1820000000000004</v>
      </c>
      <c r="AE141" s="101">
        <v>5.16</v>
      </c>
      <c r="AF141" s="101">
        <v>5.1609999999999996</v>
      </c>
      <c r="AG141" s="101">
        <v>5.0960000000000001</v>
      </c>
      <c r="AH141" s="101">
        <v>4.3520000000000003</v>
      </c>
      <c r="AI141" s="101">
        <f t="shared" si="14"/>
        <v>24.951000000000001</v>
      </c>
      <c r="AJ141" s="34"/>
    </row>
    <row r="142" spans="1:36" ht="18" customHeight="1" x14ac:dyDescent="0.2">
      <c r="A142" s="27" t="str">
        <f t="shared" si="15"/>
        <v>개인</v>
      </c>
      <c r="B142" s="27" t="s">
        <v>1569</v>
      </c>
      <c r="C142" s="27" t="s">
        <v>1554</v>
      </c>
      <c r="D142" s="26">
        <v>1219210232</v>
      </c>
      <c r="E142" s="89">
        <v>10032311</v>
      </c>
      <c r="F142" s="25" t="s">
        <v>1449</v>
      </c>
      <c r="G142" s="48" t="s">
        <v>1477</v>
      </c>
      <c r="H142" s="53">
        <v>46008</v>
      </c>
      <c r="I142" s="50">
        <v>46063</v>
      </c>
      <c r="J142" s="127">
        <v>435.15855699999997</v>
      </c>
      <c r="K142" s="14">
        <f t="shared" si="16"/>
        <v>12.087737694444444</v>
      </c>
      <c r="L142" s="49" t="s">
        <v>311</v>
      </c>
      <c r="M142" s="101"/>
      <c r="N142" s="101"/>
      <c r="O142" s="101"/>
      <c r="P142" s="101"/>
      <c r="Q142" s="101"/>
      <c r="R142" s="101"/>
      <c r="S142" s="101"/>
      <c r="T142" s="101"/>
      <c r="U142" s="101"/>
      <c r="V142" s="101"/>
      <c r="W142" s="101"/>
      <c r="X142" s="101"/>
      <c r="Y142" s="101"/>
      <c r="Z142" s="101">
        <v>0</v>
      </c>
      <c r="AA142" s="101">
        <v>0</v>
      </c>
      <c r="AB142" s="101">
        <v>0</v>
      </c>
      <c r="AC142" s="101"/>
      <c r="AD142" s="101">
        <v>0</v>
      </c>
      <c r="AE142" s="101">
        <v>0</v>
      </c>
      <c r="AF142" s="101">
        <v>2.528</v>
      </c>
      <c r="AG142" s="101">
        <v>4.1920000000000002</v>
      </c>
      <c r="AH142" s="101">
        <v>10.16</v>
      </c>
      <c r="AI142" s="101">
        <f t="shared" si="14"/>
        <v>16.880000000000003</v>
      </c>
      <c r="AJ142" s="34"/>
    </row>
    <row r="143" spans="1:36" ht="18" customHeight="1" x14ac:dyDescent="0.2">
      <c r="A143" s="27" t="str">
        <f t="shared" si="15"/>
        <v>법인</v>
      </c>
      <c r="B143" s="27" t="s">
        <v>1555</v>
      </c>
      <c r="C143" s="27" t="s">
        <v>1496</v>
      </c>
      <c r="D143" s="26">
        <v>1308202173</v>
      </c>
      <c r="E143" s="89">
        <v>10033270</v>
      </c>
      <c r="F143" s="25" t="s">
        <v>1453</v>
      </c>
      <c r="G143" s="48" t="s">
        <v>1477</v>
      </c>
      <c r="H143" s="53">
        <v>46010</v>
      </c>
      <c r="I143" s="50">
        <v>46087</v>
      </c>
      <c r="J143" s="127">
        <v>2445.0254660000001</v>
      </c>
      <c r="K143" s="14">
        <f t="shared" si="16"/>
        <v>67.917374055555555</v>
      </c>
      <c r="L143" s="49" t="s">
        <v>311</v>
      </c>
      <c r="M143" s="101"/>
      <c r="N143" s="101"/>
      <c r="O143" s="101"/>
      <c r="P143" s="101"/>
      <c r="Q143" s="101"/>
      <c r="R143" s="101"/>
      <c r="S143" s="101"/>
      <c r="T143" s="101"/>
      <c r="U143" s="101"/>
      <c r="V143" s="101"/>
      <c r="W143" s="101"/>
      <c r="X143" s="101"/>
      <c r="Y143" s="101"/>
      <c r="Z143" s="101">
        <v>0</v>
      </c>
      <c r="AA143" s="101">
        <v>0</v>
      </c>
      <c r="AB143" s="101">
        <v>0</v>
      </c>
      <c r="AC143" s="101"/>
      <c r="AD143" s="101">
        <v>50.61</v>
      </c>
      <c r="AE143" s="101">
        <v>70.906000000000006</v>
      </c>
      <c r="AF143" s="101">
        <v>62.372</v>
      </c>
      <c r="AG143" s="101">
        <v>36.195</v>
      </c>
      <c r="AH143" s="101">
        <v>39.765000000000001</v>
      </c>
      <c r="AI143" s="101">
        <f t="shared" si="14"/>
        <v>259.84800000000001</v>
      </c>
      <c r="AJ143" s="34"/>
    </row>
    <row r="144" spans="1:36" ht="18" customHeight="1" x14ac:dyDescent="0.2">
      <c r="A144" s="27" t="str">
        <f t="shared" si="15"/>
        <v>법인</v>
      </c>
      <c r="B144" s="27" t="s">
        <v>1560</v>
      </c>
      <c r="C144" s="27" t="s">
        <v>1496</v>
      </c>
      <c r="D144" s="26">
        <v>4028200712</v>
      </c>
      <c r="E144" s="89">
        <v>10037576</v>
      </c>
      <c r="F144" s="25" t="s">
        <v>1457</v>
      </c>
      <c r="G144" s="48" t="s">
        <v>1477</v>
      </c>
      <c r="H144" s="53">
        <v>46007</v>
      </c>
      <c r="I144" s="50">
        <v>46056</v>
      </c>
      <c r="J144" s="127">
        <v>1799</v>
      </c>
      <c r="K144" s="14">
        <f t="shared" si="16"/>
        <v>49.972222222222221</v>
      </c>
      <c r="L144" s="49" t="s">
        <v>311</v>
      </c>
      <c r="M144" s="101"/>
      <c r="N144" s="101"/>
      <c r="O144" s="101"/>
      <c r="P144" s="101"/>
      <c r="Q144" s="101"/>
      <c r="R144" s="101"/>
      <c r="S144" s="101"/>
      <c r="T144" s="101"/>
      <c r="U144" s="101"/>
      <c r="V144" s="101"/>
      <c r="W144" s="101"/>
      <c r="X144" s="101"/>
      <c r="Y144" s="101"/>
      <c r="Z144" s="101">
        <v>0</v>
      </c>
      <c r="AA144" s="101">
        <v>0</v>
      </c>
      <c r="AB144" s="101">
        <v>0</v>
      </c>
      <c r="AC144" s="101"/>
      <c r="AD144" s="101">
        <v>0</v>
      </c>
      <c r="AE144" s="101">
        <v>56.171999999999997</v>
      </c>
      <c r="AF144" s="101">
        <v>25.475999999999999</v>
      </c>
      <c r="AG144" s="101">
        <v>39.83</v>
      </c>
      <c r="AH144" s="101">
        <v>51.531999999999996</v>
      </c>
      <c r="AI144" s="101">
        <f t="shared" si="14"/>
        <v>173.01</v>
      </c>
      <c r="AJ144" s="34"/>
    </row>
    <row r="145" spans="1:36" ht="18" customHeight="1" x14ac:dyDescent="0.2">
      <c r="A145" s="27" t="str">
        <f t="shared" si="15"/>
        <v>개인</v>
      </c>
      <c r="B145" s="27" t="s">
        <v>1567</v>
      </c>
      <c r="C145" s="27" t="s">
        <v>1554</v>
      </c>
      <c r="D145" s="26">
        <v>3069899368</v>
      </c>
      <c r="E145" s="89">
        <v>10066681</v>
      </c>
      <c r="F145" s="25" t="s">
        <v>1441</v>
      </c>
      <c r="G145" s="48" t="s">
        <v>1477</v>
      </c>
      <c r="H145" s="53">
        <v>45957</v>
      </c>
      <c r="I145" s="50">
        <v>46027</v>
      </c>
      <c r="J145" s="14">
        <v>553.04399999999998</v>
      </c>
      <c r="K145" s="14">
        <f t="shared" si="16"/>
        <v>15.362333333333332</v>
      </c>
      <c r="L145" s="49" t="s">
        <v>311</v>
      </c>
      <c r="M145" s="101"/>
      <c r="N145" s="101"/>
      <c r="O145" s="101"/>
      <c r="P145" s="101"/>
      <c r="Q145" s="101"/>
      <c r="R145" s="101"/>
      <c r="S145" s="101"/>
      <c r="T145" s="101"/>
      <c r="U145" s="101"/>
      <c r="V145" s="101"/>
      <c r="W145" s="101"/>
      <c r="X145" s="101"/>
      <c r="Y145" s="101"/>
      <c r="Z145" s="101">
        <v>0</v>
      </c>
      <c r="AA145" s="101">
        <v>0</v>
      </c>
      <c r="AB145" s="101">
        <v>0</v>
      </c>
      <c r="AC145" s="101"/>
      <c r="AD145" s="101">
        <v>4</v>
      </c>
      <c r="AE145" s="101">
        <v>5.4880000000000004</v>
      </c>
      <c r="AF145" s="101">
        <v>4.3840000000000003</v>
      </c>
      <c r="AG145" s="101">
        <v>5.7759999999999998</v>
      </c>
      <c r="AH145" s="101">
        <v>6.6079999999999997</v>
      </c>
      <c r="AI145" s="101">
        <f t="shared" si="14"/>
        <v>26.256</v>
      </c>
      <c r="AJ145" s="34"/>
    </row>
    <row r="146" spans="1:36" ht="18" customHeight="1" x14ac:dyDescent="0.2">
      <c r="A146" s="27" t="str">
        <f t="shared" si="15"/>
        <v>개인</v>
      </c>
      <c r="B146" s="27" t="s">
        <v>1570</v>
      </c>
      <c r="C146" s="27" t="s">
        <v>1554</v>
      </c>
      <c r="D146" s="26">
        <v>4109253621</v>
      </c>
      <c r="E146" s="89">
        <v>10071000</v>
      </c>
      <c r="F146" s="25" t="s">
        <v>1445</v>
      </c>
      <c r="G146" s="48" t="s">
        <v>1477</v>
      </c>
      <c r="H146" s="53">
        <v>46035</v>
      </c>
      <c r="I146" s="50">
        <v>46077</v>
      </c>
      <c r="J146" s="127">
        <v>964.66526599999997</v>
      </c>
      <c r="K146" s="14">
        <f t="shared" si="16"/>
        <v>26.79625738888889</v>
      </c>
      <c r="L146" s="49" t="s">
        <v>311</v>
      </c>
      <c r="M146" s="101"/>
      <c r="N146" s="101"/>
      <c r="O146" s="101"/>
      <c r="P146" s="101"/>
      <c r="Q146" s="101"/>
      <c r="R146" s="101"/>
      <c r="S146" s="101"/>
      <c r="T146" s="101"/>
      <c r="U146" s="101"/>
      <c r="V146" s="101"/>
      <c r="W146" s="101"/>
      <c r="X146" s="101"/>
      <c r="Y146" s="101"/>
      <c r="Z146" s="101">
        <v>0</v>
      </c>
      <c r="AA146" s="101">
        <v>0</v>
      </c>
      <c r="AB146" s="101">
        <v>0</v>
      </c>
      <c r="AC146" s="101"/>
      <c r="AD146" s="101">
        <v>0</v>
      </c>
      <c r="AE146" s="101">
        <v>18.419</v>
      </c>
      <c r="AF146" s="101">
        <v>29.530999999999999</v>
      </c>
      <c r="AG146" s="101">
        <v>12.314</v>
      </c>
      <c r="AH146" s="101">
        <v>10.843</v>
      </c>
      <c r="AI146" s="101">
        <f t="shared" si="14"/>
        <v>71.106999999999999</v>
      </c>
      <c r="AJ146" s="34"/>
    </row>
    <row r="147" spans="1:36" ht="18" customHeight="1" x14ac:dyDescent="0.2">
      <c r="A147" s="27" t="str">
        <f t="shared" si="15"/>
        <v>개인</v>
      </c>
      <c r="B147" s="27" t="s">
        <v>1558</v>
      </c>
      <c r="C147" s="27" t="s">
        <v>1554</v>
      </c>
      <c r="D147" s="26">
        <v>8531101603</v>
      </c>
      <c r="E147" s="89">
        <v>10073012</v>
      </c>
      <c r="F147" s="25" t="s">
        <v>1469</v>
      </c>
      <c r="G147" s="48" t="s">
        <v>1477</v>
      </c>
      <c r="H147" s="53">
        <v>46041</v>
      </c>
      <c r="I147" s="50">
        <v>46077</v>
      </c>
      <c r="J147" s="127">
        <v>592.75373300000001</v>
      </c>
      <c r="K147" s="14">
        <f t="shared" si="16"/>
        <v>16.465381472222223</v>
      </c>
      <c r="L147" s="49" t="s">
        <v>311</v>
      </c>
      <c r="M147" s="101"/>
      <c r="N147" s="101"/>
      <c r="O147" s="101"/>
      <c r="P147" s="101"/>
      <c r="Q147" s="101"/>
      <c r="R147" s="101"/>
      <c r="S147" s="101"/>
      <c r="T147" s="101"/>
      <c r="U147" s="101"/>
      <c r="V147" s="101"/>
      <c r="W147" s="101"/>
      <c r="X147" s="101"/>
      <c r="Y147" s="101"/>
      <c r="Z147" s="101">
        <v>0</v>
      </c>
      <c r="AA147" s="101">
        <v>0</v>
      </c>
      <c r="AB147" s="101">
        <v>0</v>
      </c>
      <c r="AC147" s="101"/>
      <c r="AD147" s="101">
        <v>13.151999999999999</v>
      </c>
      <c r="AE147" s="101">
        <v>18.738</v>
      </c>
      <c r="AF147" s="101">
        <v>8.0609999999999999</v>
      </c>
      <c r="AG147" s="101">
        <v>0</v>
      </c>
      <c r="AH147" s="101">
        <v>9.7780000000000005</v>
      </c>
      <c r="AI147" s="101">
        <f t="shared" si="14"/>
        <v>49.728999999999999</v>
      </c>
      <c r="AJ147" s="34"/>
    </row>
    <row r="148" spans="1:36" ht="18" customHeight="1" x14ac:dyDescent="0.2">
      <c r="A148" s="27" t="str">
        <f t="shared" si="15"/>
        <v>개인</v>
      </c>
      <c r="B148" s="27" t="s">
        <v>1567</v>
      </c>
      <c r="C148" s="27" t="s">
        <v>1554</v>
      </c>
      <c r="D148" s="26">
        <v>2819402019</v>
      </c>
      <c r="E148" s="89">
        <v>10089241</v>
      </c>
      <c r="F148" s="25" t="s">
        <v>1451</v>
      </c>
      <c r="G148" s="48" t="s">
        <v>1477</v>
      </c>
      <c r="H148" s="53">
        <v>45968</v>
      </c>
      <c r="I148" s="50">
        <v>46035</v>
      </c>
      <c r="J148" s="127">
        <v>520.08656699999995</v>
      </c>
      <c r="K148" s="14">
        <f t="shared" si="16"/>
        <v>14.446849083333332</v>
      </c>
      <c r="L148" s="49" t="s">
        <v>311</v>
      </c>
      <c r="M148" s="101"/>
      <c r="N148" s="101"/>
      <c r="O148" s="101"/>
      <c r="P148" s="101"/>
      <c r="Q148" s="101"/>
      <c r="R148" s="101"/>
      <c r="S148" s="101"/>
      <c r="T148" s="101"/>
      <c r="U148" s="101"/>
      <c r="V148" s="101"/>
      <c r="W148" s="101"/>
      <c r="X148" s="101"/>
      <c r="Y148" s="101"/>
      <c r="Z148" s="101">
        <v>0</v>
      </c>
      <c r="AA148" s="101">
        <v>0</v>
      </c>
      <c r="AB148" s="101">
        <v>0</v>
      </c>
      <c r="AC148" s="101"/>
      <c r="AD148" s="101">
        <v>0</v>
      </c>
      <c r="AE148" s="101">
        <v>0</v>
      </c>
      <c r="AF148" s="101">
        <v>0</v>
      </c>
      <c r="AG148" s="101">
        <v>1.3480000000000001</v>
      </c>
      <c r="AH148" s="101">
        <v>0</v>
      </c>
      <c r="AI148" s="101">
        <f t="shared" si="14"/>
        <v>1.3480000000000001</v>
      </c>
      <c r="AJ148" s="34"/>
    </row>
    <row r="149" spans="1:36" ht="18" customHeight="1" x14ac:dyDescent="0.2">
      <c r="A149" s="27" t="str">
        <f t="shared" si="15"/>
        <v>법인</v>
      </c>
      <c r="B149" s="27" t="s">
        <v>1556</v>
      </c>
      <c r="C149" s="27" t="s">
        <v>1496</v>
      </c>
      <c r="D149" s="26">
        <v>4018206877</v>
      </c>
      <c r="E149" s="89">
        <v>10015488</v>
      </c>
      <c r="F149" s="25" t="s">
        <v>1508</v>
      </c>
      <c r="G149" s="48" t="s">
        <v>1477</v>
      </c>
      <c r="H149" s="53">
        <v>46021</v>
      </c>
      <c r="I149" s="50">
        <v>46105</v>
      </c>
      <c r="J149" s="127">
        <v>293.67259999999999</v>
      </c>
      <c r="K149" s="14">
        <v>8.1575722222222211</v>
      </c>
      <c r="L149" s="49" t="s">
        <v>311</v>
      </c>
      <c r="M149" s="101"/>
      <c r="N149" s="101"/>
      <c r="O149" s="101"/>
      <c r="P149" s="101"/>
      <c r="Q149" s="101"/>
      <c r="R149" s="101"/>
      <c r="S149" s="101"/>
      <c r="T149" s="101"/>
      <c r="U149" s="101"/>
      <c r="V149" s="101"/>
      <c r="W149" s="101"/>
      <c r="X149" s="101"/>
      <c r="Y149" s="101"/>
      <c r="Z149" s="101"/>
      <c r="AA149" s="101"/>
      <c r="AB149" s="101"/>
      <c r="AC149" s="101"/>
      <c r="AD149" s="101">
        <v>0</v>
      </c>
      <c r="AE149" s="101">
        <v>9.92</v>
      </c>
      <c r="AF149" s="101">
        <v>10.32</v>
      </c>
      <c r="AG149" s="101">
        <v>10.144</v>
      </c>
      <c r="AH149" s="101">
        <v>9.8719999999999999</v>
      </c>
      <c r="AI149" s="101">
        <f t="shared" si="14"/>
        <v>40.256</v>
      </c>
      <c r="AJ149" s="34"/>
    </row>
    <row r="150" spans="1:36" ht="18" customHeight="1" x14ac:dyDescent="0.2">
      <c r="A150" s="27" t="str">
        <f t="shared" si="15"/>
        <v>개인</v>
      </c>
      <c r="B150" s="27" t="s">
        <v>1555</v>
      </c>
      <c r="C150" s="27" t="s">
        <v>1554</v>
      </c>
      <c r="D150" s="26">
        <v>1199168258</v>
      </c>
      <c r="E150" s="89">
        <v>10032163</v>
      </c>
      <c r="F150" s="25" t="s">
        <v>1509</v>
      </c>
      <c r="G150" s="48" t="s">
        <v>1477</v>
      </c>
      <c r="H150" s="53">
        <v>46021</v>
      </c>
      <c r="I150" s="50">
        <v>46084</v>
      </c>
      <c r="J150" s="127">
        <v>380.11743000000001</v>
      </c>
      <c r="K150" s="14">
        <v>10.5588175</v>
      </c>
      <c r="L150" s="49" t="s">
        <v>311</v>
      </c>
      <c r="M150" s="101"/>
      <c r="N150" s="101"/>
      <c r="O150" s="101"/>
      <c r="P150" s="101"/>
      <c r="Q150" s="101"/>
      <c r="R150" s="101"/>
      <c r="S150" s="101"/>
      <c r="T150" s="101"/>
      <c r="U150" s="101"/>
      <c r="V150" s="101"/>
      <c r="W150" s="101"/>
      <c r="X150" s="101"/>
      <c r="Y150" s="101"/>
      <c r="Z150" s="101"/>
      <c r="AA150" s="101"/>
      <c r="AB150" s="101"/>
      <c r="AC150" s="101"/>
      <c r="AD150" s="101">
        <v>0</v>
      </c>
      <c r="AE150" s="101">
        <v>0</v>
      </c>
      <c r="AF150" s="101">
        <v>2.839</v>
      </c>
      <c r="AG150" s="101">
        <v>0</v>
      </c>
      <c r="AH150" s="101">
        <v>3.7160000000000002</v>
      </c>
      <c r="AI150" s="101">
        <f t="shared" si="14"/>
        <v>6.5549999999999997</v>
      </c>
      <c r="AJ150" s="34"/>
    </row>
    <row r="151" spans="1:36" ht="18" customHeight="1" x14ac:dyDescent="0.2">
      <c r="A151" s="27" t="str">
        <f t="shared" si="15"/>
        <v>법인</v>
      </c>
      <c r="B151" s="27" t="s">
        <v>1569</v>
      </c>
      <c r="C151" s="27" t="s">
        <v>1496</v>
      </c>
      <c r="D151" s="26">
        <v>1278218835</v>
      </c>
      <c r="E151" s="89">
        <v>10032900</v>
      </c>
      <c r="F151" s="25" t="s">
        <v>1510</v>
      </c>
      <c r="G151" s="48" t="s">
        <v>1477</v>
      </c>
      <c r="H151" s="53">
        <v>46066</v>
      </c>
      <c r="I151" s="50">
        <v>46098</v>
      </c>
      <c r="J151" s="127">
        <v>976.92091900000003</v>
      </c>
      <c r="K151" s="14">
        <v>27.136692194444446</v>
      </c>
      <c r="L151" s="49" t="s">
        <v>311</v>
      </c>
      <c r="M151" s="101"/>
      <c r="N151" s="101"/>
      <c r="O151" s="101"/>
      <c r="P151" s="101"/>
      <c r="Q151" s="101"/>
      <c r="R151" s="101"/>
      <c r="S151" s="101"/>
      <c r="T151" s="101"/>
      <c r="U151" s="101"/>
      <c r="V151" s="101"/>
      <c r="W151" s="101"/>
      <c r="X151" s="101"/>
      <c r="Y151" s="101"/>
      <c r="Z151" s="101"/>
      <c r="AA151" s="101"/>
      <c r="AB151" s="101"/>
      <c r="AC151" s="101"/>
      <c r="AD151" s="101">
        <v>0</v>
      </c>
      <c r="AE151" s="101">
        <v>19.516999999999999</v>
      </c>
      <c r="AF151" s="101">
        <v>12.515000000000001</v>
      </c>
      <c r="AG151" s="101">
        <v>18.835999999999999</v>
      </c>
      <c r="AH151" s="101">
        <v>17.88</v>
      </c>
      <c r="AI151" s="101">
        <f t="shared" si="14"/>
        <v>68.74799999999999</v>
      </c>
      <c r="AJ151" s="34"/>
    </row>
    <row r="152" spans="1:36" ht="18" customHeight="1" x14ac:dyDescent="0.2">
      <c r="A152" s="27" t="str">
        <f t="shared" si="15"/>
        <v>법인</v>
      </c>
      <c r="B152" s="27" t="s">
        <v>1568</v>
      </c>
      <c r="C152" s="27" t="s">
        <v>1496</v>
      </c>
      <c r="D152" s="26">
        <v>1308212287</v>
      </c>
      <c r="E152" s="89">
        <v>10033272</v>
      </c>
      <c r="F152" s="25" t="s">
        <v>263</v>
      </c>
      <c r="G152" s="48" t="s">
        <v>1477</v>
      </c>
      <c r="H152" s="53">
        <v>46007</v>
      </c>
      <c r="I152" s="50">
        <v>46049</v>
      </c>
      <c r="J152" s="127">
        <v>1151.846</v>
      </c>
      <c r="K152" s="14">
        <v>31.995722222222224</v>
      </c>
      <c r="L152" s="49" t="s">
        <v>311</v>
      </c>
      <c r="M152" s="101"/>
      <c r="N152" s="101"/>
      <c r="O152" s="101"/>
      <c r="P152" s="101"/>
      <c r="Q152" s="101"/>
      <c r="R152" s="101"/>
      <c r="S152" s="101"/>
      <c r="T152" s="101"/>
      <c r="U152" s="101"/>
      <c r="V152" s="101"/>
      <c r="W152" s="101"/>
      <c r="X152" s="101"/>
      <c r="Y152" s="101"/>
      <c r="Z152" s="101"/>
      <c r="AA152" s="101"/>
      <c r="AB152" s="101"/>
      <c r="AC152" s="101"/>
      <c r="AD152" s="101">
        <v>0</v>
      </c>
      <c r="AE152" s="101">
        <v>24.794</v>
      </c>
      <c r="AF152" s="101">
        <v>21.652000000000001</v>
      </c>
      <c r="AG152" s="101">
        <v>23.719000000000001</v>
      </c>
      <c r="AH152" s="101">
        <v>22.986000000000001</v>
      </c>
      <c r="AI152" s="101">
        <f t="shared" si="14"/>
        <v>93.150999999999996</v>
      </c>
      <c r="AJ152" s="34"/>
    </row>
    <row r="153" spans="1:36" ht="18" customHeight="1" x14ac:dyDescent="0.2">
      <c r="A153" s="27" t="str">
        <f t="shared" si="15"/>
        <v>법인</v>
      </c>
      <c r="B153" s="27" t="s">
        <v>1571</v>
      </c>
      <c r="C153" s="27" t="s">
        <v>1496</v>
      </c>
      <c r="D153" s="26">
        <v>1328203391</v>
      </c>
      <c r="E153" s="89">
        <v>10033479</v>
      </c>
      <c r="F153" s="25" t="s">
        <v>1511</v>
      </c>
      <c r="G153" s="48" t="s">
        <v>1477</v>
      </c>
      <c r="H153" s="53"/>
      <c r="I153" s="50">
        <v>45504</v>
      </c>
      <c r="J153" s="127">
        <v>97.091260000000005</v>
      </c>
      <c r="K153" s="14">
        <v>2.6969794444444446</v>
      </c>
      <c r="L153" s="49" t="s">
        <v>311</v>
      </c>
      <c r="M153" s="101"/>
      <c r="N153" s="101"/>
      <c r="O153" s="101"/>
      <c r="P153" s="101"/>
      <c r="Q153" s="101"/>
      <c r="R153" s="101"/>
      <c r="S153" s="101"/>
      <c r="T153" s="101"/>
      <c r="U153" s="101"/>
      <c r="V153" s="101"/>
      <c r="W153" s="101"/>
      <c r="X153" s="101"/>
      <c r="Y153" s="101"/>
      <c r="Z153" s="101"/>
      <c r="AA153" s="101"/>
      <c r="AB153" s="101"/>
      <c r="AC153" s="101"/>
      <c r="AD153" s="101">
        <v>0</v>
      </c>
      <c r="AE153" s="101">
        <v>1.968</v>
      </c>
      <c r="AF153" s="101">
        <v>2.48</v>
      </c>
      <c r="AG153" s="101">
        <v>2.64</v>
      </c>
      <c r="AH153" s="101">
        <v>3.7919999999999998</v>
      </c>
      <c r="AI153" s="101">
        <f t="shared" si="14"/>
        <v>10.88</v>
      </c>
      <c r="AJ153" s="34"/>
    </row>
    <row r="154" spans="1:36" ht="18" customHeight="1" x14ac:dyDescent="0.2">
      <c r="A154" s="27" t="str">
        <f t="shared" si="15"/>
        <v>개인</v>
      </c>
      <c r="B154" s="27" t="s">
        <v>1559</v>
      </c>
      <c r="C154" s="27" t="s">
        <v>1554</v>
      </c>
      <c r="D154" s="26">
        <v>2062884484</v>
      </c>
      <c r="E154" s="89">
        <v>10034707</v>
      </c>
      <c r="F154" s="25" t="s">
        <v>1512</v>
      </c>
      <c r="G154" s="48" t="s">
        <v>1477</v>
      </c>
      <c r="H154" s="53">
        <v>46077</v>
      </c>
      <c r="I154" s="50">
        <v>46112</v>
      </c>
      <c r="J154" s="127">
        <v>419.00594799999999</v>
      </c>
      <c r="K154" s="14">
        <v>11.639054111111111</v>
      </c>
      <c r="L154" s="49" t="s">
        <v>311</v>
      </c>
      <c r="M154" s="101"/>
      <c r="N154" s="101"/>
      <c r="O154" s="101"/>
      <c r="P154" s="101"/>
      <c r="Q154" s="101"/>
      <c r="R154" s="101"/>
      <c r="S154" s="101"/>
      <c r="T154" s="101"/>
      <c r="U154" s="101"/>
      <c r="V154" s="101"/>
      <c r="W154" s="101"/>
      <c r="X154" s="101"/>
      <c r="Y154" s="101"/>
      <c r="Z154" s="101"/>
      <c r="AA154" s="101"/>
      <c r="AB154" s="101"/>
      <c r="AC154" s="101"/>
      <c r="AD154" s="101">
        <v>0</v>
      </c>
      <c r="AE154" s="101">
        <v>13.442</v>
      </c>
      <c r="AF154" s="101">
        <v>10.272</v>
      </c>
      <c r="AG154" s="101">
        <v>1.264</v>
      </c>
      <c r="AH154" s="101">
        <v>22.911999999999999</v>
      </c>
      <c r="AI154" s="101">
        <f t="shared" si="14"/>
        <v>47.89</v>
      </c>
      <c r="AJ154" s="34"/>
    </row>
    <row r="155" spans="1:36" ht="18" customHeight="1" x14ac:dyDescent="0.2">
      <c r="A155" s="27" t="str">
        <f t="shared" si="15"/>
        <v>개인</v>
      </c>
      <c r="B155" s="27" t="s">
        <v>1565</v>
      </c>
      <c r="C155" s="27" t="s">
        <v>1554</v>
      </c>
      <c r="D155" s="26">
        <v>3019174529</v>
      </c>
      <c r="E155" s="89">
        <v>10036166</v>
      </c>
      <c r="F155" s="25" t="s">
        <v>1513</v>
      </c>
      <c r="G155" s="48" t="s">
        <v>1477</v>
      </c>
      <c r="H155" s="53">
        <v>46062</v>
      </c>
      <c r="I155" s="50">
        <v>46105</v>
      </c>
      <c r="J155" s="127">
        <v>414.14292499999999</v>
      </c>
      <c r="K155" s="14">
        <v>11.503970138888889</v>
      </c>
      <c r="L155" s="49" t="s">
        <v>311</v>
      </c>
      <c r="M155" s="101"/>
      <c r="N155" s="101"/>
      <c r="O155" s="101"/>
      <c r="P155" s="101"/>
      <c r="Q155" s="101"/>
      <c r="R155" s="101"/>
      <c r="S155" s="101"/>
      <c r="T155" s="101"/>
      <c r="U155" s="101"/>
      <c r="V155" s="101"/>
      <c r="W155" s="101"/>
      <c r="X155" s="101"/>
      <c r="Y155" s="101"/>
      <c r="Z155" s="101"/>
      <c r="AA155" s="101"/>
      <c r="AB155" s="101"/>
      <c r="AC155" s="101"/>
      <c r="AD155" s="101">
        <v>0</v>
      </c>
      <c r="AE155" s="101">
        <v>0</v>
      </c>
      <c r="AF155" s="101">
        <v>21.187000000000001</v>
      </c>
      <c r="AG155" s="101">
        <v>10.4</v>
      </c>
      <c r="AH155" s="101">
        <v>10.4</v>
      </c>
      <c r="AI155" s="101">
        <f t="shared" si="14"/>
        <v>41.987000000000002</v>
      </c>
      <c r="AJ155" s="34"/>
    </row>
    <row r="156" spans="1:36" ht="18" customHeight="1" x14ac:dyDescent="0.2">
      <c r="A156" s="27" t="str">
        <f t="shared" si="15"/>
        <v>법인</v>
      </c>
      <c r="B156" s="27" t="s">
        <v>1580</v>
      </c>
      <c r="C156" s="27" t="s">
        <v>1496</v>
      </c>
      <c r="D156" s="26">
        <v>4088213350</v>
      </c>
      <c r="E156" s="89">
        <v>10037919</v>
      </c>
      <c r="F156" s="25" t="s">
        <v>1514</v>
      </c>
      <c r="G156" s="48" t="s">
        <v>1477</v>
      </c>
      <c r="H156" s="53">
        <v>46081</v>
      </c>
      <c r="I156" s="50">
        <v>46072</v>
      </c>
      <c r="J156" s="127">
        <v>3882.7746630000001</v>
      </c>
      <c r="K156" s="14">
        <v>107.85485175000001</v>
      </c>
      <c r="L156" s="49" t="s">
        <v>311</v>
      </c>
      <c r="M156" s="101"/>
      <c r="N156" s="101"/>
      <c r="O156" s="101"/>
      <c r="P156" s="101"/>
      <c r="Q156" s="101"/>
      <c r="R156" s="101"/>
      <c r="S156" s="101"/>
      <c r="T156" s="101"/>
      <c r="U156" s="101"/>
      <c r="V156" s="101"/>
      <c r="W156" s="101"/>
      <c r="X156" s="101"/>
      <c r="Y156" s="101"/>
      <c r="Z156" s="101"/>
      <c r="AA156" s="101"/>
      <c r="AB156" s="101"/>
      <c r="AC156" s="101"/>
      <c r="AD156" s="101">
        <v>0</v>
      </c>
      <c r="AE156" s="101">
        <v>5.1330689999999999</v>
      </c>
      <c r="AF156" s="101">
        <v>5.812665</v>
      </c>
      <c r="AG156" s="101">
        <v>11.327892</v>
      </c>
      <c r="AH156" s="101">
        <v>11.222751000000001</v>
      </c>
      <c r="AI156" s="101">
        <f t="shared" si="14"/>
        <v>33.496377000000003</v>
      </c>
      <c r="AJ156" s="34"/>
    </row>
    <row r="157" spans="1:36" ht="18" customHeight="1" x14ac:dyDescent="0.2">
      <c r="A157" s="27" t="str">
        <f t="shared" si="15"/>
        <v>법인</v>
      </c>
      <c r="B157" s="27" t="s">
        <v>1558</v>
      </c>
      <c r="C157" s="27" t="s">
        <v>1496</v>
      </c>
      <c r="D157" s="26">
        <v>5108204682</v>
      </c>
      <c r="E157" s="89">
        <v>10039694</v>
      </c>
      <c r="F157" s="25" t="s">
        <v>1515</v>
      </c>
      <c r="G157" s="48" t="s">
        <v>1477</v>
      </c>
      <c r="H157" s="53">
        <v>46056</v>
      </c>
      <c r="I157" s="50">
        <v>46105</v>
      </c>
      <c r="J157" s="127">
        <v>402.03813000000002</v>
      </c>
      <c r="K157" s="14">
        <v>11.167725833333334</v>
      </c>
      <c r="L157" s="49" t="s">
        <v>311</v>
      </c>
      <c r="M157" s="101"/>
      <c r="N157" s="101"/>
      <c r="O157" s="101"/>
      <c r="P157" s="101"/>
      <c r="Q157" s="101"/>
      <c r="R157" s="101"/>
      <c r="S157" s="101"/>
      <c r="T157" s="101"/>
      <c r="U157" s="101"/>
      <c r="V157" s="101"/>
      <c r="W157" s="101"/>
      <c r="X157" s="101"/>
      <c r="Y157" s="101"/>
      <c r="Z157" s="101"/>
      <c r="AA157" s="101"/>
      <c r="AB157" s="101"/>
      <c r="AC157" s="101"/>
      <c r="AD157" s="101">
        <v>0</v>
      </c>
      <c r="AE157" s="101">
        <v>0</v>
      </c>
      <c r="AF157" s="101">
        <v>2.351</v>
      </c>
      <c r="AG157" s="101">
        <v>3.7410000000000001</v>
      </c>
      <c r="AH157" s="101">
        <v>3.7989999999999999</v>
      </c>
      <c r="AI157" s="101">
        <f t="shared" si="14"/>
        <v>9.891</v>
      </c>
      <c r="AJ157" s="34"/>
    </row>
    <row r="158" spans="1:36" ht="18" customHeight="1" x14ac:dyDescent="0.2">
      <c r="A158" s="27" t="str">
        <f t="shared" si="15"/>
        <v>법인</v>
      </c>
      <c r="B158" s="27" t="s">
        <v>1566</v>
      </c>
      <c r="C158" s="27" t="s">
        <v>1496</v>
      </c>
      <c r="D158" s="26">
        <v>6178208373</v>
      </c>
      <c r="E158" s="89">
        <v>10041601</v>
      </c>
      <c r="F158" s="25" t="s">
        <v>1493</v>
      </c>
      <c r="G158" s="48" t="s">
        <v>1477</v>
      </c>
      <c r="H158" s="53">
        <v>46084</v>
      </c>
      <c r="I158" s="50">
        <v>46097</v>
      </c>
      <c r="J158" s="127">
        <v>748.70899999999995</v>
      </c>
      <c r="K158" s="14">
        <v>20.797472222222222</v>
      </c>
      <c r="L158" s="49" t="s">
        <v>311</v>
      </c>
      <c r="M158" s="101"/>
      <c r="N158" s="101"/>
      <c r="O158" s="101"/>
      <c r="P158" s="101"/>
      <c r="Q158" s="101"/>
      <c r="R158" s="101"/>
      <c r="S158" s="101"/>
      <c r="T158" s="101"/>
      <c r="U158" s="101"/>
      <c r="V158" s="101"/>
      <c r="W158" s="101"/>
      <c r="X158" s="101"/>
      <c r="Y158" s="101"/>
      <c r="Z158" s="101"/>
      <c r="AA158" s="101"/>
      <c r="AB158" s="101"/>
      <c r="AC158" s="101"/>
      <c r="AD158" s="101">
        <v>0</v>
      </c>
      <c r="AE158" s="101">
        <v>0.25</v>
      </c>
      <c r="AF158" s="101">
        <v>0</v>
      </c>
      <c r="AG158" s="101">
        <v>0</v>
      </c>
      <c r="AH158" s="101">
        <v>0</v>
      </c>
      <c r="AI158" s="101">
        <f t="shared" si="14"/>
        <v>0.25</v>
      </c>
      <c r="AJ158" s="34"/>
    </row>
    <row r="159" spans="1:36" ht="18" customHeight="1" x14ac:dyDescent="0.2">
      <c r="A159" s="27" t="str">
        <f t="shared" si="15"/>
        <v>법인</v>
      </c>
      <c r="B159" s="27" t="s">
        <v>1569</v>
      </c>
      <c r="C159" s="27" t="s">
        <v>1496</v>
      </c>
      <c r="D159" s="26">
        <v>6218204755</v>
      </c>
      <c r="E159" s="89">
        <v>10041832</v>
      </c>
      <c r="F159" s="25" t="s">
        <v>1516</v>
      </c>
      <c r="G159" s="48" t="s">
        <v>1477</v>
      </c>
      <c r="H159" s="53">
        <v>46058</v>
      </c>
      <c r="I159" s="50">
        <v>46105</v>
      </c>
      <c r="J159" s="127">
        <v>526.33620599999995</v>
      </c>
      <c r="K159" s="14">
        <v>14.620450166666664</v>
      </c>
      <c r="L159" s="49" t="s">
        <v>311</v>
      </c>
      <c r="M159" s="101"/>
      <c r="N159" s="101"/>
      <c r="O159" s="101"/>
      <c r="P159" s="101"/>
      <c r="Q159" s="101"/>
      <c r="R159" s="101"/>
      <c r="S159" s="101"/>
      <c r="T159" s="101"/>
      <c r="U159" s="101"/>
      <c r="V159" s="101"/>
      <c r="W159" s="101"/>
      <c r="X159" s="101"/>
      <c r="Y159" s="101"/>
      <c r="Z159" s="101"/>
      <c r="AA159" s="101"/>
      <c r="AB159" s="101"/>
      <c r="AC159" s="101"/>
      <c r="AD159" s="101">
        <v>0</v>
      </c>
      <c r="AE159" s="101">
        <v>14.112</v>
      </c>
      <c r="AF159" s="101">
        <v>22.64</v>
      </c>
      <c r="AG159" s="101">
        <v>21.2</v>
      </c>
      <c r="AH159" s="101">
        <v>22</v>
      </c>
      <c r="AI159" s="101">
        <f t="shared" si="14"/>
        <v>79.951999999999998</v>
      </c>
      <c r="AJ159" s="34"/>
    </row>
    <row r="160" spans="1:36" ht="18" customHeight="1" x14ac:dyDescent="0.2">
      <c r="A160" s="27" t="str">
        <f t="shared" si="15"/>
        <v>개인</v>
      </c>
      <c r="B160" s="27" t="s">
        <v>1569</v>
      </c>
      <c r="C160" s="27" t="s">
        <v>1554</v>
      </c>
      <c r="D160" s="26">
        <v>7349700078</v>
      </c>
      <c r="E160" s="89">
        <v>10042527</v>
      </c>
      <c r="F160" s="25" t="s">
        <v>1517</v>
      </c>
      <c r="G160" s="48" t="s">
        <v>1477</v>
      </c>
      <c r="H160" s="53">
        <v>46022</v>
      </c>
      <c r="I160" s="50">
        <v>46084</v>
      </c>
      <c r="J160" s="127">
        <v>514.03909699999997</v>
      </c>
      <c r="K160" s="14">
        <v>14.278863805555554</v>
      </c>
      <c r="L160" s="49" t="s">
        <v>311</v>
      </c>
      <c r="M160" s="101"/>
      <c r="N160" s="101"/>
      <c r="O160" s="101"/>
      <c r="P160" s="101"/>
      <c r="Q160" s="101"/>
      <c r="R160" s="101"/>
      <c r="S160" s="101"/>
      <c r="T160" s="101"/>
      <c r="U160" s="101"/>
      <c r="V160" s="101"/>
      <c r="W160" s="101"/>
      <c r="X160" s="101"/>
      <c r="Y160" s="101"/>
      <c r="Z160" s="101"/>
      <c r="AA160" s="101"/>
      <c r="AB160" s="101"/>
      <c r="AC160" s="101"/>
      <c r="AD160" s="101">
        <v>0</v>
      </c>
      <c r="AE160" s="101">
        <v>12.624000000000001</v>
      </c>
      <c r="AF160" s="101">
        <v>9.6</v>
      </c>
      <c r="AG160" s="101">
        <v>7.93</v>
      </c>
      <c r="AH160" s="101">
        <v>6.6619999999999999</v>
      </c>
      <c r="AI160" s="101">
        <f t="shared" si="14"/>
        <v>36.816000000000003</v>
      </c>
      <c r="AJ160" s="34"/>
    </row>
    <row r="161" spans="1:36" ht="18" customHeight="1" x14ac:dyDescent="0.2">
      <c r="A161" s="27" t="str">
        <f t="shared" si="15"/>
        <v>법인</v>
      </c>
      <c r="B161" s="27" t="s">
        <v>1556</v>
      </c>
      <c r="C161" s="27" t="s">
        <v>1496</v>
      </c>
      <c r="D161" s="26">
        <v>8078200237</v>
      </c>
      <c r="E161" s="89">
        <v>10042934</v>
      </c>
      <c r="F161" s="25" t="s">
        <v>1518</v>
      </c>
      <c r="G161" s="48" t="s">
        <v>1477</v>
      </c>
      <c r="H161" s="53">
        <v>46090</v>
      </c>
      <c r="I161" s="50">
        <v>46094</v>
      </c>
      <c r="J161" s="127">
        <v>261.79761400000001</v>
      </c>
      <c r="K161" s="14">
        <v>7.272155944444445</v>
      </c>
      <c r="L161" s="49" t="s">
        <v>311</v>
      </c>
      <c r="M161" s="101"/>
      <c r="N161" s="101"/>
      <c r="O161" s="101"/>
      <c r="P161" s="101"/>
      <c r="Q161" s="101"/>
      <c r="R161" s="101"/>
      <c r="S161" s="101"/>
      <c r="T161" s="101"/>
      <c r="U161" s="101"/>
      <c r="V161" s="101"/>
      <c r="W161" s="101"/>
      <c r="X161" s="101"/>
      <c r="Y161" s="101"/>
      <c r="Z161" s="101"/>
      <c r="AA161" s="101"/>
      <c r="AB161" s="101"/>
      <c r="AC161" s="101"/>
      <c r="AD161" s="101">
        <v>0</v>
      </c>
      <c r="AE161" s="101">
        <v>0.13500000000000001</v>
      </c>
      <c r="AF161" s="101">
        <v>0.435</v>
      </c>
      <c r="AG161" s="101">
        <v>1.0720000000000001</v>
      </c>
      <c r="AH161" s="101">
        <v>1.1830000000000001</v>
      </c>
      <c r="AI161" s="101">
        <f t="shared" si="14"/>
        <v>2.8250000000000002</v>
      </c>
      <c r="AJ161" s="34"/>
    </row>
    <row r="162" spans="1:36" ht="18" customHeight="1" x14ac:dyDescent="0.2">
      <c r="A162" s="27" t="str">
        <f t="shared" si="15"/>
        <v>개인</v>
      </c>
      <c r="B162" s="27" t="s">
        <v>1564</v>
      </c>
      <c r="C162" s="27" t="s">
        <v>1554</v>
      </c>
      <c r="D162" s="26">
        <v>3019209364</v>
      </c>
      <c r="E162" s="89">
        <v>10046609</v>
      </c>
      <c r="F162" s="25" t="s">
        <v>1519</v>
      </c>
      <c r="G162" s="48" t="s">
        <v>1477</v>
      </c>
      <c r="H162" s="53">
        <v>46063</v>
      </c>
      <c r="I162" s="50">
        <v>46107</v>
      </c>
      <c r="J162" s="127">
        <v>406.78309999999999</v>
      </c>
      <c r="K162" s="14">
        <v>11.299530555555556</v>
      </c>
      <c r="L162" s="49" t="s">
        <v>311</v>
      </c>
      <c r="M162" s="101"/>
      <c r="N162" s="101"/>
      <c r="O162" s="101"/>
      <c r="P162" s="101"/>
      <c r="Q162" s="101"/>
      <c r="R162" s="101"/>
      <c r="S162" s="101"/>
      <c r="T162" s="101"/>
      <c r="U162" s="101"/>
      <c r="V162" s="101"/>
      <c r="W162" s="101"/>
      <c r="X162" s="101"/>
      <c r="Y162" s="101"/>
      <c r="Z162" s="101"/>
      <c r="AA162" s="101"/>
      <c r="AB162" s="101"/>
      <c r="AC162" s="101"/>
      <c r="AD162" s="101">
        <v>0</v>
      </c>
      <c r="AE162" s="101">
        <v>10.4</v>
      </c>
      <c r="AF162" s="101">
        <v>10.4</v>
      </c>
      <c r="AG162" s="101">
        <v>10.4</v>
      </c>
      <c r="AH162" s="101">
        <v>10.4</v>
      </c>
      <c r="AI162" s="101">
        <f t="shared" si="14"/>
        <v>41.6</v>
      </c>
      <c r="AJ162" s="34"/>
    </row>
    <row r="163" spans="1:36" ht="18" customHeight="1" x14ac:dyDescent="0.2">
      <c r="A163" s="27" t="str">
        <f t="shared" si="15"/>
        <v>개인</v>
      </c>
      <c r="B163" s="27" t="s">
        <v>1558</v>
      </c>
      <c r="C163" s="27" t="s">
        <v>1554</v>
      </c>
      <c r="D163" s="26">
        <v>3929300084</v>
      </c>
      <c r="E163" s="89">
        <v>10050868</v>
      </c>
      <c r="F163" s="25" t="s">
        <v>1520</v>
      </c>
      <c r="G163" s="48" t="s">
        <v>1477</v>
      </c>
      <c r="H163" s="53">
        <v>46091</v>
      </c>
      <c r="I163" s="50">
        <v>46112</v>
      </c>
      <c r="J163" s="127">
        <v>337.45795199999998</v>
      </c>
      <c r="K163" s="14">
        <v>9.3738320000000002</v>
      </c>
      <c r="L163" s="49" t="s">
        <v>311</v>
      </c>
      <c r="M163" s="101"/>
      <c r="N163" s="101"/>
      <c r="O163" s="101"/>
      <c r="P163" s="101"/>
      <c r="Q163" s="101"/>
      <c r="R163" s="101"/>
      <c r="S163" s="101"/>
      <c r="T163" s="101"/>
      <c r="U163" s="101"/>
      <c r="V163" s="101"/>
      <c r="W163" s="101"/>
      <c r="X163" s="101"/>
      <c r="Y163" s="101"/>
      <c r="Z163" s="101"/>
      <c r="AA163" s="101"/>
      <c r="AB163" s="101"/>
      <c r="AC163" s="101"/>
      <c r="AD163" s="101">
        <v>0</v>
      </c>
      <c r="AE163" s="101">
        <v>0</v>
      </c>
      <c r="AF163" s="101">
        <v>9.9060000000000006</v>
      </c>
      <c r="AG163" s="101">
        <v>6.2439999999999998</v>
      </c>
      <c r="AH163" s="101">
        <v>8.08</v>
      </c>
      <c r="AI163" s="101">
        <f t="shared" si="14"/>
        <v>24.229999999999997</v>
      </c>
      <c r="AJ163" s="34"/>
    </row>
    <row r="164" spans="1:36" ht="18" customHeight="1" x14ac:dyDescent="0.2">
      <c r="A164" s="27" t="str">
        <f t="shared" si="15"/>
        <v>개인</v>
      </c>
      <c r="B164" s="27" t="s">
        <v>1566</v>
      </c>
      <c r="C164" s="27" t="s">
        <v>1554</v>
      </c>
      <c r="D164" s="26">
        <v>6739301513</v>
      </c>
      <c r="E164" s="89">
        <v>10084743</v>
      </c>
      <c r="F164" s="25" t="s">
        <v>1521</v>
      </c>
      <c r="G164" s="48" t="s">
        <v>1477</v>
      </c>
      <c r="H164" s="53">
        <v>46036</v>
      </c>
      <c r="I164" s="50">
        <v>46091</v>
      </c>
      <c r="J164" s="127">
        <v>334.02353199999999</v>
      </c>
      <c r="K164" s="14">
        <v>9.2784314444444433</v>
      </c>
      <c r="L164" s="49" t="s">
        <v>311</v>
      </c>
      <c r="M164" s="101"/>
      <c r="N164" s="101"/>
      <c r="O164" s="101"/>
      <c r="P164" s="101"/>
      <c r="Q164" s="101"/>
      <c r="R164" s="101"/>
      <c r="S164" s="101"/>
      <c r="T164" s="101"/>
      <c r="U164" s="101"/>
      <c r="V164" s="101"/>
      <c r="W164" s="101"/>
      <c r="X164" s="101"/>
      <c r="Y164" s="101"/>
      <c r="Z164" s="101"/>
      <c r="AA164" s="101"/>
      <c r="AB164" s="101"/>
      <c r="AC164" s="101"/>
      <c r="AD164" s="101">
        <v>0</v>
      </c>
      <c r="AE164" s="101">
        <v>13.013</v>
      </c>
      <c r="AF164" s="101">
        <v>11.487</v>
      </c>
      <c r="AG164" s="101">
        <v>10.983000000000001</v>
      </c>
      <c r="AH164" s="101">
        <v>12.279</v>
      </c>
      <c r="AI164" s="101">
        <f t="shared" si="14"/>
        <v>47.762</v>
      </c>
      <c r="AJ164" s="34"/>
    </row>
    <row r="165" spans="1:36" ht="18" customHeight="1" x14ac:dyDescent="0.2">
      <c r="A165" s="27" t="str">
        <f t="shared" si="15"/>
        <v>개인</v>
      </c>
      <c r="B165" s="27" t="s">
        <v>1579</v>
      </c>
      <c r="C165" s="27" t="s">
        <v>1554</v>
      </c>
      <c r="D165" s="26">
        <v>8765600670</v>
      </c>
      <c r="E165" s="89">
        <v>10087161</v>
      </c>
      <c r="F165" s="25" t="s">
        <v>1522</v>
      </c>
      <c r="G165" s="48" t="s">
        <v>1477</v>
      </c>
      <c r="H165" s="53">
        <v>46014</v>
      </c>
      <c r="I165" s="50">
        <v>46078</v>
      </c>
      <c r="J165" s="127">
        <v>239.135897</v>
      </c>
      <c r="K165" s="14">
        <v>6.6426638055555554</v>
      </c>
      <c r="L165" s="49" t="s">
        <v>311</v>
      </c>
      <c r="M165" s="101"/>
      <c r="N165" s="101"/>
      <c r="O165" s="101"/>
      <c r="P165" s="101"/>
      <c r="Q165" s="101"/>
      <c r="R165" s="101"/>
      <c r="S165" s="101"/>
      <c r="T165" s="101"/>
      <c r="U165" s="101"/>
      <c r="V165" s="101"/>
      <c r="W165" s="101"/>
      <c r="X165" s="101"/>
      <c r="Y165" s="101"/>
      <c r="Z165" s="101"/>
      <c r="AA165" s="101"/>
      <c r="AB165" s="101"/>
      <c r="AC165" s="101"/>
      <c r="AD165" s="101">
        <v>0</v>
      </c>
      <c r="AE165" s="101">
        <v>1.004</v>
      </c>
      <c r="AF165" s="101">
        <v>1.4690000000000001</v>
      </c>
      <c r="AG165" s="101">
        <v>0</v>
      </c>
      <c r="AH165" s="101">
        <v>4.4340000000000002</v>
      </c>
      <c r="AI165" s="101">
        <f t="shared" si="14"/>
        <v>6.907</v>
      </c>
      <c r="AJ165" s="34"/>
    </row>
    <row r="166" spans="1:36" ht="18" customHeight="1" x14ac:dyDescent="0.2">
      <c r="A166" s="27" t="str">
        <f t="shared" si="15"/>
        <v>개인</v>
      </c>
      <c r="B166" s="27" t="s">
        <v>1570</v>
      </c>
      <c r="C166" s="27" t="s">
        <v>1554</v>
      </c>
      <c r="D166" s="26">
        <v>7469101651</v>
      </c>
      <c r="E166" s="89">
        <v>10111228</v>
      </c>
      <c r="F166" s="25" t="s">
        <v>1523</v>
      </c>
      <c r="G166" s="48" t="s">
        <v>1477</v>
      </c>
      <c r="H166" s="53">
        <v>46090</v>
      </c>
      <c r="I166" s="50">
        <v>46119</v>
      </c>
      <c r="J166" s="127">
        <v>839.23954400000002</v>
      </c>
      <c r="K166" s="14">
        <v>23.312209555555555</v>
      </c>
      <c r="L166" s="49" t="s">
        <v>311</v>
      </c>
      <c r="M166" s="101"/>
      <c r="N166" s="101"/>
      <c r="O166" s="101"/>
      <c r="P166" s="101"/>
      <c r="Q166" s="101"/>
      <c r="R166" s="101"/>
      <c r="S166" s="101"/>
      <c r="T166" s="101"/>
      <c r="U166" s="101"/>
      <c r="V166" s="101"/>
      <c r="W166" s="101"/>
      <c r="X166" s="101"/>
      <c r="Y166" s="101"/>
      <c r="Z166" s="101"/>
      <c r="AA166" s="101"/>
      <c r="AB166" s="101"/>
      <c r="AC166" s="101"/>
      <c r="AD166" s="101">
        <v>0</v>
      </c>
      <c r="AE166" s="101">
        <v>0</v>
      </c>
      <c r="AF166" s="101">
        <v>21.2</v>
      </c>
      <c r="AG166" s="101">
        <v>19.922999999999998</v>
      </c>
      <c r="AH166" s="101">
        <v>16.05</v>
      </c>
      <c r="AI166" s="101">
        <f t="shared" si="14"/>
        <v>57.173000000000002</v>
      </c>
      <c r="AJ166" s="34"/>
    </row>
    <row r="167" spans="1:36" ht="18" customHeight="1" x14ac:dyDescent="0.2">
      <c r="A167" s="27" t="str">
        <f t="shared" si="15"/>
        <v>법인</v>
      </c>
      <c r="B167" s="27" t="s">
        <v>1558</v>
      </c>
      <c r="C167" s="27" t="s">
        <v>1496</v>
      </c>
      <c r="D167" s="26">
        <v>1198201274</v>
      </c>
      <c r="E167" s="89">
        <v>10032148</v>
      </c>
      <c r="F167" s="25" t="s">
        <v>1526</v>
      </c>
      <c r="G167" s="48" t="s">
        <v>1477</v>
      </c>
      <c r="H167" s="53">
        <v>46126</v>
      </c>
      <c r="I167" s="50">
        <v>46134</v>
      </c>
      <c r="J167" s="127">
        <v>452.22177699999997</v>
      </c>
      <c r="K167" s="14">
        <v>12.561716027777777</v>
      </c>
      <c r="L167" s="49" t="s">
        <v>311</v>
      </c>
      <c r="M167" s="101"/>
      <c r="N167" s="101"/>
      <c r="O167" s="101"/>
      <c r="P167" s="101"/>
      <c r="Q167" s="101"/>
      <c r="R167" s="101"/>
      <c r="S167" s="101"/>
      <c r="T167" s="101"/>
      <c r="U167" s="101"/>
      <c r="V167" s="101"/>
      <c r="W167" s="101"/>
      <c r="X167" s="101"/>
      <c r="Y167" s="101"/>
      <c r="Z167" s="101"/>
      <c r="AA167" s="101"/>
      <c r="AB167" s="101"/>
      <c r="AC167" s="101"/>
      <c r="AD167" s="101">
        <v>0</v>
      </c>
      <c r="AE167" s="101">
        <v>0</v>
      </c>
      <c r="AF167" s="101">
        <v>0</v>
      </c>
      <c r="AG167" s="101">
        <v>7.1890000000000001</v>
      </c>
      <c r="AH167" s="101">
        <v>12.141999999999999</v>
      </c>
      <c r="AI167" s="101">
        <f t="shared" si="14"/>
        <v>19.331</v>
      </c>
      <c r="AJ167" s="34"/>
    </row>
    <row r="168" spans="1:36" ht="18" customHeight="1" x14ac:dyDescent="0.2">
      <c r="A168" s="27" t="str">
        <f t="shared" ref="A168:A191" si="17">IF(MID(D168,4,1)="8","법인","개인")</f>
        <v>법인</v>
      </c>
      <c r="B168" s="27" t="s">
        <v>1559</v>
      </c>
      <c r="C168" s="27" t="s">
        <v>1496</v>
      </c>
      <c r="D168" s="26">
        <v>1288207234</v>
      </c>
      <c r="E168" s="89">
        <v>10033027</v>
      </c>
      <c r="F168" s="25" t="s">
        <v>1527</v>
      </c>
      <c r="G168" s="48" t="s">
        <v>1477</v>
      </c>
      <c r="H168" s="53">
        <v>46021</v>
      </c>
      <c r="I168" s="50">
        <v>46072</v>
      </c>
      <c r="J168" s="127">
        <v>395.75952000000001</v>
      </c>
      <c r="K168" s="14">
        <v>10.993320000000001</v>
      </c>
      <c r="L168" s="49" t="s">
        <v>311</v>
      </c>
      <c r="M168" s="101"/>
      <c r="N168" s="101"/>
      <c r="O168" s="101"/>
      <c r="P168" s="101"/>
      <c r="Q168" s="101"/>
      <c r="R168" s="101"/>
      <c r="S168" s="101"/>
      <c r="T168" s="101"/>
      <c r="U168" s="101"/>
      <c r="V168" s="101"/>
      <c r="W168" s="101"/>
      <c r="X168" s="101"/>
      <c r="Y168" s="101"/>
      <c r="Z168" s="101"/>
      <c r="AA168" s="101"/>
      <c r="AB168" s="101"/>
      <c r="AC168" s="101"/>
      <c r="AD168" s="101">
        <v>0</v>
      </c>
      <c r="AE168" s="101">
        <v>0</v>
      </c>
      <c r="AF168" s="101">
        <v>0</v>
      </c>
      <c r="AG168" s="101">
        <v>0</v>
      </c>
      <c r="AH168" s="101">
        <v>0</v>
      </c>
      <c r="AI168" s="101">
        <f t="shared" si="14"/>
        <v>0</v>
      </c>
      <c r="AJ168" s="34"/>
    </row>
    <row r="169" spans="1:36" ht="18" customHeight="1" x14ac:dyDescent="0.2">
      <c r="A169" s="27" t="str">
        <f t="shared" si="17"/>
        <v>개인</v>
      </c>
      <c r="B169" s="27">
        <v>4</v>
      </c>
      <c r="C169" s="148">
        <v>776</v>
      </c>
      <c r="D169" s="26">
        <v>2059954823</v>
      </c>
      <c r="E169" s="89">
        <v>10034681</v>
      </c>
      <c r="F169" s="25" t="s">
        <v>1528</v>
      </c>
      <c r="G169" s="48" t="s">
        <v>1477</v>
      </c>
      <c r="H169" s="53">
        <v>46051</v>
      </c>
      <c r="I169" s="50">
        <v>46098</v>
      </c>
      <c r="J169" s="127">
        <v>1068.606726</v>
      </c>
      <c r="K169" s="14">
        <v>29.683520166666668</v>
      </c>
      <c r="L169" s="49" t="s">
        <v>311</v>
      </c>
      <c r="M169" s="101"/>
      <c r="N169" s="101"/>
      <c r="O169" s="101"/>
      <c r="P169" s="101"/>
      <c r="Q169" s="101"/>
      <c r="R169" s="101"/>
      <c r="S169" s="101"/>
      <c r="T169" s="101"/>
      <c r="U169" s="101"/>
      <c r="V169" s="101"/>
      <c r="W169" s="101"/>
      <c r="X169" s="101"/>
      <c r="Y169" s="101"/>
      <c r="Z169" s="101"/>
      <c r="AA169" s="101"/>
      <c r="AB169" s="101"/>
      <c r="AC169" s="101"/>
      <c r="AD169" s="101">
        <v>0</v>
      </c>
      <c r="AE169" s="101">
        <v>0</v>
      </c>
      <c r="AF169" s="101">
        <v>0</v>
      </c>
      <c r="AG169" s="101">
        <v>0</v>
      </c>
      <c r="AH169" s="101">
        <v>0</v>
      </c>
      <c r="AI169" s="101">
        <f t="shared" si="14"/>
        <v>0</v>
      </c>
      <c r="AJ169" s="34"/>
    </row>
    <row r="170" spans="1:36" ht="18" customHeight="1" x14ac:dyDescent="0.2">
      <c r="A170" s="27" t="str">
        <f t="shared" si="17"/>
        <v>법인</v>
      </c>
      <c r="B170" s="27" t="s">
        <v>1580</v>
      </c>
      <c r="C170" s="27" t="s">
        <v>1496</v>
      </c>
      <c r="D170" s="26">
        <v>4088208124</v>
      </c>
      <c r="E170" s="89">
        <v>10037916</v>
      </c>
      <c r="F170" s="25" t="s">
        <v>223</v>
      </c>
      <c r="G170" s="48" t="s">
        <v>1477</v>
      </c>
      <c r="H170" s="53">
        <v>46143</v>
      </c>
      <c r="I170" s="50">
        <v>46155</v>
      </c>
      <c r="J170" s="127">
        <v>1857.8897569999999</v>
      </c>
      <c r="K170" s="14">
        <v>51.608048805555555</v>
      </c>
      <c r="L170" s="49" t="s">
        <v>311</v>
      </c>
      <c r="M170" s="101"/>
      <c r="N170" s="101"/>
      <c r="O170" s="101"/>
      <c r="P170" s="101"/>
      <c r="Q170" s="101"/>
      <c r="R170" s="101"/>
      <c r="S170" s="101"/>
      <c r="T170" s="101"/>
      <c r="U170" s="101"/>
      <c r="V170" s="101"/>
      <c r="W170" s="101"/>
      <c r="X170" s="101"/>
      <c r="Y170" s="101"/>
      <c r="Z170" s="101"/>
      <c r="AA170" s="101"/>
      <c r="AB170" s="101"/>
      <c r="AC170" s="101"/>
      <c r="AD170" s="101">
        <v>0</v>
      </c>
      <c r="AE170" s="101">
        <v>0</v>
      </c>
      <c r="AF170" s="101">
        <v>4.2833870000000003</v>
      </c>
      <c r="AG170" s="101">
        <v>11.846477999999999</v>
      </c>
      <c r="AH170" s="101">
        <v>11.571904999999999</v>
      </c>
      <c r="AI170" s="101">
        <f t="shared" si="14"/>
        <v>27.701769999999996</v>
      </c>
      <c r="AJ170" s="34"/>
    </row>
    <row r="171" spans="1:36" ht="18" customHeight="1" x14ac:dyDescent="0.2">
      <c r="A171" s="27" t="str">
        <f t="shared" si="17"/>
        <v>법인</v>
      </c>
      <c r="B171" s="27" t="s">
        <v>1561</v>
      </c>
      <c r="C171" s="27" t="s">
        <v>1496</v>
      </c>
      <c r="D171" s="26">
        <v>6038203952</v>
      </c>
      <c r="E171" s="89">
        <v>10040523</v>
      </c>
      <c r="F171" s="25" t="s">
        <v>1529</v>
      </c>
      <c r="G171" s="48" t="s">
        <v>1477</v>
      </c>
      <c r="H171" s="53">
        <v>46101</v>
      </c>
      <c r="I171" s="50">
        <v>46105</v>
      </c>
      <c r="J171" s="127">
        <v>2188.5124689999998</v>
      </c>
      <c r="K171" s="14">
        <v>60.79201302777777</v>
      </c>
      <c r="L171" s="49" t="s">
        <v>311</v>
      </c>
      <c r="M171" s="101"/>
      <c r="N171" s="101"/>
      <c r="O171" s="101"/>
      <c r="P171" s="101"/>
      <c r="Q171" s="101"/>
      <c r="R171" s="101"/>
      <c r="S171" s="101"/>
      <c r="T171" s="101"/>
      <c r="U171" s="101"/>
      <c r="V171" s="101"/>
      <c r="W171" s="101"/>
      <c r="X171" s="101"/>
      <c r="Y171" s="101"/>
      <c r="Z171" s="101"/>
      <c r="AA171" s="101"/>
      <c r="AB171" s="101"/>
      <c r="AC171" s="101"/>
      <c r="AD171" s="101">
        <v>0</v>
      </c>
      <c r="AE171" s="101">
        <v>0</v>
      </c>
      <c r="AF171" s="101">
        <v>0</v>
      </c>
      <c r="AG171" s="101">
        <v>0</v>
      </c>
      <c r="AH171" s="101">
        <v>9.3350000000000009</v>
      </c>
      <c r="AI171" s="101">
        <f t="shared" si="14"/>
        <v>9.3350000000000009</v>
      </c>
      <c r="AJ171" s="34"/>
    </row>
    <row r="172" spans="1:36" ht="18" customHeight="1" x14ac:dyDescent="0.2">
      <c r="A172" s="27" t="str">
        <f t="shared" si="17"/>
        <v>법인</v>
      </c>
      <c r="B172" s="27" t="s">
        <v>1566</v>
      </c>
      <c r="C172" s="27" t="s">
        <v>1496</v>
      </c>
      <c r="D172" s="26">
        <v>6058202148</v>
      </c>
      <c r="E172" s="89">
        <v>10040635</v>
      </c>
      <c r="F172" s="25" t="s">
        <v>1491</v>
      </c>
      <c r="G172" s="48" t="s">
        <v>1477</v>
      </c>
      <c r="H172" s="53">
        <v>46073</v>
      </c>
      <c r="I172" s="50">
        <v>46108</v>
      </c>
      <c r="J172" s="127">
        <v>812.93</v>
      </c>
      <c r="K172" s="14">
        <v>22.581388888888888</v>
      </c>
      <c r="L172" s="49" t="s">
        <v>311</v>
      </c>
      <c r="M172" s="101"/>
      <c r="N172" s="101"/>
      <c r="O172" s="101"/>
      <c r="P172" s="101"/>
      <c r="Q172" s="101"/>
      <c r="R172" s="101"/>
      <c r="S172" s="101"/>
      <c r="T172" s="101"/>
      <c r="U172" s="101"/>
      <c r="V172" s="101"/>
      <c r="W172" s="101"/>
      <c r="X172" s="101"/>
      <c r="Y172" s="101"/>
      <c r="Z172" s="101"/>
      <c r="AA172" s="101"/>
      <c r="AB172" s="101"/>
      <c r="AC172" s="101"/>
      <c r="AD172" s="101">
        <v>0</v>
      </c>
      <c r="AE172" s="101">
        <v>0</v>
      </c>
      <c r="AF172" s="101">
        <v>0</v>
      </c>
      <c r="AG172" s="101">
        <v>0</v>
      </c>
      <c r="AH172" s="101">
        <v>0</v>
      </c>
      <c r="AI172" s="101">
        <f t="shared" si="14"/>
        <v>0</v>
      </c>
      <c r="AJ172" s="34"/>
    </row>
    <row r="173" spans="1:36" ht="18" customHeight="1" x14ac:dyDescent="0.2">
      <c r="A173" s="27" t="str">
        <f t="shared" si="17"/>
        <v>법인</v>
      </c>
      <c r="B173" s="27" t="s">
        <v>1563</v>
      </c>
      <c r="C173" s="27" t="s">
        <v>1496</v>
      </c>
      <c r="D173" s="26">
        <v>6068211790</v>
      </c>
      <c r="E173" s="89">
        <v>10040724</v>
      </c>
      <c r="F173" s="25" t="s">
        <v>1530</v>
      </c>
      <c r="G173" s="48" t="s">
        <v>321</v>
      </c>
      <c r="H173" s="53">
        <v>46175</v>
      </c>
      <c r="I173" s="50">
        <v>46196</v>
      </c>
      <c r="J173" s="127">
        <v>417.89190000000002</v>
      </c>
      <c r="K173" s="14">
        <v>11.608108333333334</v>
      </c>
      <c r="L173" s="49" t="s">
        <v>311</v>
      </c>
      <c r="M173" s="101"/>
      <c r="N173" s="101"/>
      <c r="O173" s="101"/>
      <c r="P173" s="101"/>
      <c r="Q173" s="101"/>
      <c r="R173" s="101"/>
      <c r="S173" s="101"/>
      <c r="T173" s="101"/>
      <c r="U173" s="101"/>
      <c r="V173" s="101"/>
      <c r="W173" s="101"/>
      <c r="X173" s="101"/>
      <c r="Y173" s="101"/>
      <c r="Z173" s="101"/>
      <c r="AA173" s="101"/>
      <c r="AB173" s="101"/>
      <c r="AC173" s="101"/>
      <c r="AD173" s="101">
        <v>0</v>
      </c>
      <c r="AE173" s="101">
        <v>0</v>
      </c>
      <c r="AF173" s="101">
        <v>139.29730000000001</v>
      </c>
      <c r="AG173" s="101">
        <v>139.29730000000001</v>
      </c>
      <c r="AH173" s="101">
        <v>139.29730000000001</v>
      </c>
      <c r="AI173" s="101">
        <f t="shared" si="14"/>
        <v>417.89190000000002</v>
      </c>
      <c r="AJ173" s="34"/>
    </row>
    <row r="174" spans="1:36" ht="18" customHeight="1" x14ac:dyDescent="0.2">
      <c r="A174" s="27" t="str">
        <f t="shared" si="17"/>
        <v>법인</v>
      </c>
      <c r="B174" s="27" t="s">
        <v>1559</v>
      </c>
      <c r="C174" s="27" t="s">
        <v>1496</v>
      </c>
      <c r="D174" s="26">
        <v>6158210039</v>
      </c>
      <c r="E174" s="89">
        <v>10041416</v>
      </c>
      <c r="F174" s="25" t="s">
        <v>209</v>
      </c>
      <c r="G174" s="48" t="s">
        <v>1477</v>
      </c>
      <c r="H174" s="53">
        <v>46021</v>
      </c>
      <c r="I174" s="50">
        <v>46064</v>
      </c>
      <c r="J174" s="127">
        <v>994.80634999999995</v>
      </c>
      <c r="K174" s="14">
        <v>27.633509722222222</v>
      </c>
      <c r="L174" s="49" t="s">
        <v>311</v>
      </c>
      <c r="M174" s="101"/>
      <c r="N174" s="101"/>
      <c r="O174" s="101"/>
      <c r="P174" s="101"/>
      <c r="Q174" s="101"/>
      <c r="R174" s="101"/>
      <c r="S174" s="101"/>
      <c r="T174" s="101"/>
      <c r="U174" s="101"/>
      <c r="V174" s="101"/>
      <c r="W174" s="101"/>
      <c r="X174" s="101"/>
      <c r="Y174" s="101"/>
      <c r="Z174" s="101"/>
      <c r="AA174" s="101"/>
      <c r="AB174" s="101"/>
      <c r="AC174" s="101"/>
      <c r="AD174" s="101">
        <v>0</v>
      </c>
      <c r="AE174" s="101">
        <v>0</v>
      </c>
      <c r="AF174" s="101">
        <v>14.06</v>
      </c>
      <c r="AG174" s="101">
        <v>17.562999999999999</v>
      </c>
      <c r="AH174" s="101">
        <v>13.335000000000001</v>
      </c>
      <c r="AI174" s="101">
        <f t="shared" si="14"/>
        <v>44.957999999999998</v>
      </c>
      <c r="AJ174" s="34"/>
    </row>
    <row r="175" spans="1:36" ht="18" customHeight="1" x14ac:dyDescent="0.2">
      <c r="A175" s="27" t="str">
        <f t="shared" si="17"/>
        <v>개인</v>
      </c>
      <c r="B175" s="27">
        <v>1</v>
      </c>
      <c r="C175" s="148">
        <v>982</v>
      </c>
      <c r="D175" s="26">
        <v>2049371905</v>
      </c>
      <c r="E175" s="89">
        <v>10045059</v>
      </c>
      <c r="F175" s="25" t="s">
        <v>1531</v>
      </c>
      <c r="G175" s="48" t="s">
        <v>1477</v>
      </c>
      <c r="H175" s="53">
        <v>46142</v>
      </c>
      <c r="I175" s="50">
        <v>46161</v>
      </c>
      <c r="J175" s="127">
        <v>346.39888000000002</v>
      </c>
      <c r="K175" s="14">
        <v>9.6221911111111122</v>
      </c>
      <c r="L175" s="49" t="s">
        <v>311</v>
      </c>
      <c r="M175" s="101"/>
      <c r="N175" s="101"/>
      <c r="O175" s="101"/>
      <c r="P175" s="101"/>
      <c r="Q175" s="101"/>
      <c r="R175" s="101"/>
      <c r="S175" s="101"/>
      <c r="T175" s="101"/>
      <c r="U175" s="101"/>
      <c r="V175" s="101"/>
      <c r="W175" s="101"/>
      <c r="X175" s="101"/>
      <c r="Y175" s="101"/>
      <c r="Z175" s="101"/>
      <c r="AA175" s="101"/>
      <c r="AB175" s="101"/>
      <c r="AC175" s="101"/>
      <c r="AD175" s="101">
        <v>0</v>
      </c>
      <c r="AE175" s="101">
        <v>0</v>
      </c>
      <c r="AF175" s="101">
        <v>1.744</v>
      </c>
      <c r="AG175" s="101">
        <v>14.672000000000001</v>
      </c>
      <c r="AH175" s="101">
        <v>0</v>
      </c>
      <c r="AI175" s="101">
        <f t="shared" si="14"/>
        <v>16.416</v>
      </c>
      <c r="AJ175" s="34"/>
    </row>
    <row r="176" spans="1:36" ht="18" customHeight="1" x14ac:dyDescent="0.2">
      <c r="A176" s="27" t="str">
        <f t="shared" si="17"/>
        <v>개인</v>
      </c>
      <c r="B176" s="27">
        <v>10</v>
      </c>
      <c r="C176" s="148">
        <v>250</v>
      </c>
      <c r="D176" s="26">
        <v>5213100103</v>
      </c>
      <c r="E176" s="89">
        <v>10061894</v>
      </c>
      <c r="F176" s="25" t="s">
        <v>1532</v>
      </c>
      <c r="G176" s="48" t="s">
        <v>1477</v>
      </c>
      <c r="H176" s="53">
        <v>46128</v>
      </c>
      <c r="I176" s="50">
        <v>46147</v>
      </c>
      <c r="J176" s="127">
        <v>514.23769600000003</v>
      </c>
      <c r="K176" s="14">
        <v>14.284380444444444</v>
      </c>
      <c r="L176" s="49" t="s">
        <v>311</v>
      </c>
      <c r="M176" s="101"/>
      <c r="N176" s="101"/>
      <c r="O176" s="101"/>
      <c r="P176" s="101"/>
      <c r="Q176" s="101"/>
      <c r="R176" s="101"/>
      <c r="S176" s="101"/>
      <c r="T176" s="101"/>
      <c r="U176" s="101"/>
      <c r="V176" s="101"/>
      <c r="W176" s="101"/>
      <c r="X176" s="101"/>
      <c r="Y176" s="101"/>
      <c r="Z176" s="101"/>
      <c r="AA176" s="101"/>
      <c r="AB176" s="101"/>
      <c r="AC176" s="101"/>
      <c r="AD176" s="101">
        <v>0</v>
      </c>
      <c r="AE176" s="101">
        <v>0</v>
      </c>
      <c r="AF176" s="101">
        <v>0</v>
      </c>
      <c r="AG176" s="101">
        <v>0</v>
      </c>
      <c r="AH176" s="101">
        <v>0</v>
      </c>
      <c r="AI176" s="101">
        <f t="shared" si="14"/>
        <v>0</v>
      </c>
      <c r="AJ176" s="34"/>
    </row>
    <row r="177" spans="1:36" ht="18" customHeight="1" x14ac:dyDescent="0.2">
      <c r="A177" s="27" t="str">
        <f t="shared" si="17"/>
        <v>개인</v>
      </c>
      <c r="B177" s="27">
        <v>3</v>
      </c>
      <c r="C177" s="148">
        <v>887</v>
      </c>
      <c r="D177" s="26">
        <v>1880502389</v>
      </c>
      <c r="E177" s="89">
        <v>10077968</v>
      </c>
      <c r="F177" s="25" t="s">
        <v>1533</v>
      </c>
      <c r="G177" s="48" t="s">
        <v>1477</v>
      </c>
      <c r="H177" s="53">
        <v>46121</v>
      </c>
      <c r="I177" s="50">
        <v>46140</v>
      </c>
      <c r="J177" s="127">
        <v>389.62643700000001</v>
      </c>
      <c r="K177" s="14">
        <v>10.822956583333333</v>
      </c>
      <c r="L177" s="49" t="s">
        <v>311</v>
      </c>
      <c r="M177" s="101"/>
      <c r="N177" s="101"/>
      <c r="O177" s="101"/>
      <c r="P177" s="101"/>
      <c r="Q177" s="101"/>
      <c r="R177" s="101"/>
      <c r="S177" s="101"/>
      <c r="T177" s="101"/>
      <c r="U177" s="101"/>
      <c r="V177" s="101"/>
      <c r="W177" s="101"/>
      <c r="X177" s="101"/>
      <c r="Y177" s="101"/>
      <c r="Z177" s="101"/>
      <c r="AA177" s="101"/>
      <c r="AB177" s="101"/>
      <c r="AC177" s="101"/>
      <c r="AD177" s="101">
        <v>0</v>
      </c>
      <c r="AE177" s="101">
        <v>0</v>
      </c>
      <c r="AF177" s="101">
        <v>0</v>
      </c>
      <c r="AG177" s="101">
        <v>0</v>
      </c>
      <c r="AH177" s="101">
        <v>0</v>
      </c>
      <c r="AI177" s="101">
        <f t="shared" si="14"/>
        <v>0</v>
      </c>
      <c r="AJ177" s="34"/>
    </row>
    <row r="178" spans="1:36" ht="18" customHeight="1" x14ac:dyDescent="0.2">
      <c r="A178" s="27" t="str">
        <f t="shared" si="17"/>
        <v>개인</v>
      </c>
      <c r="B178" s="27">
        <v>2</v>
      </c>
      <c r="C178" s="148">
        <v>926</v>
      </c>
      <c r="D178" s="26">
        <v>2219201090</v>
      </c>
      <c r="E178" s="89">
        <v>10083322</v>
      </c>
      <c r="F178" s="25" t="s">
        <v>1534</v>
      </c>
      <c r="G178" s="48" t="s">
        <v>1477</v>
      </c>
      <c r="H178" s="53">
        <v>46128</v>
      </c>
      <c r="I178" s="50">
        <v>46134</v>
      </c>
      <c r="J178" s="127">
        <v>529.15531199999998</v>
      </c>
      <c r="K178" s="14">
        <v>14.698758666666667</v>
      </c>
      <c r="L178" s="49" t="s">
        <v>311</v>
      </c>
      <c r="M178" s="101"/>
      <c r="N178" s="101"/>
      <c r="O178" s="101"/>
      <c r="P178" s="101"/>
      <c r="Q178" s="101"/>
      <c r="R178" s="101"/>
      <c r="S178" s="101"/>
      <c r="T178" s="101"/>
      <c r="U178" s="101"/>
      <c r="V178" s="101"/>
      <c r="W178" s="101"/>
      <c r="X178" s="101"/>
      <c r="Y178" s="101"/>
      <c r="Z178" s="101"/>
      <c r="AA178" s="101"/>
      <c r="AB178" s="101"/>
      <c r="AC178" s="101"/>
      <c r="AD178" s="101">
        <v>0</v>
      </c>
      <c r="AE178" s="101">
        <v>0</v>
      </c>
      <c r="AF178" s="101">
        <v>4.7060000000000004</v>
      </c>
      <c r="AG178" s="101">
        <v>10.72</v>
      </c>
      <c r="AH178" s="101">
        <v>12.864000000000001</v>
      </c>
      <c r="AI178" s="101">
        <f t="shared" si="14"/>
        <v>28.290000000000003</v>
      </c>
      <c r="AJ178" s="34"/>
    </row>
    <row r="179" spans="1:36" ht="18" customHeight="1" x14ac:dyDescent="0.2">
      <c r="A179" s="27" t="str">
        <f t="shared" si="17"/>
        <v>개인</v>
      </c>
      <c r="B179" s="27" t="s">
        <v>1564</v>
      </c>
      <c r="C179" s="27" t="s">
        <v>1554</v>
      </c>
      <c r="D179" s="26">
        <v>3029382098</v>
      </c>
      <c r="E179" s="89">
        <v>10086968</v>
      </c>
      <c r="F179" s="25" t="s">
        <v>1535</v>
      </c>
      <c r="G179" s="48" t="s">
        <v>1477</v>
      </c>
      <c r="H179" s="53">
        <v>45988</v>
      </c>
      <c r="I179" s="50">
        <v>46049</v>
      </c>
      <c r="J179" s="127">
        <v>483.754007</v>
      </c>
      <c r="K179" s="14">
        <v>13.437611305555556</v>
      </c>
      <c r="L179" s="49" t="s">
        <v>311</v>
      </c>
      <c r="M179" s="101"/>
      <c r="N179" s="101"/>
      <c r="O179" s="101"/>
      <c r="P179" s="101"/>
      <c r="Q179" s="101"/>
      <c r="R179" s="101"/>
      <c r="S179" s="101"/>
      <c r="T179" s="101"/>
      <c r="U179" s="101"/>
      <c r="V179" s="101"/>
      <c r="W179" s="101"/>
      <c r="X179" s="101"/>
      <c r="Y179" s="101"/>
      <c r="Z179" s="101"/>
      <c r="AA179" s="101"/>
      <c r="AB179" s="101"/>
      <c r="AC179" s="101"/>
      <c r="AD179" s="101">
        <v>0</v>
      </c>
      <c r="AE179" s="101">
        <v>0</v>
      </c>
      <c r="AF179" s="101">
        <v>2.6880000000000002</v>
      </c>
      <c r="AG179" s="101">
        <v>3.794</v>
      </c>
      <c r="AH179" s="101">
        <v>4.3150000000000004</v>
      </c>
      <c r="AI179" s="101">
        <f t="shared" si="14"/>
        <v>10.797000000000001</v>
      </c>
      <c r="AJ179" s="34"/>
    </row>
    <row r="180" spans="1:36" ht="18" customHeight="1" x14ac:dyDescent="0.2">
      <c r="A180" s="27" t="str">
        <f t="shared" si="17"/>
        <v>법인</v>
      </c>
      <c r="B180" s="27" t="s">
        <v>1563</v>
      </c>
      <c r="C180" s="27" t="s">
        <v>1496</v>
      </c>
      <c r="D180" s="26">
        <v>4118213040</v>
      </c>
      <c r="E180" s="89">
        <v>10112263</v>
      </c>
      <c r="F180" s="25" t="s">
        <v>1536</v>
      </c>
      <c r="G180" s="48" t="s">
        <v>1477</v>
      </c>
      <c r="H180" s="53">
        <v>46106</v>
      </c>
      <c r="I180" s="50">
        <v>46119</v>
      </c>
      <c r="J180" s="127">
        <v>423.79433599999999</v>
      </c>
      <c r="K180" s="14">
        <v>11.772064888888888</v>
      </c>
      <c r="L180" s="49" t="s">
        <v>311</v>
      </c>
      <c r="M180" s="101"/>
      <c r="N180" s="101"/>
      <c r="O180" s="101"/>
      <c r="P180" s="101"/>
      <c r="Q180" s="101"/>
      <c r="R180" s="101"/>
      <c r="S180" s="101"/>
      <c r="T180" s="101"/>
      <c r="U180" s="101"/>
      <c r="V180" s="101"/>
      <c r="W180" s="101"/>
      <c r="X180" s="101"/>
      <c r="Y180" s="101"/>
      <c r="Z180" s="101"/>
      <c r="AA180" s="101"/>
      <c r="AB180" s="101"/>
      <c r="AC180" s="101"/>
      <c r="AD180" s="101">
        <v>0</v>
      </c>
      <c r="AE180" s="101">
        <v>0</v>
      </c>
      <c r="AF180" s="101">
        <v>0</v>
      </c>
      <c r="AG180" s="101">
        <v>16.440000000000001</v>
      </c>
      <c r="AH180" s="101">
        <v>8.64</v>
      </c>
      <c r="AI180" s="101">
        <f t="shared" si="14"/>
        <v>25.080000000000002</v>
      </c>
      <c r="AJ180" s="34"/>
    </row>
    <row r="181" spans="1:36" ht="18" customHeight="1" x14ac:dyDescent="0.2">
      <c r="A181" s="27" t="str">
        <f t="shared" si="17"/>
        <v>법인</v>
      </c>
      <c r="B181" s="27" t="s">
        <v>1565</v>
      </c>
      <c r="C181" s="27" t="s">
        <v>1496</v>
      </c>
      <c r="D181" s="26">
        <v>5808200671</v>
      </c>
      <c r="E181" s="89">
        <v>10112774</v>
      </c>
      <c r="F181" s="25" t="s">
        <v>1537</v>
      </c>
      <c r="G181" s="48" t="s">
        <v>1477</v>
      </c>
      <c r="H181" s="53">
        <v>45989</v>
      </c>
      <c r="I181" s="50">
        <v>46035</v>
      </c>
      <c r="J181" s="127">
        <v>983.75914</v>
      </c>
      <c r="K181" s="14">
        <v>27.326642777777778</v>
      </c>
      <c r="L181" s="49" t="s">
        <v>311</v>
      </c>
      <c r="M181" s="101"/>
      <c r="N181" s="101"/>
      <c r="O181" s="101"/>
      <c r="P181" s="101"/>
      <c r="Q181" s="101"/>
      <c r="R181" s="101"/>
      <c r="S181" s="101"/>
      <c r="T181" s="101"/>
      <c r="U181" s="101"/>
      <c r="V181" s="101"/>
      <c r="W181" s="101"/>
      <c r="X181" s="101"/>
      <c r="Y181" s="101"/>
      <c r="Z181" s="101"/>
      <c r="AA181" s="101"/>
      <c r="AB181" s="101"/>
      <c r="AC181" s="101"/>
      <c r="AD181" s="101">
        <v>0</v>
      </c>
      <c r="AE181" s="101">
        <v>0</v>
      </c>
      <c r="AF181" s="101">
        <v>9.1859999999999999</v>
      </c>
      <c r="AG181" s="101">
        <v>2.7730000000000001</v>
      </c>
      <c r="AH181" s="101">
        <v>6.024</v>
      </c>
      <c r="AI181" s="101">
        <f t="shared" si="14"/>
        <v>17.983000000000001</v>
      </c>
      <c r="AJ181" s="34"/>
    </row>
    <row r="182" spans="1:36" ht="18" customHeight="1" x14ac:dyDescent="0.2">
      <c r="A182" s="27" t="str">
        <f t="shared" si="17"/>
        <v>개인</v>
      </c>
      <c r="B182" s="27">
        <v>1</v>
      </c>
      <c r="C182" s="148">
        <v>993</v>
      </c>
      <c r="D182" s="26">
        <v>1289247837</v>
      </c>
      <c r="E182" s="89">
        <v>10006922</v>
      </c>
      <c r="F182" s="25" t="s">
        <v>1539</v>
      </c>
      <c r="G182" s="48" t="s">
        <v>1477</v>
      </c>
      <c r="H182" s="53">
        <v>46153</v>
      </c>
      <c r="I182" s="50">
        <v>46185</v>
      </c>
      <c r="J182" s="127">
        <v>340.18818599999997</v>
      </c>
      <c r="K182" s="14">
        <v>9.4496718333333334</v>
      </c>
      <c r="L182" s="49" t="s">
        <v>311</v>
      </c>
      <c r="M182" s="101"/>
      <c r="N182" s="101"/>
      <c r="O182" s="101"/>
      <c r="P182" s="101"/>
      <c r="Q182" s="101"/>
      <c r="R182" s="101"/>
      <c r="S182" s="101"/>
      <c r="T182" s="101"/>
      <c r="U182" s="101"/>
      <c r="V182" s="101"/>
      <c r="W182" s="101"/>
      <c r="X182" s="101"/>
      <c r="Y182" s="101"/>
      <c r="Z182" s="101"/>
      <c r="AA182" s="101"/>
      <c r="AB182" s="101"/>
      <c r="AC182" s="101"/>
      <c r="AD182" s="101"/>
      <c r="AE182" s="101"/>
      <c r="AF182" s="101">
        <v>0</v>
      </c>
      <c r="AG182" s="101">
        <v>0.46400000000000002</v>
      </c>
      <c r="AH182" s="101">
        <v>0</v>
      </c>
      <c r="AI182" s="101">
        <f t="shared" si="14"/>
        <v>0.46400000000000002</v>
      </c>
      <c r="AJ182" s="34"/>
    </row>
    <row r="183" spans="1:36" ht="18" customHeight="1" x14ac:dyDescent="0.2">
      <c r="A183" s="27" t="str">
        <f t="shared" si="17"/>
        <v>법인</v>
      </c>
      <c r="B183" s="27" t="s">
        <v>1577</v>
      </c>
      <c r="C183" s="27" t="s">
        <v>1496</v>
      </c>
      <c r="D183" s="26">
        <v>2068201898</v>
      </c>
      <c r="E183" s="89">
        <v>10034735</v>
      </c>
      <c r="F183" s="25" t="s">
        <v>1540</v>
      </c>
      <c r="G183" s="48" t="s">
        <v>1477</v>
      </c>
      <c r="H183" s="53">
        <v>46048</v>
      </c>
      <c r="I183" s="50">
        <v>46084</v>
      </c>
      <c r="J183" s="127">
        <v>2683.2282399999999</v>
      </c>
      <c r="K183" s="14">
        <v>74.53411777777778</v>
      </c>
      <c r="L183" s="49" t="s">
        <v>311</v>
      </c>
      <c r="M183" s="101"/>
      <c r="N183" s="101"/>
      <c r="O183" s="101"/>
      <c r="P183" s="101"/>
      <c r="Q183" s="101"/>
      <c r="R183" s="101"/>
      <c r="S183" s="101"/>
      <c r="T183" s="101"/>
      <c r="U183" s="101"/>
      <c r="V183" s="101"/>
      <c r="W183" s="101"/>
      <c r="X183" s="101"/>
      <c r="Y183" s="101"/>
      <c r="Z183" s="101"/>
      <c r="AA183" s="101"/>
      <c r="AB183" s="101"/>
      <c r="AC183" s="101"/>
      <c r="AD183" s="101"/>
      <c r="AE183" s="101"/>
      <c r="AF183" s="101">
        <v>0</v>
      </c>
      <c r="AG183" s="101">
        <v>3.8519999999999999</v>
      </c>
      <c r="AH183" s="101">
        <v>12.430999999999999</v>
      </c>
      <c r="AI183" s="101">
        <f t="shared" si="14"/>
        <v>16.282999999999998</v>
      </c>
      <c r="AJ183" s="34"/>
    </row>
    <row r="184" spans="1:36" ht="18" customHeight="1" x14ac:dyDescent="0.2">
      <c r="A184" s="27" t="str">
        <f t="shared" si="17"/>
        <v>개인</v>
      </c>
      <c r="B184" s="27">
        <v>2</v>
      </c>
      <c r="C184" s="148">
        <v>928</v>
      </c>
      <c r="D184" s="26">
        <v>4109197127</v>
      </c>
      <c r="E184" s="89">
        <v>10038241</v>
      </c>
      <c r="F184" s="25" t="s">
        <v>1541</v>
      </c>
      <c r="G184" s="48" t="s">
        <v>1477</v>
      </c>
      <c r="H184" s="53">
        <v>46148</v>
      </c>
      <c r="I184" s="50">
        <v>46168</v>
      </c>
      <c r="J184" s="127">
        <v>165.40742399999999</v>
      </c>
      <c r="K184" s="14">
        <v>4.5946506666666664</v>
      </c>
      <c r="L184" s="49" t="s">
        <v>311</v>
      </c>
      <c r="M184" s="101"/>
      <c r="N184" s="101"/>
      <c r="O184" s="101"/>
      <c r="P184" s="101"/>
      <c r="Q184" s="101"/>
      <c r="R184" s="101"/>
      <c r="S184" s="101"/>
      <c r="T184" s="101"/>
      <c r="U184" s="101"/>
      <c r="V184" s="101"/>
      <c r="W184" s="101"/>
      <c r="X184" s="101"/>
      <c r="Y184" s="101"/>
      <c r="Z184" s="101"/>
      <c r="AA184" s="101"/>
      <c r="AB184" s="101"/>
      <c r="AC184" s="101"/>
      <c r="AD184" s="101"/>
      <c r="AE184" s="101"/>
      <c r="AF184" s="101">
        <v>0</v>
      </c>
      <c r="AG184" s="101">
        <v>0</v>
      </c>
      <c r="AH184" s="101">
        <v>9.3970000000000002</v>
      </c>
      <c r="AI184" s="101">
        <f t="shared" si="14"/>
        <v>9.3970000000000002</v>
      </c>
      <c r="AJ184" s="34"/>
    </row>
    <row r="185" spans="1:36" ht="18" customHeight="1" x14ac:dyDescent="0.2">
      <c r="A185" s="27" t="str">
        <f t="shared" si="17"/>
        <v>법인</v>
      </c>
      <c r="B185" s="27" t="s">
        <v>1563</v>
      </c>
      <c r="C185" s="27" t="s">
        <v>1496</v>
      </c>
      <c r="D185" s="26">
        <v>5158206462</v>
      </c>
      <c r="E185" s="89">
        <v>10039976</v>
      </c>
      <c r="F185" s="25" t="s">
        <v>1542</v>
      </c>
      <c r="G185" s="48" t="s">
        <v>1477</v>
      </c>
      <c r="H185" s="53">
        <v>46149</v>
      </c>
      <c r="I185" s="50">
        <v>46168</v>
      </c>
      <c r="J185" s="127">
        <v>897.39754500000004</v>
      </c>
      <c r="K185" s="14">
        <v>24.927709583333336</v>
      </c>
      <c r="L185" s="49" t="s">
        <v>311</v>
      </c>
      <c r="M185" s="101"/>
      <c r="N185" s="101"/>
      <c r="O185" s="101"/>
      <c r="P185" s="101"/>
      <c r="Q185" s="101"/>
      <c r="R185" s="101"/>
      <c r="S185" s="101"/>
      <c r="T185" s="101"/>
      <c r="U185" s="101"/>
      <c r="V185" s="101"/>
      <c r="W185" s="101"/>
      <c r="X185" s="101"/>
      <c r="Y185" s="101"/>
      <c r="Z185" s="101"/>
      <c r="AA185" s="101"/>
      <c r="AB185" s="101"/>
      <c r="AC185" s="101"/>
      <c r="AD185" s="101"/>
      <c r="AE185" s="101"/>
      <c r="AF185" s="101">
        <v>0</v>
      </c>
      <c r="AG185" s="101">
        <v>6.16</v>
      </c>
      <c r="AH185" s="101">
        <v>17.123999999999999</v>
      </c>
      <c r="AI185" s="101">
        <f t="shared" si="14"/>
        <v>23.283999999999999</v>
      </c>
      <c r="AJ185" s="34"/>
    </row>
    <row r="186" spans="1:36" ht="18" customHeight="1" x14ac:dyDescent="0.2">
      <c r="A186" s="27" t="str">
        <f t="shared" si="17"/>
        <v>개인</v>
      </c>
      <c r="B186" s="27" t="s">
        <v>1564</v>
      </c>
      <c r="C186" s="27" t="s">
        <v>1554</v>
      </c>
      <c r="D186" s="26">
        <v>5439900350</v>
      </c>
      <c r="E186" s="89">
        <v>10040113</v>
      </c>
      <c r="F186" s="25" t="s">
        <v>1543</v>
      </c>
      <c r="G186" s="48" t="s">
        <v>320</v>
      </c>
      <c r="H186" s="53">
        <v>46203</v>
      </c>
      <c r="I186" s="50">
        <v>46224</v>
      </c>
      <c r="J186" s="127">
        <v>192.88140000000001</v>
      </c>
      <c r="K186" s="14">
        <v>5.3578166666666673</v>
      </c>
      <c r="L186" s="49" t="s">
        <v>311</v>
      </c>
      <c r="M186" s="101"/>
      <c r="N186" s="101"/>
      <c r="O186" s="101"/>
      <c r="P186" s="101"/>
      <c r="Q186" s="101"/>
      <c r="R186" s="101"/>
      <c r="S186" s="101"/>
      <c r="T186" s="101"/>
      <c r="U186" s="101"/>
      <c r="V186" s="101"/>
      <c r="W186" s="101"/>
      <c r="X186" s="101"/>
      <c r="Y186" s="101"/>
      <c r="Z186" s="101"/>
      <c r="AA186" s="101"/>
      <c r="AB186" s="101"/>
      <c r="AC186" s="101"/>
      <c r="AD186" s="101"/>
      <c r="AE186" s="101"/>
      <c r="AF186" s="101">
        <v>0</v>
      </c>
      <c r="AG186" s="101">
        <v>150</v>
      </c>
      <c r="AH186" s="101">
        <v>42.881399999999999</v>
      </c>
      <c r="AI186" s="101">
        <f t="shared" si="14"/>
        <v>192.88139999999999</v>
      </c>
      <c r="AJ186" s="34"/>
    </row>
    <row r="187" spans="1:36" ht="18" customHeight="1" x14ac:dyDescent="0.2">
      <c r="A187" s="27" t="str">
        <f t="shared" si="17"/>
        <v>개인</v>
      </c>
      <c r="B187" s="27">
        <v>2</v>
      </c>
      <c r="C187" s="148">
        <v>916</v>
      </c>
      <c r="D187" s="26">
        <v>4239501417</v>
      </c>
      <c r="E187" s="89">
        <v>10072686</v>
      </c>
      <c r="F187" s="25" t="s">
        <v>1544</v>
      </c>
      <c r="G187" s="48" t="s">
        <v>1477</v>
      </c>
      <c r="H187" s="53">
        <v>46153</v>
      </c>
      <c r="I187" s="50">
        <v>46168</v>
      </c>
      <c r="J187" s="127">
        <v>395.63093500000002</v>
      </c>
      <c r="K187" s="14">
        <v>10.989748194444445</v>
      </c>
      <c r="L187" s="49" t="s">
        <v>311</v>
      </c>
      <c r="M187" s="101"/>
      <c r="N187" s="101"/>
      <c r="O187" s="101"/>
      <c r="P187" s="101"/>
      <c r="Q187" s="101"/>
      <c r="R187" s="101"/>
      <c r="S187" s="101"/>
      <c r="T187" s="101"/>
      <c r="U187" s="101"/>
      <c r="V187" s="101"/>
      <c r="W187" s="101"/>
      <c r="X187" s="101"/>
      <c r="Y187" s="101"/>
      <c r="Z187" s="101"/>
      <c r="AA187" s="101"/>
      <c r="AB187" s="101"/>
      <c r="AC187" s="101"/>
      <c r="AD187" s="101"/>
      <c r="AE187" s="101"/>
      <c r="AF187" s="101">
        <v>0</v>
      </c>
      <c r="AG187" s="101">
        <v>2.8479999999999999</v>
      </c>
      <c r="AH187" s="101">
        <v>6.3680000000000003</v>
      </c>
      <c r="AI187" s="101">
        <f t="shared" si="14"/>
        <v>9.2160000000000011</v>
      </c>
      <c r="AJ187" s="34"/>
    </row>
    <row r="188" spans="1:36" ht="18" customHeight="1" x14ac:dyDescent="0.2">
      <c r="A188" s="27" t="str">
        <f t="shared" si="17"/>
        <v>개인</v>
      </c>
      <c r="B188" s="27" t="s">
        <v>1564</v>
      </c>
      <c r="C188" s="27" t="s">
        <v>1554</v>
      </c>
      <c r="D188" s="26">
        <v>6949001993</v>
      </c>
      <c r="E188" s="89">
        <v>10087386</v>
      </c>
      <c r="F188" s="25" t="s">
        <v>1545</v>
      </c>
      <c r="G188" s="48" t="s">
        <v>319</v>
      </c>
      <c r="H188" s="53">
        <v>46128</v>
      </c>
      <c r="I188" s="50">
        <v>46154</v>
      </c>
      <c r="J188" s="127">
        <v>253.50054</v>
      </c>
      <c r="K188" s="14">
        <v>7.0416816666666664</v>
      </c>
      <c r="L188" s="49" t="s">
        <v>311</v>
      </c>
      <c r="M188" s="101"/>
      <c r="N188" s="101"/>
      <c r="O188" s="101"/>
      <c r="P188" s="101"/>
      <c r="Q188" s="101"/>
      <c r="R188" s="101"/>
      <c r="S188" s="101"/>
      <c r="T188" s="101"/>
      <c r="U188" s="101"/>
      <c r="V188" s="101"/>
      <c r="W188" s="101"/>
      <c r="X188" s="101"/>
      <c r="Y188" s="101"/>
      <c r="Z188" s="101"/>
      <c r="AA188" s="101"/>
      <c r="AB188" s="101"/>
      <c r="AC188" s="101"/>
      <c r="AD188" s="101"/>
      <c r="AE188" s="101"/>
      <c r="AF188" s="101">
        <v>253.50054</v>
      </c>
      <c r="AG188" s="101">
        <v>0</v>
      </c>
      <c r="AH188" s="101">
        <v>0</v>
      </c>
      <c r="AI188" s="101">
        <f t="shared" si="14"/>
        <v>253.50054</v>
      </c>
      <c r="AJ188" s="34"/>
    </row>
    <row r="189" spans="1:36" ht="18" customHeight="1" x14ac:dyDescent="0.2">
      <c r="A189" s="27" t="str">
        <f t="shared" si="17"/>
        <v>개인</v>
      </c>
      <c r="B189" s="27">
        <v>2</v>
      </c>
      <c r="C189" s="148">
        <v>915</v>
      </c>
      <c r="D189" s="26">
        <v>3329402447</v>
      </c>
      <c r="E189" s="89">
        <v>10112509</v>
      </c>
      <c r="F189" s="25" t="s">
        <v>1546</v>
      </c>
      <c r="G189" s="48" t="s">
        <v>1477</v>
      </c>
      <c r="H189" s="53">
        <v>46139</v>
      </c>
      <c r="I189" s="50">
        <v>46154</v>
      </c>
      <c r="J189" s="127">
        <v>619.10241799999994</v>
      </c>
      <c r="K189" s="14">
        <v>17.197289388888887</v>
      </c>
      <c r="L189" s="49" t="s">
        <v>311</v>
      </c>
      <c r="M189" s="101"/>
      <c r="N189" s="101"/>
      <c r="O189" s="101"/>
      <c r="P189" s="101"/>
      <c r="Q189" s="101"/>
      <c r="R189" s="101"/>
      <c r="S189" s="101"/>
      <c r="T189" s="101"/>
      <c r="U189" s="101"/>
      <c r="V189" s="101"/>
      <c r="W189" s="101"/>
      <c r="X189" s="101"/>
      <c r="Y189" s="101"/>
      <c r="Z189" s="101"/>
      <c r="AA189" s="101"/>
      <c r="AB189" s="101"/>
      <c r="AC189" s="101"/>
      <c r="AD189" s="101"/>
      <c r="AE189" s="101"/>
      <c r="AF189" s="101">
        <v>0</v>
      </c>
      <c r="AG189" s="101">
        <v>0</v>
      </c>
      <c r="AH189" s="101">
        <v>4.093</v>
      </c>
      <c r="AI189" s="101">
        <f t="shared" si="14"/>
        <v>4.093</v>
      </c>
      <c r="AJ189" s="34"/>
    </row>
    <row r="190" spans="1:36" ht="18" customHeight="1" x14ac:dyDescent="0.2">
      <c r="A190" s="27" t="str">
        <f t="shared" si="17"/>
        <v>법인</v>
      </c>
      <c r="B190" s="27" t="s">
        <v>1580</v>
      </c>
      <c r="C190" s="27" t="s">
        <v>1496</v>
      </c>
      <c r="D190" s="26">
        <v>2058206304</v>
      </c>
      <c r="E190" s="89">
        <v>10112765</v>
      </c>
      <c r="F190" s="25" t="s">
        <v>1547</v>
      </c>
      <c r="G190" s="48" t="s">
        <v>1477</v>
      </c>
      <c r="H190" s="53">
        <v>45810</v>
      </c>
      <c r="I190" s="50">
        <v>45881</v>
      </c>
      <c r="J190" s="127">
        <v>436.76600000000002</v>
      </c>
      <c r="K190" s="14">
        <v>12.13238888888889</v>
      </c>
      <c r="L190" s="49" t="s">
        <v>311</v>
      </c>
      <c r="M190" s="101"/>
      <c r="N190" s="101"/>
      <c r="O190" s="101"/>
      <c r="P190" s="101"/>
      <c r="Q190" s="101"/>
      <c r="R190" s="101"/>
      <c r="S190" s="101"/>
      <c r="T190" s="101"/>
      <c r="U190" s="101"/>
      <c r="V190" s="101"/>
      <c r="W190" s="101"/>
      <c r="X190" s="101"/>
      <c r="Y190" s="101"/>
      <c r="Z190" s="101"/>
      <c r="AA190" s="101"/>
      <c r="AB190" s="101"/>
      <c r="AC190" s="101"/>
      <c r="AD190" s="101"/>
      <c r="AE190" s="101"/>
      <c r="AF190" s="101">
        <v>0</v>
      </c>
      <c r="AG190" s="101">
        <v>0</v>
      </c>
      <c r="AH190" s="101">
        <v>0</v>
      </c>
      <c r="AI190" s="101">
        <f t="shared" si="14"/>
        <v>0</v>
      </c>
      <c r="AJ190" s="34"/>
    </row>
    <row r="191" spans="1:36" ht="18" customHeight="1" x14ac:dyDescent="0.2">
      <c r="A191" s="27" t="str">
        <f t="shared" si="17"/>
        <v>개인</v>
      </c>
      <c r="B191" s="27" t="s">
        <v>1579</v>
      </c>
      <c r="C191" s="27" t="s">
        <v>1554</v>
      </c>
      <c r="D191" s="26">
        <v>6373901529</v>
      </c>
      <c r="E191" s="89">
        <v>10114610</v>
      </c>
      <c r="F191" s="25" t="s">
        <v>434</v>
      </c>
      <c r="G191" s="48" t="s">
        <v>1477</v>
      </c>
      <c r="H191" s="53">
        <v>45985</v>
      </c>
      <c r="I191" s="50">
        <v>46042</v>
      </c>
      <c r="J191" s="127">
        <v>862.13728200000003</v>
      </c>
      <c r="K191" s="14">
        <v>23.948257833333333</v>
      </c>
      <c r="L191" s="49" t="s">
        <v>311</v>
      </c>
      <c r="M191" s="101"/>
      <c r="N191" s="101"/>
      <c r="O191" s="101"/>
      <c r="P191" s="101"/>
      <c r="Q191" s="101"/>
      <c r="R191" s="101"/>
      <c r="S191" s="101"/>
      <c r="T191" s="101"/>
      <c r="U191" s="101"/>
      <c r="V191" s="101"/>
      <c r="W191" s="101"/>
      <c r="X191" s="101"/>
      <c r="Y191" s="101"/>
      <c r="Z191" s="101"/>
      <c r="AA191" s="101"/>
      <c r="AB191" s="101"/>
      <c r="AC191" s="101"/>
      <c r="AD191" s="101"/>
      <c r="AE191" s="101"/>
      <c r="AF191" s="101">
        <v>0</v>
      </c>
      <c r="AG191" s="101">
        <v>0</v>
      </c>
      <c r="AH191" s="101">
        <v>27.404</v>
      </c>
      <c r="AI191" s="101">
        <f t="shared" si="14"/>
        <v>27.404</v>
      </c>
      <c r="AJ191" s="34"/>
    </row>
    <row r="192" spans="1:36" ht="18" customHeight="1" x14ac:dyDescent="0.2">
      <c r="A192" s="27" t="s">
        <v>1586</v>
      </c>
      <c r="B192" s="27" t="s">
        <v>1594</v>
      </c>
      <c r="C192" s="27" t="s">
        <v>1597</v>
      </c>
      <c r="D192" s="26">
        <v>8159201842</v>
      </c>
      <c r="E192" s="148">
        <v>10090690</v>
      </c>
      <c r="F192" s="25" t="s">
        <v>1585</v>
      </c>
      <c r="G192" s="48" t="s">
        <v>320</v>
      </c>
      <c r="H192" s="53">
        <v>46219</v>
      </c>
      <c r="I192" s="50">
        <v>46245</v>
      </c>
      <c r="J192" s="127">
        <v>350</v>
      </c>
      <c r="K192" s="14">
        <v>23.948257833333333</v>
      </c>
      <c r="L192" s="49" t="s">
        <v>311</v>
      </c>
      <c r="M192" s="101"/>
      <c r="N192" s="101"/>
      <c r="O192" s="101"/>
      <c r="P192" s="101"/>
      <c r="Q192" s="101"/>
      <c r="R192" s="101"/>
      <c r="S192" s="101"/>
      <c r="T192" s="101">
        <v>0</v>
      </c>
      <c r="U192" s="101">
        <v>0</v>
      </c>
      <c r="V192" s="101"/>
      <c r="W192" s="101"/>
      <c r="X192" s="101"/>
      <c r="Y192" s="101"/>
      <c r="Z192" s="101"/>
      <c r="AA192" s="101"/>
      <c r="AB192" s="101"/>
      <c r="AC192" s="101"/>
      <c r="AD192" s="101"/>
      <c r="AE192" s="101"/>
      <c r="AF192" s="101">
        <v>0</v>
      </c>
      <c r="AG192" s="101">
        <v>350</v>
      </c>
      <c r="AH192" s="101">
        <v>0</v>
      </c>
      <c r="AI192" s="101">
        <f t="shared" si="14"/>
        <v>350</v>
      </c>
      <c r="AJ192" s="34"/>
    </row>
    <row r="193" spans="1:36" ht="18" customHeight="1" x14ac:dyDescent="0.2">
      <c r="A193" s="27" t="s">
        <v>1586</v>
      </c>
      <c r="B193" s="27" t="s">
        <v>1595</v>
      </c>
      <c r="C193" s="27"/>
      <c r="D193" s="26">
        <v>1309604542</v>
      </c>
      <c r="E193" s="148">
        <v>10033319</v>
      </c>
      <c r="F193" s="25" t="s">
        <v>1587</v>
      </c>
      <c r="G193" s="48" t="s">
        <v>1477</v>
      </c>
      <c r="H193" s="53">
        <v>46148</v>
      </c>
      <c r="I193" s="50">
        <v>46175</v>
      </c>
      <c r="J193" s="127">
        <v>402.684575</v>
      </c>
      <c r="K193" s="14">
        <v>23.948257833333333</v>
      </c>
      <c r="L193" s="49" t="s">
        <v>311</v>
      </c>
      <c r="M193" s="101"/>
      <c r="N193" s="101"/>
      <c r="O193" s="101"/>
      <c r="P193" s="101"/>
      <c r="Q193" s="101"/>
      <c r="R193" s="101"/>
      <c r="S193" s="101"/>
      <c r="T193" s="101">
        <v>0</v>
      </c>
      <c r="U193" s="101">
        <v>0</v>
      </c>
      <c r="V193" s="101"/>
      <c r="W193" s="101"/>
      <c r="X193" s="101"/>
      <c r="Y193" s="101"/>
      <c r="Z193" s="101"/>
      <c r="AA193" s="101"/>
      <c r="AB193" s="101"/>
      <c r="AC193" s="101"/>
      <c r="AD193" s="101"/>
      <c r="AE193" s="101"/>
      <c r="AF193" s="101">
        <v>0</v>
      </c>
      <c r="AG193" s="101">
        <v>0</v>
      </c>
      <c r="AH193" s="101">
        <v>9.7279999999999998</v>
      </c>
      <c r="AI193" s="101">
        <f t="shared" si="14"/>
        <v>9.7279999999999998</v>
      </c>
      <c r="AJ193" s="34"/>
    </row>
    <row r="194" spans="1:36" ht="18" customHeight="1" x14ac:dyDescent="0.2">
      <c r="A194" s="27" t="s">
        <v>1598</v>
      </c>
      <c r="B194" s="27" t="s">
        <v>1488</v>
      </c>
      <c r="C194" s="27"/>
      <c r="D194" s="26">
        <v>4168210636</v>
      </c>
      <c r="E194" s="148">
        <v>10038511</v>
      </c>
      <c r="F194" s="25" t="s">
        <v>1588</v>
      </c>
      <c r="G194" s="48" t="s">
        <v>1477</v>
      </c>
      <c r="H194" s="53">
        <v>46184</v>
      </c>
      <c r="I194" s="50">
        <v>46203</v>
      </c>
      <c r="J194" s="127">
        <v>378.12016</v>
      </c>
      <c r="K194" s="14">
        <v>23.948257833333333</v>
      </c>
      <c r="L194" s="49" t="s">
        <v>311</v>
      </c>
      <c r="M194" s="101"/>
      <c r="N194" s="101"/>
      <c r="O194" s="101"/>
      <c r="P194" s="101"/>
      <c r="Q194" s="101"/>
      <c r="R194" s="101"/>
      <c r="S194" s="101"/>
      <c r="T194" s="101">
        <v>0</v>
      </c>
      <c r="U194" s="101">
        <v>0</v>
      </c>
      <c r="V194" s="101"/>
      <c r="W194" s="101"/>
      <c r="X194" s="101"/>
      <c r="Y194" s="101"/>
      <c r="Z194" s="101"/>
      <c r="AA194" s="101"/>
      <c r="AB194" s="101"/>
      <c r="AC194" s="101"/>
      <c r="AD194" s="101"/>
      <c r="AE194" s="101"/>
      <c r="AF194" s="101">
        <v>0</v>
      </c>
      <c r="AG194" s="101">
        <v>0</v>
      </c>
      <c r="AH194" s="101">
        <v>0</v>
      </c>
      <c r="AI194" s="101">
        <f t="shared" si="14"/>
        <v>0</v>
      </c>
      <c r="AJ194" s="34"/>
    </row>
    <row r="195" spans="1:36" ht="18" customHeight="1" x14ac:dyDescent="0.2">
      <c r="A195" s="27" t="s">
        <v>1586</v>
      </c>
      <c r="B195" s="27" t="s">
        <v>1575</v>
      </c>
      <c r="C195" s="27"/>
      <c r="D195" s="26">
        <v>5149067705</v>
      </c>
      <c r="E195" s="148">
        <v>10039922</v>
      </c>
      <c r="F195" s="25" t="s">
        <v>1589</v>
      </c>
      <c r="G195" s="48" t="s">
        <v>1477</v>
      </c>
      <c r="H195" s="53">
        <v>46170</v>
      </c>
      <c r="I195" s="50">
        <v>46196</v>
      </c>
      <c r="J195" s="127">
        <v>390.77387499999998</v>
      </c>
      <c r="K195" s="14">
        <v>23.948257833333333</v>
      </c>
      <c r="L195" s="49" t="s">
        <v>311</v>
      </c>
      <c r="M195" s="101"/>
      <c r="N195" s="101"/>
      <c r="O195" s="101"/>
      <c r="P195" s="101"/>
      <c r="Q195" s="101"/>
      <c r="R195" s="101"/>
      <c r="S195" s="101"/>
      <c r="T195" s="101">
        <v>0</v>
      </c>
      <c r="U195" s="101">
        <v>0</v>
      </c>
      <c r="V195" s="101"/>
      <c r="W195" s="101"/>
      <c r="X195" s="101"/>
      <c r="Y195" s="101"/>
      <c r="Z195" s="101"/>
      <c r="AA195" s="101"/>
      <c r="AB195" s="101"/>
      <c r="AC195" s="101"/>
      <c r="AD195" s="101"/>
      <c r="AE195" s="101"/>
      <c r="AF195" s="101">
        <v>0</v>
      </c>
      <c r="AG195" s="101">
        <v>0</v>
      </c>
      <c r="AH195" s="101">
        <v>0</v>
      </c>
      <c r="AI195" s="101">
        <f t="shared" si="14"/>
        <v>0</v>
      </c>
      <c r="AJ195" s="34"/>
    </row>
    <row r="196" spans="1:36" ht="18" customHeight="1" x14ac:dyDescent="0.2">
      <c r="A196" s="27" t="s">
        <v>1598</v>
      </c>
      <c r="B196" s="27" t="s">
        <v>1488</v>
      </c>
      <c r="C196" s="27"/>
      <c r="D196" s="26">
        <v>6138205753</v>
      </c>
      <c r="E196" s="148">
        <v>10041314</v>
      </c>
      <c r="F196" s="25" t="s">
        <v>1590</v>
      </c>
      <c r="G196" s="48" t="s">
        <v>320</v>
      </c>
      <c r="H196" s="53">
        <v>46238</v>
      </c>
      <c r="I196" s="50">
        <v>46245</v>
      </c>
      <c r="J196" s="127">
        <v>240</v>
      </c>
      <c r="K196" s="14">
        <v>23.948257833333333</v>
      </c>
      <c r="L196" s="49" t="s">
        <v>311</v>
      </c>
      <c r="M196" s="101"/>
      <c r="N196" s="101"/>
      <c r="O196" s="101"/>
      <c r="P196" s="101"/>
      <c r="Q196" s="101"/>
      <c r="R196" s="101"/>
      <c r="S196" s="101"/>
      <c r="T196" s="101">
        <v>0</v>
      </c>
      <c r="U196" s="101">
        <v>0</v>
      </c>
      <c r="V196" s="101"/>
      <c r="W196" s="101"/>
      <c r="X196" s="101"/>
      <c r="Y196" s="101"/>
      <c r="Z196" s="101"/>
      <c r="AA196" s="101"/>
      <c r="AB196" s="101"/>
      <c r="AC196" s="101"/>
      <c r="AD196" s="101"/>
      <c r="AE196" s="101"/>
      <c r="AF196" s="101">
        <v>0</v>
      </c>
      <c r="AG196" s="101">
        <v>0</v>
      </c>
      <c r="AH196" s="101">
        <v>48</v>
      </c>
      <c r="AI196" s="101">
        <f t="shared" si="14"/>
        <v>48</v>
      </c>
      <c r="AJ196" s="34"/>
    </row>
    <row r="197" spans="1:36" ht="18" customHeight="1" x14ac:dyDescent="0.2">
      <c r="A197" s="27" t="s">
        <v>1586</v>
      </c>
      <c r="B197" s="27" t="s">
        <v>1488</v>
      </c>
      <c r="C197" s="27"/>
      <c r="D197" s="26">
        <v>7269200198</v>
      </c>
      <c r="E197" s="148">
        <v>10042480</v>
      </c>
      <c r="F197" s="25" t="s">
        <v>1591</v>
      </c>
      <c r="G197" s="48" t="s">
        <v>1477</v>
      </c>
      <c r="H197" s="53">
        <v>46164</v>
      </c>
      <c r="I197" s="50">
        <v>46189</v>
      </c>
      <c r="J197" s="127">
        <v>335.33446600000002</v>
      </c>
      <c r="K197" s="14">
        <v>23.948257833333333</v>
      </c>
      <c r="L197" s="49" t="s">
        <v>311</v>
      </c>
      <c r="M197" s="101"/>
      <c r="N197" s="101"/>
      <c r="O197" s="101"/>
      <c r="P197" s="101"/>
      <c r="Q197" s="101"/>
      <c r="R197" s="101"/>
      <c r="S197" s="101"/>
      <c r="T197" s="101">
        <v>0</v>
      </c>
      <c r="U197" s="101">
        <v>0</v>
      </c>
      <c r="V197" s="101"/>
      <c r="W197" s="101"/>
      <c r="X197" s="101"/>
      <c r="Y197" s="101"/>
      <c r="Z197" s="101"/>
      <c r="AA197" s="101"/>
      <c r="AB197" s="101"/>
      <c r="AC197" s="101"/>
      <c r="AD197" s="101"/>
      <c r="AE197" s="101"/>
      <c r="AF197" s="101">
        <v>0</v>
      </c>
      <c r="AG197" s="101">
        <v>0</v>
      </c>
      <c r="AH197" s="101">
        <v>2.4159999999999999</v>
      </c>
      <c r="AI197" s="101">
        <f t="shared" si="14"/>
        <v>2.4159999999999999</v>
      </c>
      <c r="AJ197" s="34"/>
    </row>
    <row r="198" spans="1:36" ht="18" customHeight="1" x14ac:dyDescent="0.2">
      <c r="A198" s="27" t="s">
        <v>1586</v>
      </c>
      <c r="B198" s="27" t="s">
        <v>1596</v>
      </c>
      <c r="C198" s="27"/>
      <c r="D198" s="26">
        <v>1299276368</v>
      </c>
      <c r="E198" s="148">
        <v>10048962</v>
      </c>
      <c r="F198" s="25" t="s">
        <v>1592</v>
      </c>
      <c r="G198" s="48" t="s">
        <v>1477</v>
      </c>
      <c r="H198" s="53">
        <v>46073</v>
      </c>
      <c r="I198" s="50">
        <v>46112</v>
      </c>
      <c r="J198" s="127">
        <v>494.587379</v>
      </c>
      <c r="K198" s="14">
        <v>23.948257833333333</v>
      </c>
      <c r="L198" s="49" t="s">
        <v>311</v>
      </c>
      <c r="M198" s="101"/>
      <c r="N198" s="101"/>
      <c r="O198" s="101"/>
      <c r="P198" s="101"/>
      <c r="Q198" s="101"/>
      <c r="R198" s="101"/>
      <c r="S198" s="101"/>
      <c r="T198" s="101">
        <v>0</v>
      </c>
      <c r="U198" s="101">
        <v>0</v>
      </c>
      <c r="V198" s="101"/>
      <c r="W198" s="101"/>
      <c r="X198" s="101"/>
      <c r="Y198" s="101"/>
      <c r="Z198" s="101"/>
      <c r="AA198" s="101"/>
      <c r="AB198" s="101"/>
      <c r="AC198" s="101"/>
      <c r="AD198" s="101"/>
      <c r="AE198" s="101"/>
      <c r="AF198" s="101">
        <v>0</v>
      </c>
      <c r="AG198" s="101">
        <v>0</v>
      </c>
      <c r="AH198" s="101">
        <v>2.3199999999999998</v>
      </c>
      <c r="AI198" s="101">
        <f t="shared" ref="AI198:AI200" si="18">SUM(Z198,Y198,X198,W198,V198,U198,T198,S198,R198,Q198,P198,O198,N198,M198,AA198,AB198,AC198,AD198,AE198,AF198,AG198,AH198)</f>
        <v>2.3199999999999998</v>
      </c>
      <c r="AJ198" s="34"/>
    </row>
    <row r="199" spans="1:36" ht="18" customHeight="1" x14ac:dyDescent="0.2">
      <c r="A199" s="27" t="s">
        <v>1586</v>
      </c>
      <c r="B199" s="27" t="s">
        <v>1488</v>
      </c>
      <c r="C199" s="27"/>
      <c r="D199" s="26"/>
      <c r="E199" s="148">
        <v>10050630</v>
      </c>
      <c r="F199" s="25" t="s">
        <v>1593</v>
      </c>
      <c r="G199" s="48" t="s">
        <v>1477</v>
      </c>
      <c r="H199" s="53"/>
      <c r="I199" s="50"/>
      <c r="J199" s="127"/>
      <c r="K199" s="14"/>
      <c r="L199" s="49"/>
      <c r="M199" s="101"/>
      <c r="N199" s="101"/>
      <c r="O199" s="101"/>
      <c r="P199" s="101"/>
      <c r="Q199" s="101"/>
      <c r="R199" s="101"/>
      <c r="S199" s="101"/>
      <c r="T199" s="101">
        <v>0</v>
      </c>
      <c r="U199" s="101">
        <v>0</v>
      </c>
      <c r="V199" s="101"/>
      <c r="W199" s="101"/>
      <c r="X199" s="101"/>
      <c r="Y199" s="101"/>
      <c r="Z199" s="101"/>
      <c r="AA199" s="101"/>
      <c r="AB199" s="101"/>
      <c r="AC199" s="101"/>
      <c r="AD199" s="101"/>
      <c r="AE199" s="101"/>
      <c r="AF199" s="101">
        <v>0</v>
      </c>
      <c r="AG199" s="101">
        <v>0</v>
      </c>
      <c r="AH199" s="101">
        <v>2.09</v>
      </c>
      <c r="AI199" s="101">
        <f t="shared" ref="AI199" si="19">SUM(Z199,Y199,X199,W199,V199,U199,T199,S199,R199,Q199,P199,O199,N199,M199,AA199,AB199,AC199,AD199,AE199,AF199,AG199,AH199)</f>
        <v>2.09</v>
      </c>
      <c r="AJ199" s="34"/>
    </row>
    <row r="200" spans="1:36" ht="18" customHeight="1" x14ac:dyDescent="0.2">
      <c r="A200" s="27" t="s">
        <v>1586</v>
      </c>
      <c r="B200" s="27" t="s">
        <v>1488</v>
      </c>
      <c r="C200" s="27"/>
      <c r="D200" s="26"/>
      <c r="E200" s="148">
        <v>10032743</v>
      </c>
      <c r="F200" s="25" t="s">
        <v>1606</v>
      </c>
      <c r="G200" s="48" t="s">
        <v>1477</v>
      </c>
      <c r="H200" s="53"/>
      <c r="I200" s="50"/>
      <c r="J200" s="127"/>
      <c r="K200" s="14"/>
      <c r="L200" s="49"/>
      <c r="M200" s="101"/>
      <c r="N200" s="101"/>
      <c r="O200" s="101"/>
      <c r="P200" s="101"/>
      <c r="Q200" s="101"/>
      <c r="R200" s="101"/>
      <c r="S200" s="101"/>
      <c r="T200" s="101">
        <v>0</v>
      </c>
      <c r="U200" s="101">
        <v>0</v>
      </c>
      <c r="V200" s="101"/>
      <c r="W200" s="101"/>
      <c r="X200" s="101"/>
      <c r="Y200" s="101"/>
      <c r="Z200" s="101"/>
      <c r="AA200" s="101"/>
      <c r="AB200" s="101"/>
      <c r="AC200" s="101"/>
      <c r="AD200" s="101"/>
      <c r="AE200" s="101"/>
      <c r="AF200" s="101">
        <v>0</v>
      </c>
      <c r="AG200" s="101">
        <v>0</v>
      </c>
      <c r="AH200" s="101">
        <v>0</v>
      </c>
      <c r="AI200" s="101">
        <f t="shared" si="18"/>
        <v>0</v>
      </c>
      <c r="AJ200" s="34"/>
    </row>
    <row r="201" spans="1:36" ht="18" customHeight="1" x14ac:dyDescent="0.2">
      <c r="A201" s="27" t="s">
        <v>1586</v>
      </c>
      <c r="B201" s="27" t="s">
        <v>1488</v>
      </c>
      <c r="C201" s="27"/>
      <c r="D201" s="26"/>
      <c r="E201" s="148">
        <v>10039499</v>
      </c>
      <c r="F201" s="25" t="s">
        <v>1607</v>
      </c>
      <c r="G201" s="48" t="s">
        <v>1477</v>
      </c>
      <c r="H201" s="53"/>
      <c r="I201" s="50"/>
      <c r="J201" s="127"/>
      <c r="K201" s="14"/>
      <c r="L201" s="49"/>
      <c r="M201" s="101"/>
      <c r="N201" s="101"/>
      <c r="O201" s="101"/>
      <c r="P201" s="101"/>
      <c r="Q201" s="101"/>
      <c r="R201" s="101"/>
      <c r="S201" s="101"/>
      <c r="T201" s="101">
        <v>0</v>
      </c>
      <c r="U201" s="101">
        <v>0</v>
      </c>
      <c r="V201" s="101"/>
      <c r="W201" s="101"/>
      <c r="X201" s="101"/>
      <c r="Y201" s="101"/>
      <c r="Z201" s="101"/>
      <c r="AA201" s="101"/>
      <c r="AB201" s="101"/>
      <c r="AC201" s="101"/>
      <c r="AD201" s="101"/>
      <c r="AE201" s="101"/>
      <c r="AF201" s="101">
        <v>0</v>
      </c>
      <c r="AG201" s="101">
        <v>0</v>
      </c>
      <c r="AH201" s="101">
        <v>0</v>
      </c>
      <c r="AI201" s="101">
        <f t="shared" ref="AI201:AI206" si="20">SUM(Z201,Y201,X201,W201,V201,U201,T201,S201,R201,Q201,P201,O201,N201,M201,AA201,AB201,AC201,AD201,AE201,AF201,AG201,AH201)</f>
        <v>0</v>
      </c>
      <c r="AJ201" s="34"/>
    </row>
    <row r="202" spans="1:36" ht="18" customHeight="1" x14ac:dyDescent="0.2">
      <c r="A202" s="27" t="s">
        <v>1586</v>
      </c>
      <c r="B202" s="27" t="s">
        <v>1488</v>
      </c>
      <c r="C202" s="27"/>
      <c r="D202" s="26"/>
      <c r="E202" s="148">
        <v>10041846</v>
      </c>
      <c r="F202" s="25" t="s">
        <v>1608</v>
      </c>
      <c r="G202" s="48" t="s">
        <v>1477</v>
      </c>
      <c r="H202" s="53"/>
      <c r="I202" s="50"/>
      <c r="J202" s="127"/>
      <c r="K202" s="14"/>
      <c r="L202" s="49"/>
      <c r="M202" s="101"/>
      <c r="N202" s="101"/>
      <c r="O202" s="101"/>
      <c r="P202" s="101"/>
      <c r="Q202" s="101"/>
      <c r="R202" s="101"/>
      <c r="S202" s="101"/>
      <c r="T202" s="101">
        <v>0</v>
      </c>
      <c r="U202" s="101">
        <v>0</v>
      </c>
      <c r="V202" s="101"/>
      <c r="W202" s="101"/>
      <c r="X202" s="101"/>
      <c r="Y202" s="101"/>
      <c r="Z202" s="101"/>
      <c r="AA202" s="101"/>
      <c r="AB202" s="101"/>
      <c r="AC202" s="101"/>
      <c r="AD202" s="101"/>
      <c r="AE202" s="101"/>
      <c r="AF202" s="101">
        <v>0</v>
      </c>
      <c r="AG202" s="101">
        <v>0</v>
      </c>
      <c r="AH202" s="101">
        <v>3.5819999999999999</v>
      </c>
      <c r="AI202" s="101">
        <f t="shared" si="20"/>
        <v>3.5819999999999999</v>
      </c>
      <c r="AJ202" s="34"/>
    </row>
    <row r="203" spans="1:36" ht="18" customHeight="1" x14ac:dyDescent="0.2">
      <c r="A203" s="27" t="s">
        <v>1586</v>
      </c>
      <c r="B203" s="27" t="s">
        <v>1488</v>
      </c>
      <c r="C203" s="27"/>
      <c r="D203" s="26"/>
      <c r="E203" s="148">
        <v>10070076</v>
      </c>
      <c r="F203" s="25" t="s">
        <v>1609</v>
      </c>
      <c r="G203" s="48" t="s">
        <v>1477</v>
      </c>
      <c r="H203" s="53"/>
      <c r="I203" s="50"/>
      <c r="J203" s="127"/>
      <c r="K203" s="14"/>
      <c r="L203" s="49"/>
      <c r="M203" s="101"/>
      <c r="N203" s="101"/>
      <c r="O203" s="101"/>
      <c r="P203" s="101"/>
      <c r="Q203" s="101"/>
      <c r="R203" s="101"/>
      <c r="S203" s="101"/>
      <c r="T203" s="101">
        <v>0</v>
      </c>
      <c r="U203" s="101">
        <v>0</v>
      </c>
      <c r="V203" s="101"/>
      <c r="W203" s="101"/>
      <c r="X203" s="101"/>
      <c r="Y203" s="101"/>
      <c r="Z203" s="101"/>
      <c r="AA203" s="101"/>
      <c r="AB203" s="101"/>
      <c r="AC203" s="101"/>
      <c r="AD203" s="101"/>
      <c r="AE203" s="101"/>
      <c r="AF203" s="101">
        <v>0</v>
      </c>
      <c r="AG203" s="101">
        <v>0</v>
      </c>
      <c r="AH203" s="101">
        <v>0</v>
      </c>
      <c r="AI203" s="101">
        <f t="shared" si="20"/>
        <v>0</v>
      </c>
      <c r="AJ203" s="34"/>
    </row>
    <row r="204" spans="1:36" ht="18" customHeight="1" x14ac:dyDescent="0.2">
      <c r="A204" s="27" t="s">
        <v>1586</v>
      </c>
      <c r="B204" s="27" t="s">
        <v>1488</v>
      </c>
      <c r="C204" s="27"/>
      <c r="D204" s="26"/>
      <c r="E204" s="148">
        <v>10073449</v>
      </c>
      <c r="F204" s="25" t="s">
        <v>1610</v>
      </c>
      <c r="G204" s="48" t="s">
        <v>1477</v>
      </c>
      <c r="H204" s="53"/>
      <c r="I204" s="50"/>
      <c r="J204" s="127"/>
      <c r="K204" s="14"/>
      <c r="L204" s="49"/>
      <c r="M204" s="101"/>
      <c r="N204" s="101"/>
      <c r="O204" s="101"/>
      <c r="P204" s="101"/>
      <c r="Q204" s="101"/>
      <c r="R204" s="101"/>
      <c r="S204" s="101"/>
      <c r="T204" s="101">
        <v>0</v>
      </c>
      <c r="U204" s="101">
        <v>0</v>
      </c>
      <c r="V204" s="101"/>
      <c r="W204" s="101"/>
      <c r="X204" s="101"/>
      <c r="Y204" s="101"/>
      <c r="Z204" s="101"/>
      <c r="AA204" s="101"/>
      <c r="AB204" s="101"/>
      <c r="AC204" s="101"/>
      <c r="AD204" s="101"/>
      <c r="AE204" s="101"/>
      <c r="AF204" s="101">
        <v>0</v>
      </c>
      <c r="AG204" s="101">
        <v>0</v>
      </c>
      <c r="AH204" s="101">
        <v>0</v>
      </c>
      <c r="AI204" s="101">
        <f t="shared" si="20"/>
        <v>0</v>
      </c>
      <c r="AJ204" s="34"/>
    </row>
    <row r="205" spans="1:36" ht="18" customHeight="1" x14ac:dyDescent="0.2">
      <c r="A205" s="27" t="s">
        <v>1586</v>
      </c>
      <c r="B205" s="27" t="s">
        <v>1488</v>
      </c>
      <c r="C205" s="27"/>
      <c r="D205" s="26"/>
      <c r="E205" s="148">
        <v>10092010</v>
      </c>
      <c r="F205" s="25" t="s">
        <v>1611</v>
      </c>
      <c r="G205" s="48" t="s">
        <v>1477</v>
      </c>
      <c r="H205" s="53"/>
      <c r="I205" s="50"/>
      <c r="J205" s="127"/>
      <c r="K205" s="14"/>
      <c r="L205" s="49"/>
      <c r="M205" s="101"/>
      <c r="N205" s="101"/>
      <c r="O205" s="101"/>
      <c r="P205" s="101"/>
      <c r="Q205" s="101"/>
      <c r="R205" s="101"/>
      <c r="S205" s="101"/>
      <c r="T205" s="101">
        <v>0</v>
      </c>
      <c r="U205" s="101">
        <v>0</v>
      </c>
      <c r="V205" s="101"/>
      <c r="W205" s="101"/>
      <c r="X205" s="101"/>
      <c r="Y205" s="101"/>
      <c r="Z205" s="101"/>
      <c r="AA205" s="101"/>
      <c r="AB205" s="101"/>
      <c r="AC205" s="101"/>
      <c r="AD205" s="101"/>
      <c r="AE205" s="101"/>
      <c r="AF205" s="101">
        <v>0</v>
      </c>
      <c r="AG205" s="101">
        <v>0</v>
      </c>
      <c r="AH205" s="101">
        <v>0</v>
      </c>
      <c r="AI205" s="101">
        <f t="shared" si="20"/>
        <v>0</v>
      </c>
      <c r="AJ205" s="34"/>
    </row>
    <row r="206" spans="1:36" ht="18" customHeight="1" x14ac:dyDescent="0.2">
      <c r="A206" s="27" t="s">
        <v>1586</v>
      </c>
      <c r="B206" s="27" t="s">
        <v>1488</v>
      </c>
      <c r="C206" s="27"/>
      <c r="D206" s="26"/>
      <c r="E206" s="148">
        <v>10055464</v>
      </c>
      <c r="F206" s="25" t="s">
        <v>1613</v>
      </c>
      <c r="G206" s="48" t="s">
        <v>1477</v>
      </c>
      <c r="H206" s="53"/>
      <c r="I206" s="50"/>
      <c r="J206" s="127"/>
      <c r="K206" s="14"/>
      <c r="L206" s="49"/>
      <c r="M206" s="101"/>
      <c r="N206" s="101"/>
      <c r="O206" s="101"/>
      <c r="P206" s="101"/>
      <c r="Q206" s="101"/>
      <c r="R206" s="101"/>
      <c r="S206" s="101"/>
      <c r="T206" s="101">
        <v>0</v>
      </c>
      <c r="U206" s="101">
        <v>0</v>
      </c>
      <c r="V206" s="101"/>
      <c r="W206" s="101"/>
      <c r="X206" s="101"/>
      <c r="Y206" s="101"/>
      <c r="Z206" s="101"/>
      <c r="AA206" s="101"/>
      <c r="AB206" s="101"/>
      <c r="AC206" s="101"/>
      <c r="AD206" s="101"/>
      <c r="AE206" s="101"/>
      <c r="AF206" s="101">
        <v>0</v>
      </c>
      <c r="AG206" s="101">
        <v>0</v>
      </c>
      <c r="AH206" s="101">
        <v>59.135399999999997</v>
      </c>
      <c r="AI206" s="101">
        <f t="shared" si="20"/>
        <v>59.135399999999997</v>
      </c>
      <c r="AJ206" s="34"/>
    </row>
    <row r="207" spans="1:36" s="19" customFormat="1" ht="18" customHeight="1" x14ac:dyDescent="0.2">
      <c r="A207" s="160" t="s">
        <v>333</v>
      </c>
      <c r="B207" s="160"/>
      <c r="C207" s="160"/>
      <c r="D207" s="160"/>
      <c r="E207" s="160"/>
      <c r="F207" s="175"/>
      <c r="G207" s="55"/>
      <c r="H207" s="92"/>
      <c r="I207" s="92"/>
      <c r="J207" s="56">
        <f>SUM(J5:J140)</f>
        <v>86423.392923999971</v>
      </c>
      <c r="K207" s="56"/>
      <c r="L207" s="57"/>
      <c r="M207" s="17">
        <f>SUM(M5:M82)</f>
        <v>0</v>
      </c>
      <c r="N207" s="17">
        <f>SUM(N5:N82)</f>
        <v>0</v>
      </c>
      <c r="O207" s="17">
        <f t="shared" ref="O207:Y207" si="21">SUM(O5:O104)</f>
        <v>320.69124999999997</v>
      </c>
      <c r="P207" s="17">
        <f t="shared" si="21"/>
        <v>704.90300000000002</v>
      </c>
      <c r="Q207" s="17">
        <f t="shared" si="21"/>
        <v>581.8741</v>
      </c>
      <c r="R207" s="17">
        <f t="shared" si="21"/>
        <v>214.55919</v>
      </c>
      <c r="S207" s="17">
        <f t="shared" si="21"/>
        <v>417.50445769999999</v>
      </c>
      <c r="T207" s="17">
        <f t="shared" si="21"/>
        <v>87.297499999999999</v>
      </c>
      <c r="U207" s="17">
        <f t="shared" si="21"/>
        <v>1511.5219999999999</v>
      </c>
      <c r="V207" s="17">
        <f t="shared" si="21"/>
        <v>899.20550000000003</v>
      </c>
      <c r="W207" s="17">
        <f t="shared" si="21"/>
        <v>220.24349999999998</v>
      </c>
      <c r="X207" s="17">
        <f t="shared" si="21"/>
        <v>1043.2405000000001</v>
      </c>
      <c r="Y207" s="17">
        <f t="shared" si="21"/>
        <v>1168.9803999999999</v>
      </c>
      <c r="Z207" s="17">
        <f t="shared" ref="Z207:AC207" si="22">SUM(Z5:Z140)</f>
        <v>884.69970000000012</v>
      </c>
      <c r="AA207" s="17">
        <f t="shared" si="22"/>
        <v>1350.3023700000001</v>
      </c>
      <c r="AB207" s="17">
        <f t="shared" si="22"/>
        <v>1393.9105220000004</v>
      </c>
      <c r="AC207" s="17">
        <f t="shared" si="22"/>
        <v>1217.3753907</v>
      </c>
      <c r="AD207" s="17">
        <f>SUM(AD5:AD148)</f>
        <v>1971.1229040000005</v>
      </c>
      <c r="AE207" s="17">
        <f>SUM(AE5:AE181)</f>
        <v>1612.6755502000012</v>
      </c>
      <c r="AF207" s="17">
        <f>SUM(AF5:AF191)</f>
        <v>2504.9697069999997</v>
      </c>
      <c r="AG207" s="17">
        <f>SUM(AG5:AG200)</f>
        <v>2671.4636909999995</v>
      </c>
      <c r="AH207" s="17">
        <f>SUM(AH5:AH206)</f>
        <v>2382.6851340000012</v>
      </c>
      <c r="AI207" s="18">
        <f>SUM(AI5:AI206)</f>
        <v>23159.226366599978</v>
      </c>
    </row>
    <row r="208" spans="1:36" x14ac:dyDescent="0.2">
      <c r="AD208" s="38" t="s">
        <v>1496</v>
      </c>
    </row>
    <row r="209" spans="1:35" x14ac:dyDescent="0.2">
      <c r="AD209" s="38" t="s">
        <v>1496</v>
      </c>
    </row>
    <row r="210" spans="1:35" x14ac:dyDescent="0.2">
      <c r="AD210" s="38" t="s">
        <v>1496</v>
      </c>
    </row>
    <row r="211" spans="1:35" x14ac:dyDescent="0.2">
      <c r="A211" s="36"/>
      <c r="B211" s="36"/>
      <c r="C211" s="36"/>
      <c r="D211" s="36"/>
      <c r="E211" s="36"/>
      <c r="F211" s="35"/>
      <c r="G211" s="36"/>
      <c r="H211" s="36"/>
      <c r="I211" s="36"/>
      <c r="J211" s="35"/>
      <c r="K211" s="35"/>
      <c r="L211" s="36"/>
      <c r="M211" s="19"/>
      <c r="N211" s="19"/>
      <c r="O211" s="19"/>
      <c r="P211" s="19"/>
      <c r="Q211" s="19"/>
      <c r="R211" s="19"/>
      <c r="S211" s="19"/>
      <c r="T211" s="19"/>
      <c r="U211" s="19"/>
      <c r="V211" s="19"/>
      <c r="W211" s="19"/>
      <c r="X211" s="19"/>
      <c r="Y211" s="19"/>
      <c r="Z211" s="19"/>
      <c r="AA211" s="19"/>
      <c r="AB211" s="19"/>
      <c r="AC211" s="19"/>
      <c r="AD211" s="19" t="s">
        <v>1496</v>
      </c>
      <c r="AE211" s="19"/>
      <c r="AF211" s="19"/>
      <c r="AG211" s="19"/>
      <c r="AH211" s="19"/>
      <c r="AI211" s="35"/>
    </row>
    <row r="212" spans="1:35" x14ac:dyDescent="0.2">
      <c r="A212" s="36"/>
      <c r="B212" s="36"/>
      <c r="C212" s="36"/>
      <c r="D212" s="36"/>
      <c r="E212" s="36"/>
      <c r="F212" s="35"/>
      <c r="G212" s="36"/>
      <c r="H212" s="36"/>
      <c r="I212" s="36"/>
      <c r="J212" s="35"/>
      <c r="K212" s="35"/>
      <c r="L212" s="36"/>
      <c r="M212" s="19"/>
      <c r="N212" s="19"/>
      <c r="O212" s="19"/>
      <c r="P212" s="19"/>
      <c r="Q212" s="19"/>
      <c r="R212" s="19"/>
      <c r="S212" s="19"/>
      <c r="T212" s="19"/>
      <c r="U212" s="19"/>
      <c r="V212" s="19"/>
      <c r="W212" s="19"/>
      <c r="X212" s="19"/>
      <c r="Y212" s="19"/>
      <c r="Z212" s="19"/>
      <c r="AA212" s="19"/>
      <c r="AB212" s="19"/>
      <c r="AC212" s="19"/>
      <c r="AD212" s="19" t="s">
        <v>1496</v>
      </c>
      <c r="AE212" s="19" t="s">
        <v>1496</v>
      </c>
      <c r="AF212" s="19" t="s">
        <v>1496</v>
      </c>
      <c r="AG212" s="19" t="s">
        <v>1496</v>
      </c>
      <c r="AH212" s="19" t="s">
        <v>1496</v>
      </c>
      <c r="AI212" s="35"/>
    </row>
    <row r="213" spans="1:35" x14ac:dyDescent="0.2">
      <c r="A213" s="36"/>
      <c r="B213" s="36"/>
      <c r="C213" s="36"/>
      <c r="D213" s="36"/>
      <c r="E213" s="36"/>
      <c r="F213" s="35"/>
      <c r="G213" s="36"/>
      <c r="H213" s="36"/>
      <c r="I213" s="36"/>
      <c r="J213" s="35"/>
      <c r="K213" s="35"/>
      <c r="L213" s="36"/>
      <c r="M213" s="19"/>
      <c r="N213" s="19"/>
      <c r="O213" s="19"/>
      <c r="P213" s="19"/>
      <c r="Q213" s="19"/>
      <c r="R213" s="19"/>
      <c r="S213" s="19"/>
      <c r="T213" s="19"/>
      <c r="U213" s="19"/>
      <c r="V213" s="19"/>
      <c r="W213" s="19"/>
      <c r="X213" s="19"/>
      <c r="Y213" s="19"/>
      <c r="Z213" s="19"/>
      <c r="AA213" s="19"/>
      <c r="AB213" s="19"/>
      <c r="AC213" s="19"/>
      <c r="AD213" s="19" t="s">
        <v>1496</v>
      </c>
      <c r="AE213" s="19" t="s">
        <v>1496</v>
      </c>
      <c r="AF213" s="19" t="s">
        <v>1496</v>
      </c>
      <c r="AG213" s="19" t="s">
        <v>1496</v>
      </c>
      <c r="AH213" s="19" t="s">
        <v>1496</v>
      </c>
      <c r="AI213" s="35"/>
    </row>
    <row r="214" spans="1:35" x14ac:dyDescent="0.2">
      <c r="A214" s="36"/>
      <c r="B214" s="36"/>
      <c r="C214" s="36"/>
      <c r="D214" s="36"/>
      <c r="E214" s="36"/>
      <c r="F214" s="35"/>
      <c r="G214" s="36"/>
      <c r="H214" s="36"/>
      <c r="I214" s="36"/>
      <c r="J214" s="35"/>
      <c r="K214" s="35"/>
      <c r="L214" s="36"/>
      <c r="M214" s="19"/>
      <c r="N214" s="19"/>
      <c r="O214" s="19"/>
      <c r="P214" s="19"/>
      <c r="Q214" s="19"/>
      <c r="R214" s="19"/>
      <c r="S214" s="19"/>
      <c r="T214" s="19"/>
      <c r="U214" s="19"/>
      <c r="V214" s="19"/>
      <c r="W214" s="19"/>
      <c r="X214" s="19"/>
      <c r="Y214" s="19"/>
      <c r="Z214" s="19"/>
      <c r="AA214" s="19"/>
      <c r="AB214" s="19"/>
      <c r="AC214" s="19"/>
      <c r="AD214" s="19" t="s">
        <v>1496</v>
      </c>
      <c r="AE214" s="19" t="s">
        <v>1496</v>
      </c>
      <c r="AF214" s="19" t="s">
        <v>1496</v>
      </c>
      <c r="AG214" s="19" t="s">
        <v>1496</v>
      </c>
      <c r="AH214" s="19" t="s">
        <v>1496</v>
      </c>
      <c r="AI214" s="35"/>
    </row>
    <row r="215" spans="1:35" hidden="1" x14ac:dyDescent="0.2">
      <c r="A215" s="36"/>
      <c r="B215" s="36"/>
      <c r="C215" s="36"/>
      <c r="D215" s="36"/>
      <c r="E215" s="36"/>
      <c r="F215" s="35"/>
      <c r="G215" s="36"/>
      <c r="H215" s="36"/>
      <c r="I215" s="36"/>
      <c r="J215" s="35"/>
      <c r="K215" s="35"/>
      <c r="L215" s="36"/>
      <c r="M215" s="19"/>
      <c r="N215" s="19"/>
      <c r="O215" s="19"/>
      <c r="P215" s="19"/>
      <c r="Q215" s="19"/>
      <c r="R215" s="19"/>
      <c r="S215" s="19"/>
      <c r="T215" s="19"/>
      <c r="U215" s="19"/>
      <c r="V215" s="19"/>
      <c r="W215" s="19"/>
      <c r="X215" s="19"/>
      <c r="Y215" s="19"/>
      <c r="Z215" s="19"/>
      <c r="AA215" s="19"/>
      <c r="AB215" s="19"/>
      <c r="AC215" s="19"/>
      <c r="AD215" s="19"/>
      <c r="AE215" s="19"/>
      <c r="AF215" s="19"/>
      <c r="AG215" s="19"/>
      <c r="AH215" s="19"/>
      <c r="AI215" s="35"/>
    </row>
    <row r="216" spans="1:35" ht="15" hidden="1" customHeight="1" thickBot="1" x14ac:dyDescent="0.25">
      <c r="A216" s="36"/>
      <c r="B216" s="36"/>
      <c r="C216" s="36"/>
      <c r="D216" s="36"/>
      <c r="E216" s="36"/>
      <c r="F216" s="164"/>
      <c r="G216" s="165"/>
      <c r="H216" s="36"/>
      <c r="I216" s="36"/>
      <c r="J216" s="35"/>
      <c r="K216" s="35"/>
      <c r="L216" s="36">
        <v>1250330000</v>
      </c>
      <c r="M216" s="19"/>
      <c r="N216" s="19"/>
      <c r="O216" s="19"/>
      <c r="P216" s="19"/>
      <c r="Q216" s="19"/>
      <c r="R216" s="19"/>
      <c r="S216" s="19"/>
      <c r="T216" s="19"/>
      <c r="U216" s="19"/>
      <c r="V216" s="19"/>
      <c r="W216" s="19"/>
      <c r="X216" s="19"/>
      <c r="Y216" s="19"/>
      <c r="Z216" s="19"/>
      <c r="AA216" s="19"/>
      <c r="AB216" s="19"/>
      <c r="AC216" s="19"/>
      <c r="AD216" s="19"/>
      <c r="AE216" s="19"/>
      <c r="AF216" s="19"/>
      <c r="AG216" s="19"/>
      <c r="AH216" s="19"/>
      <c r="AI216" s="35"/>
    </row>
    <row r="217" spans="1:35" ht="34.9" hidden="1" customHeight="1" thickBot="1" x14ac:dyDescent="0.25">
      <c r="A217" s="36"/>
      <c r="B217" s="36"/>
      <c r="C217" s="36"/>
      <c r="D217" s="58" t="s">
        <v>327</v>
      </c>
      <c r="E217" s="58"/>
      <c r="F217" s="164"/>
      <c r="G217" s="165"/>
      <c r="H217" s="59" t="s">
        <v>319</v>
      </c>
      <c r="I217" s="59">
        <v>35</v>
      </c>
      <c r="J217" s="59">
        <v>45803</v>
      </c>
      <c r="K217" s="59"/>
      <c r="L217" s="60">
        <v>203000000</v>
      </c>
      <c r="M217" s="62">
        <v>203000000</v>
      </c>
      <c r="N217" s="64" t="s">
        <v>328</v>
      </c>
      <c r="O217" s="65">
        <v>45808</v>
      </c>
      <c r="P217" s="64" t="s">
        <v>329</v>
      </c>
      <c r="Q217" s="168"/>
      <c r="R217" s="169"/>
      <c r="S217" s="169"/>
      <c r="T217" s="169"/>
      <c r="U217" s="19"/>
      <c r="V217" s="19"/>
      <c r="W217" s="19"/>
      <c r="X217" s="19"/>
      <c r="Y217" s="19"/>
      <c r="Z217" s="19"/>
      <c r="AA217" s="19"/>
      <c r="AB217" s="19"/>
      <c r="AC217" s="19"/>
      <c r="AD217" s="19"/>
      <c r="AE217" s="19"/>
      <c r="AF217" s="19"/>
      <c r="AG217" s="19"/>
      <c r="AH217" s="19"/>
      <c r="AI217" s="35"/>
    </row>
    <row r="218" spans="1:35" ht="15" hidden="1" customHeight="1" thickBot="1" x14ac:dyDescent="0.25">
      <c r="A218" s="36"/>
      <c r="B218" s="36"/>
      <c r="C218" s="36"/>
      <c r="D218" s="58" t="s">
        <v>330</v>
      </c>
      <c r="E218" s="58"/>
      <c r="F218" s="164"/>
      <c r="G218" s="165"/>
      <c r="H218" s="59" t="s">
        <v>321</v>
      </c>
      <c r="I218" s="59">
        <v>30</v>
      </c>
      <c r="J218" s="59">
        <v>45804</v>
      </c>
      <c r="K218" s="59"/>
      <c r="L218" s="60">
        <v>195000000</v>
      </c>
      <c r="M218" s="63">
        <v>0</v>
      </c>
      <c r="N218" s="68" t="s">
        <v>324</v>
      </c>
      <c r="O218" s="65">
        <v>45805</v>
      </c>
      <c r="P218" s="69" t="s">
        <v>325</v>
      </c>
      <c r="Q218" s="19"/>
      <c r="R218" s="19"/>
      <c r="S218" s="19"/>
      <c r="T218" s="19"/>
      <c r="U218" s="19"/>
      <c r="V218" s="19"/>
      <c r="W218" s="19"/>
      <c r="X218" s="19"/>
      <c r="Y218" s="19"/>
      <c r="Z218" s="19"/>
      <c r="AA218" s="19"/>
      <c r="AB218" s="19"/>
      <c r="AC218" s="19"/>
      <c r="AD218" s="19"/>
      <c r="AE218" s="19"/>
      <c r="AF218" s="19"/>
      <c r="AG218" s="19"/>
      <c r="AH218" s="19"/>
      <c r="AI218" s="35"/>
    </row>
    <row r="219" spans="1:35" ht="34.9" hidden="1" customHeight="1" thickBot="1" x14ac:dyDescent="0.25">
      <c r="A219" s="36"/>
      <c r="B219" s="36"/>
      <c r="C219" s="36"/>
      <c r="D219" s="58" t="s">
        <v>330</v>
      </c>
      <c r="E219" s="58"/>
      <c r="F219" s="164"/>
      <c r="G219" s="165"/>
      <c r="H219" s="59" t="s">
        <v>321</v>
      </c>
      <c r="I219" s="59">
        <v>20</v>
      </c>
      <c r="J219" s="59">
        <v>45895</v>
      </c>
      <c r="K219" s="59"/>
      <c r="L219" s="60">
        <v>120141000</v>
      </c>
      <c r="M219" s="62">
        <v>120141000</v>
      </c>
      <c r="N219" s="64" t="s">
        <v>328</v>
      </c>
      <c r="O219" s="65">
        <v>45900</v>
      </c>
      <c r="P219" s="64" t="s">
        <v>329</v>
      </c>
      <c r="Q219" s="168"/>
      <c r="R219" s="169"/>
      <c r="S219" s="169"/>
      <c r="T219" s="169"/>
      <c r="U219" s="19"/>
      <c r="V219" s="19"/>
      <c r="W219" s="19"/>
      <c r="X219" s="19"/>
      <c r="Y219" s="19"/>
      <c r="Z219" s="19"/>
      <c r="AA219" s="19"/>
      <c r="AB219" s="19"/>
      <c r="AC219" s="19"/>
      <c r="AD219" s="19"/>
      <c r="AE219" s="19"/>
      <c r="AF219" s="19"/>
      <c r="AG219" s="19"/>
      <c r="AH219" s="19"/>
      <c r="AI219" s="35"/>
    </row>
    <row r="220" spans="1:35" ht="34.9" hidden="1" customHeight="1" thickBot="1" x14ac:dyDescent="0.25">
      <c r="A220" s="36"/>
      <c r="B220" s="36"/>
      <c r="C220" s="36"/>
      <c r="D220" s="58" t="s">
        <v>327</v>
      </c>
      <c r="E220" s="58"/>
      <c r="F220" s="164"/>
      <c r="G220" s="165"/>
      <c r="H220" s="59" t="s">
        <v>320</v>
      </c>
      <c r="I220" s="59">
        <v>2</v>
      </c>
      <c r="J220" s="59">
        <v>45930</v>
      </c>
      <c r="K220" s="59"/>
      <c r="L220" s="60">
        <v>14435000</v>
      </c>
      <c r="M220" s="62">
        <v>14435000</v>
      </c>
      <c r="N220" s="64" t="s">
        <v>328</v>
      </c>
      <c r="O220" s="61"/>
      <c r="P220" s="70"/>
      <c r="Q220" s="168"/>
      <c r="R220" s="169"/>
      <c r="S220" s="169"/>
      <c r="T220" s="169"/>
      <c r="U220" s="19"/>
      <c r="V220" s="19"/>
      <c r="W220" s="19"/>
      <c r="X220" s="19"/>
      <c r="Y220" s="19"/>
      <c r="Z220" s="19"/>
      <c r="AA220" s="19"/>
      <c r="AB220" s="19"/>
      <c r="AC220" s="19"/>
      <c r="AD220" s="19"/>
      <c r="AE220" s="19"/>
      <c r="AF220" s="19"/>
      <c r="AG220" s="19"/>
      <c r="AH220" s="19"/>
      <c r="AI220" s="35"/>
    </row>
    <row r="221" spans="1:35" ht="34.9" hidden="1" customHeight="1" thickBot="1" x14ac:dyDescent="0.25">
      <c r="A221" s="36"/>
      <c r="B221" s="36"/>
      <c r="C221" s="36"/>
      <c r="D221" s="58" t="s">
        <v>326</v>
      </c>
      <c r="E221" s="58"/>
      <c r="F221" s="164"/>
      <c r="G221" s="165"/>
      <c r="H221" s="59" t="s">
        <v>319</v>
      </c>
      <c r="I221" s="59">
        <v>40</v>
      </c>
      <c r="J221" s="59">
        <v>45944</v>
      </c>
      <c r="K221" s="59"/>
      <c r="L221" s="60">
        <v>219832000</v>
      </c>
      <c r="M221" s="62">
        <v>219832000</v>
      </c>
      <c r="N221" s="64" t="s">
        <v>328</v>
      </c>
      <c r="O221" s="61"/>
      <c r="P221" s="70"/>
      <c r="Q221" s="168"/>
      <c r="R221" s="169"/>
      <c r="S221" s="169"/>
      <c r="T221" s="169"/>
      <c r="U221" s="19"/>
      <c r="V221" s="19"/>
      <c r="W221" s="19"/>
      <c r="X221" s="19"/>
      <c r="Y221" s="19"/>
      <c r="Z221" s="19"/>
      <c r="AA221" s="19"/>
      <c r="AB221" s="19"/>
      <c r="AC221" s="19"/>
      <c r="AD221" s="19"/>
      <c r="AE221" s="19"/>
      <c r="AF221" s="19"/>
      <c r="AG221" s="19"/>
      <c r="AH221" s="19"/>
      <c r="AI221" s="35"/>
    </row>
    <row r="222" spans="1:35" ht="15" hidden="1" customHeight="1" thickBot="1" x14ac:dyDescent="0.25">
      <c r="A222" s="36"/>
      <c r="B222" s="36"/>
      <c r="C222" s="36"/>
      <c r="D222" s="58" t="s">
        <v>330</v>
      </c>
      <c r="E222" s="58"/>
      <c r="F222" s="164"/>
      <c r="G222" s="165"/>
      <c r="H222" s="59" t="s">
        <v>319</v>
      </c>
      <c r="I222" s="59">
        <v>20</v>
      </c>
      <c r="J222" s="59">
        <v>46028</v>
      </c>
      <c r="K222" s="59"/>
      <c r="L222" s="60">
        <v>252021770</v>
      </c>
      <c r="M222" s="62">
        <v>252021770</v>
      </c>
      <c r="N222" s="64" t="s">
        <v>328</v>
      </c>
      <c r="O222" s="19"/>
      <c r="P222" s="19"/>
      <c r="Q222" s="19"/>
      <c r="R222" s="19"/>
      <c r="S222" s="19"/>
      <c r="T222" s="19"/>
      <c r="U222" s="19"/>
      <c r="V222" s="19"/>
      <c r="W222" s="19"/>
      <c r="X222" s="19"/>
      <c r="Y222" s="19"/>
      <c r="Z222" s="19"/>
      <c r="AA222" s="19"/>
      <c r="AB222" s="19"/>
      <c r="AC222" s="19"/>
      <c r="AD222" s="19"/>
      <c r="AE222" s="19"/>
      <c r="AF222" s="19"/>
      <c r="AG222" s="19"/>
      <c r="AH222" s="19"/>
      <c r="AI222" s="35"/>
    </row>
    <row r="223" spans="1:35" ht="15" hidden="1" customHeight="1" thickBot="1" x14ac:dyDescent="0.25">
      <c r="A223" s="36"/>
      <c r="B223" s="36"/>
      <c r="C223" s="36"/>
      <c r="D223" s="71" t="s">
        <v>330</v>
      </c>
      <c r="E223" s="71"/>
      <c r="F223" s="166"/>
      <c r="G223" s="167"/>
      <c r="H223" s="72" t="s">
        <v>319</v>
      </c>
      <c r="I223" s="72">
        <v>18</v>
      </c>
      <c r="J223" s="72">
        <v>46028</v>
      </c>
      <c r="K223" s="72"/>
      <c r="L223" s="73">
        <v>196239560</v>
      </c>
      <c r="M223" s="75">
        <v>196239560</v>
      </c>
      <c r="N223" s="77" t="s">
        <v>328</v>
      </c>
      <c r="O223" s="19"/>
      <c r="P223" s="19"/>
      <c r="Q223" s="19"/>
      <c r="R223" s="19"/>
      <c r="S223" s="19"/>
      <c r="T223" s="19"/>
      <c r="U223" s="19"/>
      <c r="V223" s="19"/>
      <c r="W223" s="19"/>
      <c r="X223" s="19"/>
      <c r="Y223" s="19"/>
      <c r="Z223" s="19"/>
      <c r="AA223" s="19"/>
      <c r="AB223" s="19"/>
      <c r="AC223" s="19"/>
      <c r="AD223" s="19"/>
      <c r="AE223" s="19"/>
      <c r="AF223" s="19"/>
      <c r="AG223" s="19"/>
      <c r="AH223" s="19"/>
      <c r="AI223" s="35"/>
    </row>
    <row r="224" spans="1:35" hidden="1" x14ac:dyDescent="0.2">
      <c r="A224" s="36"/>
      <c r="B224" s="36"/>
      <c r="C224" s="36"/>
      <c r="D224" s="36"/>
      <c r="E224" s="36"/>
      <c r="F224" s="35"/>
      <c r="G224" s="36"/>
      <c r="H224" s="36"/>
      <c r="I224" s="36"/>
      <c r="J224" s="35"/>
      <c r="K224" s="35"/>
      <c r="L224" s="36"/>
      <c r="M224" s="19"/>
      <c r="N224" s="19"/>
      <c r="O224" s="19"/>
      <c r="P224" s="19"/>
      <c r="Q224" s="19"/>
      <c r="R224" s="19"/>
      <c r="S224" s="19"/>
      <c r="T224" s="19"/>
      <c r="U224" s="19"/>
      <c r="V224" s="19"/>
      <c r="W224" s="19"/>
      <c r="X224" s="19"/>
      <c r="Y224" s="19"/>
      <c r="Z224" s="19"/>
      <c r="AA224" s="19"/>
      <c r="AB224" s="19"/>
      <c r="AC224" s="19"/>
      <c r="AD224" s="19"/>
      <c r="AE224" s="19"/>
      <c r="AF224" s="19"/>
      <c r="AG224" s="19"/>
      <c r="AH224" s="19"/>
      <c r="AI224" s="35"/>
    </row>
    <row r="225" spans="1:35" hidden="1" x14ac:dyDescent="0.2">
      <c r="A225" s="36"/>
      <c r="B225" s="36"/>
      <c r="C225" s="36"/>
      <c r="D225" s="36"/>
      <c r="E225" s="36"/>
      <c r="F225" s="35"/>
      <c r="G225" s="36"/>
      <c r="H225" s="36"/>
      <c r="I225" s="36"/>
      <c r="J225" s="35"/>
      <c r="K225" s="35"/>
      <c r="L225" s="36"/>
      <c r="M225" s="19"/>
      <c r="N225" s="19"/>
      <c r="O225" s="19"/>
      <c r="P225" s="19"/>
      <c r="Q225" s="19"/>
      <c r="R225" s="19"/>
      <c r="S225" s="19"/>
      <c r="T225" s="19"/>
      <c r="U225" s="19"/>
      <c r="V225" s="19"/>
      <c r="W225" s="19"/>
      <c r="X225" s="19"/>
      <c r="Y225" s="19"/>
      <c r="Z225" s="19"/>
      <c r="AA225" s="19"/>
      <c r="AB225" s="19"/>
      <c r="AC225" s="19"/>
      <c r="AD225" s="19"/>
      <c r="AE225" s="19"/>
      <c r="AF225" s="19"/>
      <c r="AG225" s="19"/>
      <c r="AH225" s="19"/>
      <c r="AI225" s="35"/>
    </row>
    <row r="226" spans="1:35" ht="15" hidden="1" customHeight="1" thickBot="1" x14ac:dyDescent="0.25">
      <c r="A226" s="36"/>
      <c r="B226" s="36"/>
      <c r="C226" s="36"/>
      <c r="D226" s="58" t="s">
        <v>326</v>
      </c>
      <c r="E226" s="58"/>
      <c r="F226" s="164"/>
      <c r="G226" s="165"/>
      <c r="H226" s="59" t="s">
        <v>320</v>
      </c>
      <c r="I226" s="59">
        <v>30</v>
      </c>
      <c r="J226" s="59">
        <v>45969</v>
      </c>
      <c r="K226" s="59"/>
      <c r="L226" s="60">
        <v>220000000</v>
      </c>
      <c r="M226" s="62">
        <v>220000000</v>
      </c>
      <c r="N226" s="64" t="s">
        <v>328</v>
      </c>
      <c r="O226" s="65">
        <v>45930</v>
      </c>
      <c r="P226" s="64" t="s">
        <v>329</v>
      </c>
      <c r="Q226" s="168"/>
      <c r="R226" s="169"/>
      <c r="S226" s="169"/>
      <c r="T226" s="169"/>
      <c r="U226" s="19"/>
      <c r="V226" s="19"/>
      <c r="W226" s="19"/>
      <c r="X226" s="19"/>
      <c r="Y226" s="19"/>
      <c r="Z226" s="19"/>
      <c r="AA226" s="19"/>
      <c r="AB226" s="19"/>
      <c r="AC226" s="19"/>
      <c r="AD226" s="19"/>
      <c r="AE226" s="19"/>
      <c r="AF226" s="19"/>
      <c r="AG226" s="19"/>
      <c r="AH226" s="19"/>
      <c r="AI226" s="35"/>
    </row>
    <row r="227" spans="1:35" ht="15" hidden="1" customHeight="1" thickBot="1" x14ac:dyDescent="0.25">
      <c r="A227" s="36"/>
      <c r="B227" s="36"/>
      <c r="C227" s="36"/>
      <c r="D227" s="58" t="s">
        <v>331</v>
      </c>
      <c r="E227" s="58"/>
      <c r="F227" s="164"/>
      <c r="G227" s="165"/>
      <c r="H227" s="59" t="s">
        <v>321</v>
      </c>
      <c r="I227" s="59">
        <v>30</v>
      </c>
      <c r="J227" s="59">
        <v>46000</v>
      </c>
      <c r="K227" s="59"/>
      <c r="L227" s="60">
        <v>276460470</v>
      </c>
      <c r="M227" s="61"/>
      <c r="N227" s="64" t="s">
        <v>328</v>
      </c>
      <c r="O227" s="61"/>
      <c r="P227" s="70"/>
      <c r="Q227" s="19"/>
      <c r="R227" s="19"/>
      <c r="S227" s="19"/>
      <c r="T227" s="19"/>
      <c r="U227" s="19"/>
      <c r="V227" s="19"/>
      <c r="W227" s="19"/>
      <c r="X227" s="19"/>
      <c r="Y227" s="19"/>
      <c r="Z227" s="19"/>
      <c r="AA227" s="19"/>
      <c r="AB227" s="19"/>
      <c r="AC227" s="19"/>
      <c r="AD227" s="19"/>
      <c r="AE227" s="19"/>
      <c r="AF227" s="19"/>
      <c r="AG227" s="19"/>
      <c r="AH227" s="19"/>
      <c r="AI227" s="35"/>
    </row>
    <row r="228" spans="1:35" hidden="1" x14ac:dyDescent="0.2">
      <c r="A228" s="36"/>
      <c r="B228" s="36"/>
      <c r="C228" s="36"/>
      <c r="D228" s="36"/>
      <c r="E228" s="36"/>
      <c r="F228" s="35"/>
      <c r="G228" s="36"/>
      <c r="H228" s="36"/>
      <c r="I228" s="36"/>
      <c r="J228" s="35"/>
      <c r="K228" s="35"/>
      <c r="L228" s="36"/>
      <c r="M228" s="19"/>
      <c r="N228" s="19"/>
      <c r="O228" s="19"/>
      <c r="P228" s="19"/>
      <c r="Q228" s="19"/>
      <c r="R228" s="19"/>
      <c r="S228" s="19"/>
      <c r="T228" s="19"/>
      <c r="U228" s="19"/>
      <c r="V228" s="19"/>
      <c r="W228" s="19"/>
      <c r="X228" s="19"/>
      <c r="Y228" s="19"/>
      <c r="Z228" s="19"/>
      <c r="AA228" s="19"/>
      <c r="AB228" s="19"/>
      <c r="AC228" s="19"/>
      <c r="AD228" s="19"/>
      <c r="AE228" s="19"/>
      <c r="AF228" s="19"/>
      <c r="AG228" s="19"/>
      <c r="AH228" s="19"/>
      <c r="AI228" s="35"/>
    </row>
    <row r="229" spans="1:35" hidden="1" x14ac:dyDescent="0.2">
      <c r="A229" s="36"/>
      <c r="B229" s="36"/>
      <c r="C229" s="36"/>
      <c r="D229" s="36"/>
      <c r="E229" s="36"/>
      <c r="F229" s="35"/>
      <c r="G229" s="36"/>
      <c r="H229" s="36"/>
      <c r="I229" s="36"/>
      <c r="J229" s="35"/>
      <c r="K229" s="35"/>
      <c r="L229" s="36"/>
      <c r="M229" s="19"/>
      <c r="N229" s="19"/>
      <c r="O229" s="19"/>
      <c r="P229" s="19"/>
      <c r="Q229" s="19"/>
      <c r="R229" s="19"/>
      <c r="S229" s="19"/>
      <c r="T229" s="19"/>
      <c r="U229" s="19"/>
      <c r="V229" s="19"/>
      <c r="W229" s="19"/>
      <c r="X229" s="19"/>
      <c r="Y229" s="19"/>
      <c r="Z229" s="19"/>
      <c r="AA229" s="19"/>
      <c r="AB229" s="19"/>
      <c r="AC229" s="19"/>
      <c r="AD229" s="19"/>
      <c r="AE229" s="19"/>
      <c r="AF229" s="19"/>
      <c r="AG229" s="19"/>
      <c r="AH229" s="19"/>
      <c r="AI229" s="35"/>
    </row>
    <row r="230" spans="1:35" hidden="1" x14ac:dyDescent="0.2">
      <c r="A230" s="36"/>
      <c r="B230" s="36"/>
      <c r="C230" s="36"/>
      <c r="D230" s="36"/>
      <c r="E230" s="36"/>
      <c r="F230" s="35"/>
      <c r="G230" s="36"/>
      <c r="H230" s="36"/>
      <c r="I230" s="36"/>
      <c r="J230" s="35"/>
      <c r="K230" s="35"/>
      <c r="L230" s="36"/>
      <c r="M230" s="19"/>
      <c r="N230" s="19"/>
      <c r="O230" s="19"/>
      <c r="P230" s="19"/>
      <c r="Q230" s="19"/>
      <c r="R230" s="19"/>
      <c r="S230" s="19"/>
      <c r="T230" s="19"/>
      <c r="U230" s="19"/>
      <c r="V230" s="19"/>
      <c r="W230" s="19"/>
      <c r="X230" s="19"/>
      <c r="Y230" s="19"/>
      <c r="Z230" s="19"/>
      <c r="AA230" s="19"/>
      <c r="AB230" s="19"/>
      <c r="AC230" s="19"/>
      <c r="AD230" s="19"/>
      <c r="AE230" s="19"/>
      <c r="AF230" s="19"/>
      <c r="AG230" s="19"/>
      <c r="AH230" s="19"/>
      <c r="AI230" s="35"/>
    </row>
    <row r="231" spans="1:35" x14ac:dyDescent="0.2">
      <c r="A231" s="36"/>
      <c r="B231" s="36"/>
      <c r="C231" s="36"/>
      <c r="D231" s="36"/>
      <c r="E231" s="36"/>
      <c r="F231" s="35"/>
      <c r="G231" s="36"/>
      <c r="H231" s="36"/>
      <c r="I231" s="36"/>
      <c r="J231" s="35"/>
      <c r="K231" s="35"/>
      <c r="L231" s="36"/>
      <c r="M231" s="19"/>
      <c r="N231" s="19"/>
      <c r="O231" s="19"/>
      <c r="P231" s="19"/>
      <c r="Q231" s="19"/>
      <c r="R231" s="19"/>
      <c r="S231" s="19"/>
      <c r="T231" s="19"/>
      <c r="U231" s="19"/>
      <c r="V231" s="19"/>
      <c r="W231" s="19"/>
      <c r="X231" s="19"/>
      <c r="Y231" s="19"/>
      <c r="Z231" s="19"/>
      <c r="AA231" s="19"/>
      <c r="AB231" s="19"/>
      <c r="AC231" s="19"/>
      <c r="AD231" s="19"/>
      <c r="AE231" s="19"/>
      <c r="AF231" s="19"/>
      <c r="AG231" s="19"/>
      <c r="AH231" s="19"/>
      <c r="AI231" s="35"/>
    </row>
  </sheetData>
  <mergeCells count="21">
    <mergeCell ref="F220:G220"/>
    <mergeCell ref="Q220:T220"/>
    <mergeCell ref="A207:F207"/>
    <mergeCell ref="F216:G216"/>
    <mergeCell ref="A3:A4"/>
    <mergeCell ref="D3:D4"/>
    <mergeCell ref="E3:E4"/>
    <mergeCell ref="F3:F4"/>
    <mergeCell ref="G3:L3"/>
    <mergeCell ref="F217:G217"/>
    <mergeCell ref="Q217:T217"/>
    <mergeCell ref="F218:G218"/>
    <mergeCell ref="F219:G219"/>
    <mergeCell ref="Q219:T219"/>
    <mergeCell ref="F227:G227"/>
    <mergeCell ref="F221:G221"/>
    <mergeCell ref="Q221:T221"/>
    <mergeCell ref="F222:G222"/>
    <mergeCell ref="F223:G223"/>
    <mergeCell ref="F226:G226"/>
    <mergeCell ref="Q226:T226"/>
  </mergeCells>
  <phoneticPr fontId="2" type="noConversion"/>
  <conditionalFormatting sqref="E5:E60 E77:E140">
    <cfRule type="duplicateValues" dxfId="9" priority="15"/>
  </conditionalFormatting>
  <conditionalFormatting sqref="E141:E148">
    <cfRule type="duplicateValues" dxfId="8" priority="22"/>
  </conditionalFormatting>
  <conditionalFormatting sqref="E167:E179">
    <cfRule type="duplicateValues" dxfId="7" priority="11"/>
  </conditionalFormatting>
  <conditionalFormatting sqref="E149:E166">
    <cfRule type="duplicateValues" dxfId="6" priority="29"/>
  </conditionalFormatting>
  <conditionalFormatting sqref="E180:E181">
    <cfRule type="duplicateValues" dxfId="5" priority="54"/>
  </conditionalFormatting>
  <conditionalFormatting sqref="E182:E191">
    <cfRule type="duplicateValues" dxfId="4" priority="9"/>
  </conditionalFormatting>
  <conditionalFormatting sqref="E192:E198 E200">
    <cfRule type="duplicateValues" dxfId="3" priority="79"/>
  </conditionalFormatting>
  <conditionalFormatting sqref="E61:E76">
    <cfRule type="duplicateValues" dxfId="2" priority="3"/>
  </conditionalFormatting>
  <conditionalFormatting sqref="E201:E206">
    <cfRule type="duplicateValues" dxfId="1" priority="2"/>
  </conditionalFormatting>
  <conditionalFormatting sqref="E199">
    <cfRule type="duplicateValues" dxfId="0" priority="1"/>
  </conditionalFormatting>
  <pageMargins left="0.39370078740157483" right="0.39370078740157483" top="0.39370078740157483" bottom="0.39370078740157483" header="0" footer="0"/>
  <pageSetup paperSize="9" scale="61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U314"/>
  <sheetViews>
    <sheetView workbookViewId="0">
      <selection activeCell="L236" sqref="L236"/>
    </sheetView>
  </sheetViews>
  <sheetFormatPr defaultRowHeight="12.75" x14ac:dyDescent="0.2"/>
  <sheetData>
    <row r="1" spans="1:19" x14ac:dyDescent="0.2">
      <c r="A1" s="123" t="s">
        <v>452</v>
      </c>
      <c r="B1" s="123" t="s">
        <v>453</v>
      </c>
      <c r="C1" s="123" t="s">
        <v>454</v>
      </c>
      <c r="D1" s="123" t="s">
        <v>455</v>
      </c>
      <c r="E1" s="123" t="s">
        <v>456</v>
      </c>
      <c r="F1" s="123" t="s">
        <v>457</v>
      </c>
      <c r="G1" s="123" t="s">
        <v>458</v>
      </c>
      <c r="H1" s="123" t="s">
        <v>459</v>
      </c>
      <c r="I1" s="123" t="s">
        <v>460</v>
      </c>
      <c r="J1" s="123" t="s">
        <v>157</v>
      </c>
      <c r="K1" s="123" t="s">
        <v>158</v>
      </c>
      <c r="L1" s="123" t="s">
        <v>461</v>
      </c>
      <c r="M1" s="123" t="s">
        <v>462</v>
      </c>
      <c r="N1" s="123" t="s">
        <v>463</v>
      </c>
      <c r="O1" s="123" t="s">
        <v>464</v>
      </c>
      <c r="P1" s="123" t="s">
        <v>465</v>
      </c>
      <c r="Q1" s="123" t="s">
        <v>466</v>
      </c>
      <c r="R1" s="123" t="s">
        <v>467</v>
      </c>
      <c r="S1" s="123" t="s">
        <v>468</v>
      </c>
    </row>
    <row r="2" spans="1:19" hidden="1" x14ac:dyDescent="0.2">
      <c r="A2" s="123" t="s">
        <v>469</v>
      </c>
      <c r="B2" s="123" t="s">
        <v>470</v>
      </c>
      <c r="C2" s="123" t="s">
        <v>471</v>
      </c>
      <c r="D2" s="123" t="s">
        <v>470</v>
      </c>
      <c r="E2" s="123" t="s">
        <v>472</v>
      </c>
      <c r="F2" s="123" t="s">
        <v>473</v>
      </c>
      <c r="G2" s="123" t="s">
        <v>474</v>
      </c>
      <c r="H2" s="123" t="s">
        <v>475</v>
      </c>
      <c r="I2" s="123" t="s">
        <v>476</v>
      </c>
      <c r="J2" s="123" t="s">
        <v>117</v>
      </c>
      <c r="K2" s="123" t="s">
        <v>118</v>
      </c>
      <c r="L2" s="123" t="s">
        <v>117</v>
      </c>
      <c r="M2" s="123" t="s">
        <v>118</v>
      </c>
      <c r="N2" s="123" t="s">
        <v>477</v>
      </c>
      <c r="O2" s="123" t="s">
        <v>478</v>
      </c>
      <c r="P2" s="123" t="s">
        <v>479</v>
      </c>
      <c r="Q2" s="123" t="s">
        <v>480</v>
      </c>
      <c r="R2" s="123" t="s">
        <v>481</v>
      </c>
      <c r="S2" s="123" t="s">
        <v>469</v>
      </c>
    </row>
    <row r="3" spans="1:19" hidden="1" x14ac:dyDescent="0.2">
      <c r="A3" s="123" t="s">
        <v>469</v>
      </c>
      <c r="B3" s="123" t="s">
        <v>470</v>
      </c>
      <c r="C3" s="123" t="s">
        <v>471</v>
      </c>
      <c r="D3" s="123" t="s">
        <v>482</v>
      </c>
      <c r="E3" s="123" t="s">
        <v>483</v>
      </c>
      <c r="F3" s="123" t="s">
        <v>484</v>
      </c>
      <c r="G3" s="123" t="s">
        <v>485</v>
      </c>
      <c r="H3" s="123" t="s">
        <v>486</v>
      </c>
      <c r="I3" s="123" t="s">
        <v>487</v>
      </c>
      <c r="J3" s="123" t="s">
        <v>488</v>
      </c>
      <c r="K3" s="123" t="s">
        <v>183</v>
      </c>
      <c r="L3" s="123" t="s">
        <v>488</v>
      </c>
      <c r="M3" s="123" t="s">
        <v>183</v>
      </c>
      <c r="N3" s="123" t="s">
        <v>477</v>
      </c>
      <c r="O3" s="123" t="s">
        <v>478</v>
      </c>
      <c r="P3" s="123" t="s">
        <v>489</v>
      </c>
      <c r="Q3" s="123" t="s">
        <v>490</v>
      </c>
      <c r="R3" s="123" t="s">
        <v>491</v>
      </c>
      <c r="S3" s="123" t="s">
        <v>469</v>
      </c>
    </row>
    <row r="4" spans="1:19" hidden="1" x14ac:dyDescent="0.2">
      <c r="A4" s="123" t="s">
        <v>469</v>
      </c>
      <c r="B4" s="123" t="s">
        <v>470</v>
      </c>
      <c r="C4" s="123" t="s">
        <v>471</v>
      </c>
      <c r="D4" s="123" t="s">
        <v>492</v>
      </c>
      <c r="E4" s="123" t="s">
        <v>493</v>
      </c>
      <c r="F4" s="123" t="s">
        <v>494</v>
      </c>
      <c r="G4" s="123" t="s">
        <v>495</v>
      </c>
      <c r="H4" s="123" t="s">
        <v>496</v>
      </c>
      <c r="I4" s="123" t="s">
        <v>497</v>
      </c>
      <c r="J4" s="123" t="s">
        <v>100</v>
      </c>
      <c r="K4" s="123" t="s">
        <v>101</v>
      </c>
      <c r="L4" s="123" t="s">
        <v>100</v>
      </c>
      <c r="M4" s="123" t="s">
        <v>101</v>
      </c>
      <c r="N4" s="123" t="s">
        <v>477</v>
      </c>
      <c r="O4" s="123" t="s">
        <v>478</v>
      </c>
      <c r="P4" s="123" t="s">
        <v>498</v>
      </c>
      <c r="Q4" s="123" t="s">
        <v>499</v>
      </c>
      <c r="R4" s="123" t="s">
        <v>500</v>
      </c>
      <c r="S4" s="123" t="s">
        <v>469</v>
      </c>
    </row>
    <row r="5" spans="1:19" hidden="1" x14ac:dyDescent="0.2">
      <c r="A5" s="123" t="s">
        <v>469</v>
      </c>
      <c r="B5" s="123" t="s">
        <v>470</v>
      </c>
      <c r="C5" s="123" t="s">
        <v>471</v>
      </c>
      <c r="D5" s="123" t="s">
        <v>492</v>
      </c>
      <c r="E5" s="123" t="s">
        <v>493</v>
      </c>
      <c r="F5" s="123" t="s">
        <v>501</v>
      </c>
      <c r="G5" s="123" t="s">
        <v>502</v>
      </c>
      <c r="H5" s="123" t="s">
        <v>503</v>
      </c>
      <c r="I5" s="123" t="s">
        <v>504</v>
      </c>
      <c r="J5" s="123" t="s">
        <v>119</v>
      </c>
      <c r="K5" s="123" t="s">
        <v>120</v>
      </c>
      <c r="L5" s="123" t="s">
        <v>119</v>
      </c>
      <c r="M5" s="123" t="s">
        <v>120</v>
      </c>
      <c r="N5" s="123" t="s">
        <v>477</v>
      </c>
      <c r="O5" s="123" t="s">
        <v>478</v>
      </c>
      <c r="P5" s="123" t="s">
        <v>505</v>
      </c>
      <c r="Q5" s="123" t="s">
        <v>506</v>
      </c>
      <c r="R5" s="123" t="s">
        <v>507</v>
      </c>
      <c r="S5" s="123" t="s">
        <v>469</v>
      </c>
    </row>
    <row r="6" spans="1:19" hidden="1" x14ac:dyDescent="0.2">
      <c r="A6" s="123" t="s">
        <v>469</v>
      </c>
      <c r="B6" s="123" t="s">
        <v>470</v>
      </c>
      <c r="C6" s="123" t="s">
        <v>471</v>
      </c>
      <c r="D6" s="123" t="s">
        <v>492</v>
      </c>
      <c r="E6" s="123" t="s">
        <v>493</v>
      </c>
      <c r="F6" s="123" t="s">
        <v>501</v>
      </c>
      <c r="G6" s="123" t="s">
        <v>502</v>
      </c>
      <c r="H6" s="123" t="s">
        <v>503</v>
      </c>
      <c r="I6" s="123" t="s">
        <v>504</v>
      </c>
      <c r="J6" s="123" t="s">
        <v>508</v>
      </c>
      <c r="K6" s="123" t="s">
        <v>163</v>
      </c>
      <c r="L6" s="123" t="s">
        <v>508</v>
      </c>
      <c r="M6" s="123" t="s">
        <v>163</v>
      </c>
      <c r="N6" s="123" t="s">
        <v>477</v>
      </c>
      <c r="O6" s="123" t="s">
        <v>478</v>
      </c>
      <c r="P6" s="123" t="s">
        <v>509</v>
      </c>
      <c r="Q6" s="123" t="s">
        <v>510</v>
      </c>
      <c r="R6" s="123" t="s">
        <v>511</v>
      </c>
      <c r="S6" s="123" t="s">
        <v>469</v>
      </c>
    </row>
    <row r="7" spans="1:19" hidden="1" x14ac:dyDescent="0.2">
      <c r="A7" s="123" t="s">
        <v>469</v>
      </c>
      <c r="B7" s="123" t="s">
        <v>470</v>
      </c>
      <c r="C7" s="123" t="s">
        <v>471</v>
      </c>
      <c r="D7" s="123" t="s">
        <v>482</v>
      </c>
      <c r="E7" s="123" t="s">
        <v>483</v>
      </c>
      <c r="F7" s="123" t="s">
        <v>484</v>
      </c>
      <c r="G7" s="123" t="s">
        <v>485</v>
      </c>
      <c r="H7" s="123" t="s">
        <v>512</v>
      </c>
      <c r="I7" s="123" t="s">
        <v>513</v>
      </c>
      <c r="J7" s="123" t="s">
        <v>514</v>
      </c>
      <c r="K7" s="123" t="s">
        <v>181</v>
      </c>
      <c r="L7" s="123" t="s">
        <v>514</v>
      </c>
      <c r="M7" s="123" t="s">
        <v>181</v>
      </c>
      <c r="N7" s="123" t="s">
        <v>477</v>
      </c>
      <c r="O7" s="123" t="s">
        <v>478</v>
      </c>
      <c r="P7" s="123" t="s">
        <v>515</v>
      </c>
      <c r="Q7" s="123" t="s">
        <v>516</v>
      </c>
      <c r="R7" s="123" t="s">
        <v>517</v>
      </c>
      <c r="S7" s="123" t="s">
        <v>469</v>
      </c>
    </row>
    <row r="8" spans="1:19" hidden="1" x14ac:dyDescent="0.2">
      <c r="A8" s="123" t="s">
        <v>469</v>
      </c>
      <c r="B8" s="123" t="s">
        <v>470</v>
      </c>
      <c r="C8" s="123" t="s">
        <v>471</v>
      </c>
      <c r="D8" s="123" t="s">
        <v>470</v>
      </c>
      <c r="E8" s="123" t="s">
        <v>472</v>
      </c>
      <c r="F8" s="123" t="s">
        <v>473</v>
      </c>
      <c r="G8" s="123" t="s">
        <v>474</v>
      </c>
      <c r="H8" s="123" t="s">
        <v>518</v>
      </c>
      <c r="I8" s="123" t="s">
        <v>519</v>
      </c>
      <c r="J8" s="123" t="s">
        <v>102</v>
      </c>
      <c r="K8" s="123" t="s">
        <v>103</v>
      </c>
      <c r="L8" s="123" t="s">
        <v>102</v>
      </c>
      <c r="M8" s="123" t="s">
        <v>103</v>
      </c>
      <c r="N8" s="123" t="s">
        <v>477</v>
      </c>
      <c r="O8" s="123" t="s">
        <v>478</v>
      </c>
      <c r="P8" s="123" t="s">
        <v>520</v>
      </c>
      <c r="Q8" s="123" t="s">
        <v>521</v>
      </c>
      <c r="R8" s="123" t="s">
        <v>522</v>
      </c>
      <c r="S8" s="123" t="s">
        <v>469</v>
      </c>
    </row>
    <row r="9" spans="1:19" hidden="1" x14ac:dyDescent="0.2">
      <c r="A9" s="123" t="s">
        <v>469</v>
      </c>
      <c r="B9" s="123" t="s">
        <v>470</v>
      </c>
      <c r="C9" s="123" t="s">
        <v>471</v>
      </c>
      <c r="D9" s="123" t="s">
        <v>470</v>
      </c>
      <c r="E9" s="123" t="s">
        <v>472</v>
      </c>
      <c r="F9" s="123" t="s">
        <v>473</v>
      </c>
      <c r="G9" s="123" t="s">
        <v>474</v>
      </c>
      <c r="H9" s="123" t="s">
        <v>518</v>
      </c>
      <c r="I9" s="123" t="s">
        <v>519</v>
      </c>
      <c r="J9" s="123" t="s">
        <v>523</v>
      </c>
      <c r="K9" s="123" t="s">
        <v>164</v>
      </c>
      <c r="L9" s="123" t="s">
        <v>523</v>
      </c>
      <c r="M9" s="123" t="s">
        <v>164</v>
      </c>
      <c r="N9" s="123" t="s">
        <v>477</v>
      </c>
      <c r="O9" s="123" t="s">
        <v>478</v>
      </c>
      <c r="P9" s="123" t="s">
        <v>524</v>
      </c>
      <c r="Q9" s="123" t="s">
        <v>525</v>
      </c>
      <c r="R9" s="123" t="s">
        <v>526</v>
      </c>
      <c r="S9" s="123" t="s">
        <v>469</v>
      </c>
    </row>
    <row r="10" spans="1:19" hidden="1" x14ac:dyDescent="0.2">
      <c r="A10" s="123" t="s">
        <v>469</v>
      </c>
      <c r="B10" s="123" t="s">
        <v>470</v>
      </c>
      <c r="C10" s="123" t="s">
        <v>471</v>
      </c>
      <c r="D10" s="123" t="s">
        <v>470</v>
      </c>
      <c r="E10" s="123" t="s">
        <v>472</v>
      </c>
      <c r="F10" s="123" t="s">
        <v>473</v>
      </c>
      <c r="G10" s="123" t="s">
        <v>474</v>
      </c>
      <c r="H10" s="123" t="s">
        <v>518</v>
      </c>
      <c r="I10" s="123" t="s">
        <v>519</v>
      </c>
      <c r="J10" s="123" t="s">
        <v>527</v>
      </c>
      <c r="K10" s="123" t="s">
        <v>172</v>
      </c>
      <c r="L10" s="123" t="s">
        <v>527</v>
      </c>
      <c r="M10" s="123" t="s">
        <v>172</v>
      </c>
      <c r="N10" s="123" t="s">
        <v>477</v>
      </c>
      <c r="O10" s="123" t="s">
        <v>478</v>
      </c>
      <c r="P10" s="123" t="s">
        <v>528</v>
      </c>
      <c r="Q10" s="123" t="s">
        <v>529</v>
      </c>
      <c r="R10" s="123" t="s">
        <v>530</v>
      </c>
      <c r="S10" s="123" t="s">
        <v>469</v>
      </c>
    </row>
    <row r="11" spans="1:19" hidden="1" x14ac:dyDescent="0.2">
      <c r="A11" s="123" t="s">
        <v>469</v>
      </c>
      <c r="B11" s="123" t="s">
        <v>470</v>
      </c>
      <c r="C11" s="123" t="s">
        <v>471</v>
      </c>
      <c r="D11" s="123" t="s">
        <v>482</v>
      </c>
      <c r="E11" s="123" t="s">
        <v>483</v>
      </c>
      <c r="F11" s="123" t="s">
        <v>531</v>
      </c>
      <c r="G11" s="123" t="s">
        <v>532</v>
      </c>
      <c r="H11" s="123" t="s">
        <v>533</v>
      </c>
      <c r="I11" s="123" t="s">
        <v>534</v>
      </c>
      <c r="J11" s="123" t="s">
        <v>535</v>
      </c>
      <c r="K11" s="123" t="s">
        <v>173</v>
      </c>
      <c r="L11" s="123" t="s">
        <v>535</v>
      </c>
      <c r="M11" s="123" t="s">
        <v>173</v>
      </c>
      <c r="N11" s="123" t="s">
        <v>477</v>
      </c>
      <c r="O11" s="123" t="s">
        <v>478</v>
      </c>
      <c r="P11" s="123" t="s">
        <v>536</v>
      </c>
      <c r="Q11" s="123" t="s">
        <v>537</v>
      </c>
      <c r="R11" s="123" t="s">
        <v>538</v>
      </c>
      <c r="S11" s="123" t="s">
        <v>469</v>
      </c>
    </row>
    <row r="12" spans="1:19" hidden="1" x14ac:dyDescent="0.2">
      <c r="A12" s="123" t="s">
        <v>469</v>
      </c>
      <c r="B12" s="123" t="s">
        <v>470</v>
      </c>
      <c r="C12" s="123" t="s">
        <v>471</v>
      </c>
      <c r="D12" s="123" t="s">
        <v>482</v>
      </c>
      <c r="E12" s="123" t="s">
        <v>483</v>
      </c>
      <c r="F12" s="123" t="s">
        <v>531</v>
      </c>
      <c r="G12" s="123" t="s">
        <v>532</v>
      </c>
      <c r="H12" s="123" t="s">
        <v>533</v>
      </c>
      <c r="I12" s="123" t="s">
        <v>534</v>
      </c>
      <c r="J12" s="123" t="s">
        <v>539</v>
      </c>
      <c r="K12" s="123" t="s">
        <v>383</v>
      </c>
      <c r="L12" s="123" t="s">
        <v>539</v>
      </c>
      <c r="M12" s="123" t="s">
        <v>383</v>
      </c>
      <c r="N12" s="123" t="s">
        <v>477</v>
      </c>
      <c r="O12" s="123" t="s">
        <v>478</v>
      </c>
      <c r="P12" s="123" t="s">
        <v>540</v>
      </c>
      <c r="Q12" s="123" t="s">
        <v>541</v>
      </c>
      <c r="R12" s="123" t="s">
        <v>542</v>
      </c>
      <c r="S12" s="123" t="s">
        <v>469</v>
      </c>
    </row>
    <row r="13" spans="1:19" hidden="1" x14ac:dyDescent="0.2">
      <c r="A13" s="123" t="s">
        <v>469</v>
      </c>
      <c r="B13" s="123" t="s">
        <v>470</v>
      </c>
      <c r="C13" s="123" t="s">
        <v>471</v>
      </c>
      <c r="D13" s="123" t="s">
        <v>482</v>
      </c>
      <c r="E13" s="123" t="s">
        <v>483</v>
      </c>
      <c r="F13" s="123" t="s">
        <v>531</v>
      </c>
      <c r="G13" s="123" t="s">
        <v>532</v>
      </c>
      <c r="H13" s="123" t="s">
        <v>533</v>
      </c>
      <c r="I13" s="123" t="s">
        <v>534</v>
      </c>
      <c r="J13" s="123" t="s">
        <v>543</v>
      </c>
      <c r="K13" s="123" t="s">
        <v>381</v>
      </c>
      <c r="L13" s="123" t="s">
        <v>543</v>
      </c>
      <c r="M13" s="123" t="s">
        <v>381</v>
      </c>
      <c r="N13" s="123" t="s">
        <v>477</v>
      </c>
      <c r="O13" s="123" t="s">
        <v>478</v>
      </c>
      <c r="P13" s="123" t="s">
        <v>544</v>
      </c>
      <c r="Q13" s="123" t="s">
        <v>545</v>
      </c>
      <c r="R13" s="123" t="s">
        <v>546</v>
      </c>
      <c r="S13" s="123" t="s">
        <v>469</v>
      </c>
    </row>
    <row r="14" spans="1:19" hidden="1" x14ac:dyDescent="0.2">
      <c r="A14" s="123" t="s">
        <v>469</v>
      </c>
      <c r="B14" s="123" t="s">
        <v>470</v>
      </c>
      <c r="C14" s="123" t="s">
        <v>471</v>
      </c>
      <c r="D14" s="123" t="s">
        <v>492</v>
      </c>
      <c r="E14" s="123" t="s">
        <v>493</v>
      </c>
      <c r="F14" s="123" t="s">
        <v>501</v>
      </c>
      <c r="G14" s="123" t="s">
        <v>502</v>
      </c>
      <c r="H14" s="123" t="s">
        <v>547</v>
      </c>
      <c r="I14" s="123" t="s">
        <v>548</v>
      </c>
      <c r="J14" s="123" t="s">
        <v>85</v>
      </c>
      <c r="K14" s="123" t="s">
        <v>86</v>
      </c>
      <c r="L14" s="123" t="s">
        <v>85</v>
      </c>
      <c r="M14" s="123" t="s">
        <v>86</v>
      </c>
      <c r="N14" s="123" t="s">
        <v>477</v>
      </c>
      <c r="O14" s="123" t="s">
        <v>478</v>
      </c>
      <c r="P14" s="123" t="s">
        <v>549</v>
      </c>
      <c r="Q14" s="123" t="s">
        <v>550</v>
      </c>
      <c r="R14" s="123" t="s">
        <v>551</v>
      </c>
      <c r="S14" s="123" t="s">
        <v>469</v>
      </c>
    </row>
    <row r="15" spans="1:19" hidden="1" x14ac:dyDescent="0.2">
      <c r="A15" s="123" t="s">
        <v>469</v>
      </c>
      <c r="B15" s="123" t="s">
        <v>470</v>
      </c>
      <c r="C15" s="123" t="s">
        <v>471</v>
      </c>
      <c r="D15" s="123" t="s">
        <v>552</v>
      </c>
      <c r="E15" s="123" t="s">
        <v>553</v>
      </c>
      <c r="F15" s="123" t="s">
        <v>554</v>
      </c>
      <c r="G15" s="123" t="s">
        <v>555</v>
      </c>
      <c r="H15" s="123" t="s">
        <v>556</v>
      </c>
      <c r="I15" s="123" t="s">
        <v>557</v>
      </c>
      <c r="J15" s="123" t="s">
        <v>558</v>
      </c>
      <c r="K15" s="123" t="s">
        <v>189</v>
      </c>
      <c r="L15" s="123" t="s">
        <v>558</v>
      </c>
      <c r="M15" s="123" t="s">
        <v>189</v>
      </c>
      <c r="N15" s="123" t="s">
        <v>477</v>
      </c>
      <c r="O15" s="123" t="s">
        <v>478</v>
      </c>
      <c r="P15" s="123" t="s">
        <v>559</v>
      </c>
      <c r="Q15" s="123" t="s">
        <v>560</v>
      </c>
      <c r="R15" s="123" t="s">
        <v>561</v>
      </c>
      <c r="S15" s="123" t="s">
        <v>469</v>
      </c>
    </row>
    <row r="16" spans="1:19" hidden="1" x14ac:dyDescent="0.2">
      <c r="A16" s="123" t="s">
        <v>469</v>
      </c>
      <c r="B16" s="123" t="s">
        <v>470</v>
      </c>
      <c r="C16" s="123" t="s">
        <v>471</v>
      </c>
      <c r="D16" s="123" t="s">
        <v>470</v>
      </c>
      <c r="E16" s="123" t="s">
        <v>472</v>
      </c>
      <c r="F16" s="123" t="s">
        <v>562</v>
      </c>
      <c r="G16" s="123" t="s">
        <v>563</v>
      </c>
      <c r="H16" s="123" t="s">
        <v>564</v>
      </c>
      <c r="I16" s="123" t="s">
        <v>565</v>
      </c>
      <c r="J16" s="123" t="s">
        <v>68</v>
      </c>
      <c r="K16" s="123" t="s">
        <v>69</v>
      </c>
      <c r="L16" s="123" t="s">
        <v>68</v>
      </c>
      <c r="M16" s="123" t="s">
        <v>69</v>
      </c>
      <c r="N16" s="123" t="s">
        <v>477</v>
      </c>
      <c r="O16" s="123" t="s">
        <v>478</v>
      </c>
      <c r="P16" s="123" t="s">
        <v>566</v>
      </c>
      <c r="Q16" s="123" t="s">
        <v>567</v>
      </c>
      <c r="R16" s="123" t="s">
        <v>568</v>
      </c>
      <c r="S16" s="123" t="s">
        <v>469</v>
      </c>
    </row>
    <row r="17" spans="1:19" hidden="1" x14ac:dyDescent="0.2">
      <c r="A17" s="123" t="s">
        <v>469</v>
      </c>
      <c r="B17" s="123" t="s">
        <v>470</v>
      </c>
      <c r="C17" s="123" t="s">
        <v>471</v>
      </c>
      <c r="D17" s="123" t="s">
        <v>552</v>
      </c>
      <c r="E17" s="123" t="s">
        <v>553</v>
      </c>
      <c r="F17" s="123" t="s">
        <v>569</v>
      </c>
      <c r="G17" s="123" t="s">
        <v>570</v>
      </c>
      <c r="H17" s="123" t="s">
        <v>571</v>
      </c>
      <c r="I17" s="123" t="s">
        <v>572</v>
      </c>
      <c r="J17" s="123" t="s">
        <v>29</v>
      </c>
      <c r="K17" s="123" t="s">
        <v>30</v>
      </c>
      <c r="L17" s="123" t="s">
        <v>29</v>
      </c>
      <c r="M17" s="123" t="s">
        <v>30</v>
      </c>
      <c r="N17" s="123" t="s">
        <v>477</v>
      </c>
      <c r="O17" s="123" t="s">
        <v>478</v>
      </c>
      <c r="P17" s="123" t="s">
        <v>573</v>
      </c>
      <c r="Q17" s="123" t="s">
        <v>574</v>
      </c>
      <c r="R17" s="123" t="s">
        <v>575</v>
      </c>
      <c r="S17" s="123" t="s">
        <v>469</v>
      </c>
    </row>
    <row r="18" spans="1:19" hidden="1" x14ac:dyDescent="0.2">
      <c r="A18" s="123" t="s">
        <v>469</v>
      </c>
      <c r="B18" s="123" t="s">
        <v>470</v>
      </c>
      <c r="C18" s="123" t="s">
        <v>471</v>
      </c>
      <c r="D18" s="123" t="s">
        <v>552</v>
      </c>
      <c r="E18" s="123" t="s">
        <v>553</v>
      </c>
      <c r="F18" s="123" t="s">
        <v>569</v>
      </c>
      <c r="G18" s="123" t="s">
        <v>570</v>
      </c>
      <c r="H18" s="123" t="s">
        <v>571</v>
      </c>
      <c r="I18" s="123" t="s">
        <v>572</v>
      </c>
      <c r="J18" s="123" t="s">
        <v>72</v>
      </c>
      <c r="K18" s="123" t="s">
        <v>73</v>
      </c>
      <c r="L18" s="123" t="s">
        <v>72</v>
      </c>
      <c r="M18" s="123" t="s">
        <v>73</v>
      </c>
      <c r="N18" s="123" t="s">
        <v>477</v>
      </c>
      <c r="O18" s="123" t="s">
        <v>478</v>
      </c>
      <c r="P18" s="123" t="s">
        <v>576</v>
      </c>
      <c r="Q18" s="123" t="s">
        <v>577</v>
      </c>
      <c r="R18" s="123" t="s">
        <v>578</v>
      </c>
      <c r="S18" s="123" t="s">
        <v>469</v>
      </c>
    </row>
    <row r="19" spans="1:19" hidden="1" x14ac:dyDescent="0.2">
      <c r="A19" s="123" t="s">
        <v>469</v>
      </c>
      <c r="B19" s="123" t="s">
        <v>470</v>
      </c>
      <c r="C19" s="123" t="s">
        <v>471</v>
      </c>
      <c r="D19" s="123" t="s">
        <v>552</v>
      </c>
      <c r="E19" s="123" t="s">
        <v>553</v>
      </c>
      <c r="F19" s="123" t="s">
        <v>569</v>
      </c>
      <c r="G19" s="123" t="s">
        <v>570</v>
      </c>
      <c r="H19" s="123" t="s">
        <v>571</v>
      </c>
      <c r="I19" s="123" t="s">
        <v>572</v>
      </c>
      <c r="J19" s="123" t="s">
        <v>87</v>
      </c>
      <c r="K19" s="123" t="s">
        <v>88</v>
      </c>
      <c r="L19" s="123" t="s">
        <v>87</v>
      </c>
      <c r="M19" s="123" t="s">
        <v>88</v>
      </c>
      <c r="N19" s="123" t="s">
        <v>477</v>
      </c>
      <c r="O19" s="123" t="s">
        <v>478</v>
      </c>
      <c r="P19" s="123" t="s">
        <v>579</v>
      </c>
      <c r="Q19" s="123" t="s">
        <v>580</v>
      </c>
      <c r="R19" s="123" t="s">
        <v>581</v>
      </c>
      <c r="S19" s="123" t="s">
        <v>469</v>
      </c>
    </row>
    <row r="20" spans="1:19" hidden="1" x14ac:dyDescent="0.2">
      <c r="A20" s="123" t="s">
        <v>469</v>
      </c>
      <c r="B20" s="123" t="s">
        <v>470</v>
      </c>
      <c r="C20" s="123" t="s">
        <v>471</v>
      </c>
      <c r="D20" s="123" t="s">
        <v>482</v>
      </c>
      <c r="E20" s="123" t="s">
        <v>483</v>
      </c>
      <c r="F20" s="123" t="s">
        <v>484</v>
      </c>
      <c r="G20" s="123" t="s">
        <v>485</v>
      </c>
      <c r="H20" s="123" t="s">
        <v>582</v>
      </c>
      <c r="I20" s="123" t="s">
        <v>583</v>
      </c>
      <c r="J20" s="123" t="s">
        <v>89</v>
      </c>
      <c r="K20" s="123" t="s">
        <v>90</v>
      </c>
      <c r="L20" s="123" t="s">
        <v>89</v>
      </c>
      <c r="M20" s="123" t="s">
        <v>90</v>
      </c>
      <c r="N20" s="123" t="s">
        <v>477</v>
      </c>
      <c r="O20" s="123" t="s">
        <v>478</v>
      </c>
      <c r="P20" s="123" t="s">
        <v>584</v>
      </c>
      <c r="Q20" s="123" t="s">
        <v>585</v>
      </c>
      <c r="R20" s="123" t="s">
        <v>586</v>
      </c>
      <c r="S20" s="123" t="s">
        <v>469</v>
      </c>
    </row>
    <row r="21" spans="1:19" hidden="1" x14ac:dyDescent="0.2">
      <c r="A21" s="123" t="s">
        <v>469</v>
      </c>
      <c r="B21" s="123" t="s">
        <v>470</v>
      </c>
      <c r="C21" s="123" t="s">
        <v>471</v>
      </c>
      <c r="D21" s="123" t="s">
        <v>482</v>
      </c>
      <c r="E21" s="123" t="s">
        <v>483</v>
      </c>
      <c r="F21" s="123" t="s">
        <v>484</v>
      </c>
      <c r="G21" s="123" t="s">
        <v>485</v>
      </c>
      <c r="H21" s="123" t="s">
        <v>587</v>
      </c>
      <c r="I21" s="123" t="s">
        <v>588</v>
      </c>
      <c r="J21" s="123" t="s">
        <v>121</v>
      </c>
      <c r="K21" s="123" t="s">
        <v>122</v>
      </c>
      <c r="L21" s="123" t="s">
        <v>121</v>
      </c>
      <c r="M21" s="123" t="s">
        <v>122</v>
      </c>
      <c r="N21" s="123" t="s">
        <v>477</v>
      </c>
      <c r="O21" s="123" t="s">
        <v>478</v>
      </c>
      <c r="P21" s="123" t="s">
        <v>589</v>
      </c>
      <c r="Q21" s="123" t="s">
        <v>590</v>
      </c>
      <c r="R21" s="123" t="s">
        <v>591</v>
      </c>
      <c r="S21" s="123" t="s">
        <v>469</v>
      </c>
    </row>
    <row r="22" spans="1:19" hidden="1" x14ac:dyDescent="0.2">
      <c r="A22" s="123" t="s">
        <v>469</v>
      </c>
      <c r="B22" s="123" t="s">
        <v>470</v>
      </c>
      <c r="C22" s="123" t="s">
        <v>471</v>
      </c>
      <c r="D22" s="123" t="s">
        <v>492</v>
      </c>
      <c r="E22" s="123" t="s">
        <v>493</v>
      </c>
      <c r="F22" s="123" t="s">
        <v>494</v>
      </c>
      <c r="G22" s="123" t="s">
        <v>495</v>
      </c>
      <c r="H22" s="123" t="s">
        <v>592</v>
      </c>
      <c r="I22" s="123" t="s">
        <v>593</v>
      </c>
      <c r="J22" s="123" t="s">
        <v>123</v>
      </c>
      <c r="K22" s="123" t="s">
        <v>124</v>
      </c>
      <c r="L22" s="123" t="s">
        <v>123</v>
      </c>
      <c r="M22" s="123" t="s">
        <v>124</v>
      </c>
      <c r="N22" s="123" t="s">
        <v>477</v>
      </c>
      <c r="O22" s="123" t="s">
        <v>478</v>
      </c>
      <c r="P22" s="123" t="s">
        <v>594</v>
      </c>
      <c r="Q22" s="123" t="s">
        <v>595</v>
      </c>
      <c r="R22" s="123" t="s">
        <v>596</v>
      </c>
      <c r="S22" s="123" t="s">
        <v>469</v>
      </c>
    </row>
    <row r="23" spans="1:19" hidden="1" x14ac:dyDescent="0.2">
      <c r="A23" s="123" t="s">
        <v>469</v>
      </c>
      <c r="B23" s="123" t="s">
        <v>470</v>
      </c>
      <c r="C23" s="123" t="s">
        <v>471</v>
      </c>
      <c r="D23" s="123" t="s">
        <v>482</v>
      </c>
      <c r="E23" s="123" t="s">
        <v>483</v>
      </c>
      <c r="F23" s="123" t="s">
        <v>597</v>
      </c>
      <c r="G23" s="123" t="s">
        <v>598</v>
      </c>
      <c r="H23" s="123" t="s">
        <v>599</v>
      </c>
      <c r="I23" s="123" t="s">
        <v>600</v>
      </c>
      <c r="J23" s="123" t="s">
        <v>601</v>
      </c>
      <c r="K23" s="123" t="s">
        <v>182</v>
      </c>
      <c r="L23" s="123" t="s">
        <v>601</v>
      </c>
      <c r="M23" s="123" t="s">
        <v>182</v>
      </c>
      <c r="N23" s="123" t="s">
        <v>477</v>
      </c>
      <c r="O23" s="123" t="s">
        <v>478</v>
      </c>
      <c r="P23" s="123" t="s">
        <v>602</v>
      </c>
      <c r="Q23" s="123" t="s">
        <v>603</v>
      </c>
      <c r="R23" s="123" t="s">
        <v>604</v>
      </c>
      <c r="S23" s="123" t="s">
        <v>469</v>
      </c>
    </row>
    <row r="24" spans="1:19" hidden="1" x14ac:dyDescent="0.2">
      <c r="A24" s="123" t="s">
        <v>469</v>
      </c>
      <c r="B24" s="123" t="s">
        <v>470</v>
      </c>
      <c r="C24" s="123" t="s">
        <v>471</v>
      </c>
      <c r="D24" s="123" t="s">
        <v>470</v>
      </c>
      <c r="E24" s="123" t="s">
        <v>472</v>
      </c>
      <c r="F24" s="123" t="s">
        <v>605</v>
      </c>
      <c r="G24" s="123" t="s">
        <v>606</v>
      </c>
      <c r="H24" s="123" t="s">
        <v>607</v>
      </c>
      <c r="I24" s="123" t="s">
        <v>608</v>
      </c>
      <c r="J24" s="123" t="s">
        <v>609</v>
      </c>
      <c r="K24" s="123" t="s">
        <v>386</v>
      </c>
      <c r="L24" s="123" t="s">
        <v>609</v>
      </c>
      <c r="M24" s="123" t="s">
        <v>386</v>
      </c>
      <c r="N24" s="123" t="s">
        <v>477</v>
      </c>
      <c r="O24" s="123" t="s">
        <v>478</v>
      </c>
      <c r="P24" s="123" t="s">
        <v>610</v>
      </c>
      <c r="Q24" s="123" t="s">
        <v>611</v>
      </c>
      <c r="R24" s="123" t="s">
        <v>612</v>
      </c>
      <c r="S24" s="123" t="s">
        <v>469</v>
      </c>
    </row>
    <row r="25" spans="1:19" hidden="1" x14ac:dyDescent="0.2">
      <c r="A25" s="123" t="s">
        <v>469</v>
      </c>
      <c r="B25" s="123" t="s">
        <v>470</v>
      </c>
      <c r="C25" s="123" t="s">
        <v>471</v>
      </c>
      <c r="D25" s="123" t="s">
        <v>492</v>
      </c>
      <c r="E25" s="123" t="s">
        <v>493</v>
      </c>
      <c r="F25" s="123" t="s">
        <v>501</v>
      </c>
      <c r="G25" s="123" t="s">
        <v>502</v>
      </c>
      <c r="H25" s="123" t="s">
        <v>613</v>
      </c>
      <c r="I25" s="123" t="s">
        <v>614</v>
      </c>
      <c r="J25" s="123" t="s">
        <v>615</v>
      </c>
      <c r="K25" s="123" t="s">
        <v>167</v>
      </c>
      <c r="L25" s="123" t="s">
        <v>615</v>
      </c>
      <c r="M25" s="123" t="s">
        <v>167</v>
      </c>
      <c r="N25" s="123" t="s">
        <v>477</v>
      </c>
      <c r="O25" s="123" t="s">
        <v>478</v>
      </c>
      <c r="P25" s="123" t="s">
        <v>616</v>
      </c>
      <c r="Q25" s="123" t="s">
        <v>617</v>
      </c>
      <c r="R25" s="123" t="s">
        <v>618</v>
      </c>
      <c r="S25" s="123" t="s">
        <v>469</v>
      </c>
    </row>
    <row r="26" spans="1:19" hidden="1" x14ac:dyDescent="0.2">
      <c r="A26" s="123" t="s">
        <v>469</v>
      </c>
      <c r="B26" s="123" t="s">
        <v>470</v>
      </c>
      <c r="C26" s="123" t="s">
        <v>471</v>
      </c>
      <c r="D26" s="123" t="s">
        <v>492</v>
      </c>
      <c r="E26" s="123" t="s">
        <v>493</v>
      </c>
      <c r="F26" s="123" t="s">
        <v>619</v>
      </c>
      <c r="G26" s="123" t="s">
        <v>620</v>
      </c>
      <c r="H26" s="123" t="s">
        <v>621</v>
      </c>
      <c r="I26" s="123" t="s">
        <v>622</v>
      </c>
      <c r="J26" s="123" t="s">
        <v>623</v>
      </c>
      <c r="K26" s="123" t="s">
        <v>382</v>
      </c>
      <c r="L26" s="123" t="s">
        <v>623</v>
      </c>
      <c r="M26" s="123" t="s">
        <v>382</v>
      </c>
      <c r="N26" s="123" t="s">
        <v>477</v>
      </c>
      <c r="O26" s="123" t="s">
        <v>478</v>
      </c>
      <c r="P26" s="123" t="s">
        <v>624</v>
      </c>
      <c r="Q26" s="123" t="s">
        <v>625</v>
      </c>
      <c r="R26" s="123" t="s">
        <v>626</v>
      </c>
      <c r="S26" s="123" t="s">
        <v>469</v>
      </c>
    </row>
    <row r="27" spans="1:19" hidden="1" x14ac:dyDescent="0.2">
      <c r="A27" s="123" t="s">
        <v>469</v>
      </c>
      <c r="B27" s="123" t="s">
        <v>470</v>
      </c>
      <c r="C27" s="123" t="s">
        <v>471</v>
      </c>
      <c r="D27" s="123" t="s">
        <v>482</v>
      </c>
      <c r="E27" s="123" t="s">
        <v>483</v>
      </c>
      <c r="F27" s="123" t="s">
        <v>627</v>
      </c>
      <c r="G27" s="123" t="s">
        <v>628</v>
      </c>
      <c r="H27" s="123" t="s">
        <v>629</v>
      </c>
      <c r="I27" s="123" t="s">
        <v>630</v>
      </c>
      <c r="J27" s="123" t="s">
        <v>57</v>
      </c>
      <c r="K27" s="123" t="s">
        <v>58</v>
      </c>
      <c r="L27" s="123" t="s">
        <v>57</v>
      </c>
      <c r="M27" s="123" t="s">
        <v>58</v>
      </c>
      <c r="N27" s="123" t="s">
        <v>477</v>
      </c>
      <c r="O27" s="123" t="s">
        <v>478</v>
      </c>
      <c r="P27" s="123" t="s">
        <v>631</v>
      </c>
      <c r="Q27" s="123" t="s">
        <v>632</v>
      </c>
      <c r="R27" s="123" t="s">
        <v>633</v>
      </c>
      <c r="S27" s="123" t="s">
        <v>469</v>
      </c>
    </row>
    <row r="28" spans="1:19" hidden="1" x14ac:dyDescent="0.2">
      <c r="A28" s="123" t="s">
        <v>469</v>
      </c>
      <c r="B28" s="123" t="s">
        <v>470</v>
      </c>
      <c r="C28" s="123" t="s">
        <v>471</v>
      </c>
      <c r="D28" s="123" t="s">
        <v>482</v>
      </c>
      <c r="E28" s="123" t="s">
        <v>483</v>
      </c>
      <c r="F28" s="123" t="s">
        <v>627</v>
      </c>
      <c r="G28" s="123" t="s">
        <v>628</v>
      </c>
      <c r="H28" s="123" t="s">
        <v>629</v>
      </c>
      <c r="I28" s="123" t="s">
        <v>630</v>
      </c>
      <c r="J28" s="123" t="s">
        <v>74</v>
      </c>
      <c r="K28" s="123" t="s">
        <v>75</v>
      </c>
      <c r="L28" s="123" t="s">
        <v>74</v>
      </c>
      <c r="M28" s="123" t="s">
        <v>75</v>
      </c>
      <c r="N28" s="123" t="s">
        <v>477</v>
      </c>
      <c r="O28" s="123" t="s">
        <v>478</v>
      </c>
      <c r="P28" s="123" t="s">
        <v>634</v>
      </c>
      <c r="Q28" s="123" t="s">
        <v>635</v>
      </c>
      <c r="R28" s="123" t="s">
        <v>636</v>
      </c>
      <c r="S28" s="123" t="s">
        <v>469</v>
      </c>
    </row>
    <row r="29" spans="1:19" hidden="1" x14ac:dyDescent="0.2">
      <c r="A29" s="123" t="s">
        <v>469</v>
      </c>
      <c r="B29" s="123" t="s">
        <v>470</v>
      </c>
      <c r="C29" s="123" t="s">
        <v>471</v>
      </c>
      <c r="D29" s="123" t="s">
        <v>492</v>
      </c>
      <c r="E29" s="123" t="s">
        <v>493</v>
      </c>
      <c r="F29" s="123" t="s">
        <v>637</v>
      </c>
      <c r="G29" s="123" t="s">
        <v>638</v>
      </c>
      <c r="H29" s="123" t="s">
        <v>639</v>
      </c>
      <c r="I29" s="123" t="s">
        <v>640</v>
      </c>
      <c r="J29" s="123" t="s">
        <v>125</v>
      </c>
      <c r="K29" s="123" t="s">
        <v>641</v>
      </c>
      <c r="L29" s="123" t="s">
        <v>125</v>
      </c>
      <c r="M29" s="123" t="s">
        <v>641</v>
      </c>
      <c r="N29" s="123" t="s">
        <v>477</v>
      </c>
      <c r="O29" s="123" t="s">
        <v>478</v>
      </c>
      <c r="P29" s="123" t="s">
        <v>642</v>
      </c>
      <c r="Q29" s="123" t="s">
        <v>643</v>
      </c>
      <c r="R29" s="123" t="s">
        <v>644</v>
      </c>
      <c r="S29" s="123" t="s">
        <v>469</v>
      </c>
    </row>
    <row r="30" spans="1:19" hidden="1" x14ac:dyDescent="0.2">
      <c r="A30" s="123" t="s">
        <v>469</v>
      </c>
      <c r="B30" s="123" t="s">
        <v>470</v>
      </c>
      <c r="C30" s="123" t="s">
        <v>471</v>
      </c>
      <c r="D30" s="123" t="s">
        <v>492</v>
      </c>
      <c r="E30" s="123" t="s">
        <v>493</v>
      </c>
      <c r="F30" s="123" t="s">
        <v>637</v>
      </c>
      <c r="G30" s="123" t="s">
        <v>638</v>
      </c>
      <c r="H30" s="123" t="s">
        <v>639</v>
      </c>
      <c r="I30" s="123" t="s">
        <v>640</v>
      </c>
      <c r="J30" s="123" t="s">
        <v>91</v>
      </c>
      <c r="K30" s="123" t="s">
        <v>92</v>
      </c>
      <c r="L30" s="123" t="s">
        <v>91</v>
      </c>
      <c r="M30" s="123" t="s">
        <v>92</v>
      </c>
      <c r="N30" s="123" t="s">
        <v>477</v>
      </c>
      <c r="O30" s="123" t="s">
        <v>478</v>
      </c>
      <c r="P30" s="123" t="s">
        <v>645</v>
      </c>
      <c r="Q30" s="123" t="s">
        <v>646</v>
      </c>
      <c r="R30" s="123" t="s">
        <v>647</v>
      </c>
      <c r="S30" s="123" t="s">
        <v>469</v>
      </c>
    </row>
    <row r="31" spans="1:19" hidden="1" x14ac:dyDescent="0.2">
      <c r="A31" s="123" t="s">
        <v>469</v>
      </c>
      <c r="B31" s="123" t="s">
        <v>470</v>
      </c>
      <c r="C31" s="123" t="s">
        <v>471</v>
      </c>
      <c r="D31" s="123" t="s">
        <v>552</v>
      </c>
      <c r="E31" s="123" t="s">
        <v>553</v>
      </c>
      <c r="F31" s="123" t="s">
        <v>554</v>
      </c>
      <c r="G31" s="123" t="s">
        <v>555</v>
      </c>
      <c r="H31" s="123" t="s">
        <v>648</v>
      </c>
      <c r="I31" s="123" t="s">
        <v>649</v>
      </c>
      <c r="J31" s="123" t="s">
        <v>127</v>
      </c>
      <c r="K31" s="123" t="s">
        <v>128</v>
      </c>
      <c r="L31" s="123" t="s">
        <v>127</v>
      </c>
      <c r="M31" s="123" t="s">
        <v>128</v>
      </c>
      <c r="N31" s="123" t="s">
        <v>477</v>
      </c>
      <c r="O31" s="123" t="s">
        <v>478</v>
      </c>
      <c r="P31" s="123" t="s">
        <v>650</v>
      </c>
      <c r="Q31" s="123" t="s">
        <v>651</v>
      </c>
      <c r="R31" s="123" t="s">
        <v>652</v>
      </c>
      <c r="S31" s="123" t="s">
        <v>469</v>
      </c>
    </row>
    <row r="32" spans="1:19" hidden="1" x14ac:dyDescent="0.2">
      <c r="A32" s="123" t="s">
        <v>469</v>
      </c>
      <c r="B32" s="123" t="s">
        <v>470</v>
      </c>
      <c r="C32" s="123" t="s">
        <v>471</v>
      </c>
      <c r="D32" s="123" t="s">
        <v>482</v>
      </c>
      <c r="E32" s="123" t="s">
        <v>483</v>
      </c>
      <c r="F32" s="123" t="s">
        <v>597</v>
      </c>
      <c r="G32" s="123" t="s">
        <v>598</v>
      </c>
      <c r="H32" s="123" t="s">
        <v>653</v>
      </c>
      <c r="I32" s="123" t="s">
        <v>654</v>
      </c>
      <c r="J32" s="123" t="s">
        <v>93</v>
      </c>
      <c r="K32" s="123" t="s">
        <v>94</v>
      </c>
      <c r="L32" s="123" t="s">
        <v>93</v>
      </c>
      <c r="M32" s="123" t="s">
        <v>94</v>
      </c>
      <c r="N32" s="123" t="s">
        <v>477</v>
      </c>
      <c r="O32" s="123" t="s">
        <v>478</v>
      </c>
      <c r="P32" s="123" t="s">
        <v>655</v>
      </c>
      <c r="Q32" s="123" t="s">
        <v>656</v>
      </c>
      <c r="R32" s="123" t="s">
        <v>657</v>
      </c>
      <c r="S32" s="123" t="s">
        <v>469</v>
      </c>
    </row>
    <row r="33" spans="1:19" hidden="1" x14ac:dyDescent="0.2">
      <c r="A33" s="123" t="s">
        <v>469</v>
      </c>
      <c r="B33" s="123" t="s">
        <v>470</v>
      </c>
      <c r="C33" s="123" t="s">
        <v>471</v>
      </c>
      <c r="D33" s="123" t="s">
        <v>492</v>
      </c>
      <c r="E33" s="123" t="s">
        <v>493</v>
      </c>
      <c r="F33" s="123" t="s">
        <v>658</v>
      </c>
      <c r="G33" s="123" t="s">
        <v>659</v>
      </c>
      <c r="H33" s="123" t="s">
        <v>660</v>
      </c>
      <c r="I33" s="123" t="s">
        <v>661</v>
      </c>
      <c r="J33" s="123" t="s">
        <v>5</v>
      </c>
      <c r="K33" s="123" t="s">
        <v>6</v>
      </c>
      <c r="L33" s="123" t="s">
        <v>5</v>
      </c>
      <c r="M33" s="123" t="s">
        <v>6</v>
      </c>
      <c r="N33" s="123" t="s">
        <v>477</v>
      </c>
      <c r="O33" s="123" t="s">
        <v>478</v>
      </c>
      <c r="P33" s="123" t="s">
        <v>662</v>
      </c>
      <c r="Q33" s="123" t="s">
        <v>663</v>
      </c>
      <c r="R33" s="123" t="s">
        <v>664</v>
      </c>
      <c r="S33" s="123" t="s">
        <v>469</v>
      </c>
    </row>
    <row r="34" spans="1:19" hidden="1" x14ac:dyDescent="0.2">
      <c r="A34" s="123" t="s">
        <v>469</v>
      </c>
      <c r="B34" s="123" t="s">
        <v>470</v>
      </c>
      <c r="C34" s="123" t="s">
        <v>471</v>
      </c>
      <c r="D34" s="123" t="s">
        <v>492</v>
      </c>
      <c r="E34" s="123" t="s">
        <v>493</v>
      </c>
      <c r="F34" s="123" t="s">
        <v>501</v>
      </c>
      <c r="G34" s="123" t="s">
        <v>502</v>
      </c>
      <c r="H34" s="123" t="s">
        <v>665</v>
      </c>
      <c r="I34" s="123" t="s">
        <v>666</v>
      </c>
      <c r="J34" s="123" t="s">
        <v>667</v>
      </c>
      <c r="K34" s="123" t="s">
        <v>166</v>
      </c>
      <c r="L34" s="123" t="s">
        <v>667</v>
      </c>
      <c r="M34" s="123" t="s">
        <v>166</v>
      </c>
      <c r="N34" s="123" t="s">
        <v>477</v>
      </c>
      <c r="O34" s="123" t="s">
        <v>478</v>
      </c>
      <c r="P34" s="123" t="s">
        <v>668</v>
      </c>
      <c r="Q34" s="123" t="s">
        <v>669</v>
      </c>
      <c r="R34" s="123" t="s">
        <v>670</v>
      </c>
      <c r="S34" s="123" t="s">
        <v>469</v>
      </c>
    </row>
    <row r="35" spans="1:19" hidden="1" x14ac:dyDescent="0.2">
      <c r="A35" s="123" t="s">
        <v>469</v>
      </c>
      <c r="B35" s="123" t="s">
        <v>470</v>
      </c>
      <c r="C35" s="123" t="s">
        <v>471</v>
      </c>
      <c r="D35" s="123" t="s">
        <v>492</v>
      </c>
      <c r="E35" s="123" t="s">
        <v>493</v>
      </c>
      <c r="F35" s="123" t="s">
        <v>671</v>
      </c>
      <c r="G35" s="123" t="s">
        <v>672</v>
      </c>
      <c r="H35" s="123" t="s">
        <v>673</v>
      </c>
      <c r="I35" s="123" t="s">
        <v>674</v>
      </c>
      <c r="J35" s="123" t="s">
        <v>131</v>
      </c>
      <c r="K35" s="123" t="s">
        <v>132</v>
      </c>
      <c r="L35" s="123" t="s">
        <v>131</v>
      </c>
      <c r="M35" s="123" t="s">
        <v>132</v>
      </c>
      <c r="N35" s="123" t="s">
        <v>477</v>
      </c>
      <c r="O35" s="123" t="s">
        <v>478</v>
      </c>
      <c r="P35" s="123" t="s">
        <v>675</v>
      </c>
      <c r="Q35" s="123" t="s">
        <v>676</v>
      </c>
      <c r="R35" s="123" t="s">
        <v>677</v>
      </c>
      <c r="S35" s="123" t="s">
        <v>469</v>
      </c>
    </row>
    <row r="36" spans="1:19" hidden="1" x14ac:dyDescent="0.2">
      <c r="A36" s="123" t="s">
        <v>469</v>
      </c>
      <c r="B36" s="123" t="s">
        <v>470</v>
      </c>
      <c r="C36" s="123" t="s">
        <v>471</v>
      </c>
      <c r="D36" s="123" t="s">
        <v>482</v>
      </c>
      <c r="E36" s="123" t="s">
        <v>483</v>
      </c>
      <c r="F36" s="123" t="s">
        <v>627</v>
      </c>
      <c r="G36" s="123" t="s">
        <v>628</v>
      </c>
      <c r="H36" s="123" t="s">
        <v>678</v>
      </c>
      <c r="I36" s="123" t="s">
        <v>679</v>
      </c>
      <c r="J36" s="123" t="s">
        <v>680</v>
      </c>
      <c r="K36" s="123" t="s">
        <v>681</v>
      </c>
      <c r="L36" s="123" t="s">
        <v>680</v>
      </c>
      <c r="M36" s="123" t="s">
        <v>681</v>
      </c>
      <c r="N36" s="123" t="s">
        <v>477</v>
      </c>
      <c r="O36" s="123" t="s">
        <v>478</v>
      </c>
      <c r="P36" s="123" t="s">
        <v>682</v>
      </c>
      <c r="Q36" s="123" t="s">
        <v>683</v>
      </c>
      <c r="R36" s="123" t="s">
        <v>684</v>
      </c>
      <c r="S36" s="123" t="s">
        <v>469</v>
      </c>
    </row>
    <row r="37" spans="1:19" hidden="1" x14ac:dyDescent="0.2">
      <c r="A37" s="123" t="s">
        <v>469</v>
      </c>
      <c r="B37" s="123" t="s">
        <v>470</v>
      </c>
      <c r="C37" s="123" t="s">
        <v>471</v>
      </c>
      <c r="D37" s="123" t="s">
        <v>470</v>
      </c>
      <c r="E37" s="123" t="s">
        <v>472</v>
      </c>
      <c r="F37" s="123" t="s">
        <v>685</v>
      </c>
      <c r="G37" s="123" t="s">
        <v>686</v>
      </c>
      <c r="H37" s="123" t="s">
        <v>687</v>
      </c>
      <c r="I37" s="123" t="s">
        <v>688</v>
      </c>
      <c r="J37" s="123" t="s">
        <v>133</v>
      </c>
      <c r="K37" s="123" t="s">
        <v>134</v>
      </c>
      <c r="L37" s="123" t="s">
        <v>133</v>
      </c>
      <c r="M37" s="123" t="s">
        <v>134</v>
      </c>
      <c r="N37" s="123" t="s">
        <v>477</v>
      </c>
      <c r="O37" s="123" t="s">
        <v>478</v>
      </c>
      <c r="P37" s="123" t="s">
        <v>689</v>
      </c>
      <c r="Q37" s="123" t="s">
        <v>690</v>
      </c>
      <c r="R37" s="123" t="s">
        <v>691</v>
      </c>
      <c r="S37" s="123" t="s">
        <v>469</v>
      </c>
    </row>
    <row r="38" spans="1:19" hidden="1" x14ac:dyDescent="0.2">
      <c r="A38" s="123" t="s">
        <v>469</v>
      </c>
      <c r="B38" s="123" t="s">
        <v>470</v>
      </c>
      <c r="C38" s="123" t="s">
        <v>471</v>
      </c>
      <c r="D38" s="123" t="s">
        <v>492</v>
      </c>
      <c r="E38" s="123" t="s">
        <v>493</v>
      </c>
      <c r="F38" s="123" t="s">
        <v>494</v>
      </c>
      <c r="G38" s="123" t="s">
        <v>495</v>
      </c>
      <c r="H38" s="123" t="s">
        <v>692</v>
      </c>
      <c r="I38" s="123" t="s">
        <v>693</v>
      </c>
      <c r="J38" s="123" t="s">
        <v>76</v>
      </c>
      <c r="K38" s="123" t="s">
        <v>77</v>
      </c>
      <c r="L38" s="123" t="s">
        <v>76</v>
      </c>
      <c r="M38" s="123" t="s">
        <v>77</v>
      </c>
      <c r="N38" s="123" t="s">
        <v>477</v>
      </c>
      <c r="O38" s="123" t="s">
        <v>478</v>
      </c>
      <c r="P38" s="123" t="s">
        <v>694</v>
      </c>
      <c r="Q38" s="123" t="s">
        <v>695</v>
      </c>
      <c r="R38" s="123" t="s">
        <v>696</v>
      </c>
      <c r="S38" s="123" t="s">
        <v>469</v>
      </c>
    </row>
    <row r="39" spans="1:19" hidden="1" x14ac:dyDescent="0.2">
      <c r="A39" s="123" t="s">
        <v>469</v>
      </c>
      <c r="B39" s="123" t="s">
        <v>470</v>
      </c>
      <c r="C39" s="123" t="s">
        <v>471</v>
      </c>
      <c r="D39" s="123" t="s">
        <v>492</v>
      </c>
      <c r="E39" s="123" t="s">
        <v>493</v>
      </c>
      <c r="F39" s="123" t="s">
        <v>697</v>
      </c>
      <c r="G39" s="123" t="s">
        <v>698</v>
      </c>
      <c r="H39" s="123" t="s">
        <v>699</v>
      </c>
      <c r="I39" s="123" t="s">
        <v>700</v>
      </c>
      <c r="J39" s="123" t="s">
        <v>108</v>
      </c>
      <c r="K39" s="123" t="s">
        <v>109</v>
      </c>
      <c r="L39" s="123" t="s">
        <v>108</v>
      </c>
      <c r="M39" s="123" t="s">
        <v>109</v>
      </c>
      <c r="N39" s="123" t="s">
        <v>477</v>
      </c>
      <c r="O39" s="123" t="s">
        <v>478</v>
      </c>
      <c r="P39" s="123" t="s">
        <v>701</v>
      </c>
      <c r="Q39" s="123" t="s">
        <v>702</v>
      </c>
      <c r="R39" s="123" t="s">
        <v>703</v>
      </c>
      <c r="S39" s="123" t="s">
        <v>469</v>
      </c>
    </row>
    <row r="40" spans="1:19" hidden="1" x14ac:dyDescent="0.2">
      <c r="A40" s="123" t="s">
        <v>469</v>
      </c>
      <c r="B40" s="123" t="s">
        <v>470</v>
      </c>
      <c r="C40" s="123" t="s">
        <v>471</v>
      </c>
      <c r="D40" s="123" t="s">
        <v>470</v>
      </c>
      <c r="E40" s="123" t="s">
        <v>472</v>
      </c>
      <c r="F40" s="123" t="s">
        <v>562</v>
      </c>
      <c r="G40" s="123" t="s">
        <v>563</v>
      </c>
      <c r="H40" s="123" t="s">
        <v>704</v>
      </c>
      <c r="I40" s="123" t="s">
        <v>705</v>
      </c>
      <c r="J40" s="123" t="s">
        <v>78</v>
      </c>
      <c r="K40" s="123" t="s">
        <v>79</v>
      </c>
      <c r="L40" s="123" t="s">
        <v>78</v>
      </c>
      <c r="M40" s="123" t="s">
        <v>79</v>
      </c>
      <c r="N40" s="123" t="s">
        <v>477</v>
      </c>
      <c r="O40" s="123" t="s">
        <v>478</v>
      </c>
      <c r="P40" s="123" t="s">
        <v>706</v>
      </c>
      <c r="Q40" s="123" t="s">
        <v>707</v>
      </c>
      <c r="R40" s="123" t="s">
        <v>708</v>
      </c>
      <c r="S40" s="123" t="s">
        <v>469</v>
      </c>
    </row>
    <row r="41" spans="1:19" hidden="1" x14ac:dyDescent="0.2">
      <c r="A41" s="123" t="s">
        <v>469</v>
      </c>
      <c r="B41" s="123" t="s">
        <v>470</v>
      </c>
      <c r="C41" s="123" t="s">
        <v>471</v>
      </c>
      <c r="D41" s="123" t="s">
        <v>552</v>
      </c>
      <c r="E41" s="123" t="s">
        <v>553</v>
      </c>
      <c r="F41" s="123" t="s">
        <v>554</v>
      </c>
      <c r="G41" s="123" t="s">
        <v>555</v>
      </c>
      <c r="H41" s="123" t="s">
        <v>709</v>
      </c>
      <c r="I41" s="123" t="s">
        <v>710</v>
      </c>
      <c r="J41" s="123" t="s">
        <v>711</v>
      </c>
      <c r="K41" s="123" t="s">
        <v>190</v>
      </c>
      <c r="L41" s="123" t="s">
        <v>711</v>
      </c>
      <c r="M41" s="123" t="s">
        <v>190</v>
      </c>
      <c r="N41" s="123" t="s">
        <v>477</v>
      </c>
      <c r="O41" s="123" t="s">
        <v>478</v>
      </c>
      <c r="P41" s="123" t="s">
        <v>712</v>
      </c>
      <c r="Q41" s="123" t="s">
        <v>713</v>
      </c>
      <c r="R41" s="123" t="s">
        <v>714</v>
      </c>
      <c r="S41" s="123" t="s">
        <v>469</v>
      </c>
    </row>
    <row r="42" spans="1:19" hidden="1" x14ac:dyDescent="0.2">
      <c r="A42" s="123" t="s">
        <v>469</v>
      </c>
      <c r="B42" s="123" t="s">
        <v>470</v>
      </c>
      <c r="C42" s="123" t="s">
        <v>471</v>
      </c>
      <c r="D42" s="123" t="s">
        <v>552</v>
      </c>
      <c r="E42" s="123" t="s">
        <v>553</v>
      </c>
      <c r="F42" s="123" t="s">
        <v>569</v>
      </c>
      <c r="G42" s="123" t="s">
        <v>570</v>
      </c>
      <c r="H42" s="123" t="s">
        <v>715</v>
      </c>
      <c r="I42" s="123" t="s">
        <v>716</v>
      </c>
      <c r="J42" s="123" t="s">
        <v>717</v>
      </c>
      <c r="K42" s="123" t="s">
        <v>187</v>
      </c>
      <c r="L42" s="123" t="s">
        <v>717</v>
      </c>
      <c r="M42" s="123" t="s">
        <v>187</v>
      </c>
      <c r="N42" s="123" t="s">
        <v>477</v>
      </c>
      <c r="O42" s="123" t="s">
        <v>478</v>
      </c>
      <c r="P42" s="123" t="s">
        <v>718</v>
      </c>
      <c r="Q42" s="123" t="s">
        <v>719</v>
      </c>
      <c r="R42" s="123" t="s">
        <v>720</v>
      </c>
      <c r="S42" s="123" t="s">
        <v>469</v>
      </c>
    </row>
    <row r="43" spans="1:19" hidden="1" x14ac:dyDescent="0.2">
      <c r="A43" s="123" t="s">
        <v>469</v>
      </c>
      <c r="B43" s="123" t="s">
        <v>470</v>
      </c>
      <c r="C43" s="123" t="s">
        <v>471</v>
      </c>
      <c r="D43" s="123" t="s">
        <v>482</v>
      </c>
      <c r="E43" s="123" t="s">
        <v>483</v>
      </c>
      <c r="F43" s="123" t="s">
        <v>627</v>
      </c>
      <c r="G43" s="123" t="s">
        <v>628</v>
      </c>
      <c r="H43" s="123" t="s">
        <v>721</v>
      </c>
      <c r="I43" s="123" t="s">
        <v>722</v>
      </c>
      <c r="J43" s="123" t="s">
        <v>135</v>
      </c>
      <c r="K43" s="123" t="s">
        <v>136</v>
      </c>
      <c r="L43" s="123" t="s">
        <v>135</v>
      </c>
      <c r="M43" s="123" t="s">
        <v>136</v>
      </c>
      <c r="N43" s="123" t="s">
        <v>477</v>
      </c>
      <c r="O43" s="123" t="s">
        <v>478</v>
      </c>
      <c r="P43" s="123" t="s">
        <v>723</v>
      </c>
      <c r="Q43" s="123" t="s">
        <v>724</v>
      </c>
      <c r="R43" s="123" t="s">
        <v>725</v>
      </c>
      <c r="S43" s="123" t="s">
        <v>469</v>
      </c>
    </row>
    <row r="44" spans="1:19" hidden="1" x14ac:dyDescent="0.2">
      <c r="A44" s="123" t="s">
        <v>469</v>
      </c>
      <c r="B44" s="123" t="s">
        <v>470</v>
      </c>
      <c r="C44" s="123" t="s">
        <v>471</v>
      </c>
      <c r="D44" s="123" t="s">
        <v>482</v>
      </c>
      <c r="E44" s="123" t="s">
        <v>483</v>
      </c>
      <c r="F44" s="123" t="s">
        <v>627</v>
      </c>
      <c r="G44" s="123" t="s">
        <v>628</v>
      </c>
      <c r="H44" s="123" t="s">
        <v>721</v>
      </c>
      <c r="I44" s="123" t="s">
        <v>722</v>
      </c>
      <c r="J44" s="123" t="s">
        <v>726</v>
      </c>
      <c r="K44" s="123" t="s">
        <v>176</v>
      </c>
      <c r="L44" s="123" t="s">
        <v>726</v>
      </c>
      <c r="M44" s="123" t="s">
        <v>176</v>
      </c>
      <c r="N44" s="123" t="s">
        <v>477</v>
      </c>
      <c r="O44" s="123" t="s">
        <v>478</v>
      </c>
      <c r="P44" s="123" t="s">
        <v>727</v>
      </c>
      <c r="Q44" s="123" t="s">
        <v>728</v>
      </c>
      <c r="R44" s="123" t="s">
        <v>729</v>
      </c>
      <c r="S44" s="123" t="s">
        <v>469</v>
      </c>
    </row>
    <row r="45" spans="1:19" hidden="1" x14ac:dyDescent="0.2">
      <c r="A45" s="123" t="s">
        <v>469</v>
      </c>
      <c r="B45" s="123" t="s">
        <v>470</v>
      </c>
      <c r="C45" s="123" t="s">
        <v>471</v>
      </c>
      <c r="D45" s="123" t="s">
        <v>552</v>
      </c>
      <c r="E45" s="123" t="s">
        <v>553</v>
      </c>
      <c r="F45" s="123" t="s">
        <v>730</v>
      </c>
      <c r="G45" s="123" t="s">
        <v>731</v>
      </c>
      <c r="H45" s="123" t="s">
        <v>732</v>
      </c>
      <c r="I45" s="123" t="s">
        <v>733</v>
      </c>
      <c r="J45" s="123" t="s">
        <v>110</v>
      </c>
      <c r="K45" s="123" t="s">
        <v>111</v>
      </c>
      <c r="L45" s="123" t="s">
        <v>110</v>
      </c>
      <c r="M45" s="123" t="s">
        <v>111</v>
      </c>
      <c r="N45" s="123" t="s">
        <v>477</v>
      </c>
      <c r="O45" s="123" t="s">
        <v>478</v>
      </c>
      <c r="P45" s="123" t="s">
        <v>734</v>
      </c>
      <c r="Q45" s="123" t="s">
        <v>735</v>
      </c>
      <c r="R45" s="123" t="s">
        <v>736</v>
      </c>
      <c r="S45" s="123" t="s">
        <v>469</v>
      </c>
    </row>
    <row r="46" spans="1:19" hidden="1" x14ac:dyDescent="0.2">
      <c r="A46" s="123" t="s">
        <v>469</v>
      </c>
      <c r="B46" s="123" t="s">
        <v>470</v>
      </c>
      <c r="C46" s="123" t="s">
        <v>471</v>
      </c>
      <c r="D46" s="123" t="s">
        <v>552</v>
      </c>
      <c r="E46" s="123" t="s">
        <v>553</v>
      </c>
      <c r="F46" s="123" t="s">
        <v>730</v>
      </c>
      <c r="G46" s="123" t="s">
        <v>731</v>
      </c>
      <c r="H46" s="123" t="s">
        <v>732</v>
      </c>
      <c r="I46" s="123" t="s">
        <v>733</v>
      </c>
      <c r="J46" s="123" t="s">
        <v>139</v>
      </c>
      <c r="K46" s="123" t="s">
        <v>140</v>
      </c>
      <c r="L46" s="123" t="s">
        <v>139</v>
      </c>
      <c r="M46" s="123" t="s">
        <v>140</v>
      </c>
      <c r="N46" s="123" t="s">
        <v>477</v>
      </c>
      <c r="O46" s="123" t="s">
        <v>478</v>
      </c>
      <c r="P46" s="123" t="s">
        <v>737</v>
      </c>
      <c r="Q46" s="123" t="s">
        <v>738</v>
      </c>
      <c r="R46" s="123" t="s">
        <v>739</v>
      </c>
      <c r="S46" s="123" t="s">
        <v>469</v>
      </c>
    </row>
    <row r="47" spans="1:19" hidden="1" x14ac:dyDescent="0.2">
      <c r="A47" s="123" t="s">
        <v>469</v>
      </c>
      <c r="B47" s="123" t="s">
        <v>470</v>
      </c>
      <c r="C47" s="123" t="s">
        <v>471</v>
      </c>
      <c r="D47" s="123" t="s">
        <v>482</v>
      </c>
      <c r="E47" s="123" t="s">
        <v>483</v>
      </c>
      <c r="F47" s="123" t="s">
        <v>627</v>
      </c>
      <c r="G47" s="123" t="s">
        <v>628</v>
      </c>
      <c r="H47" s="123" t="s">
        <v>740</v>
      </c>
      <c r="I47" s="123" t="s">
        <v>741</v>
      </c>
      <c r="J47" s="123" t="s">
        <v>742</v>
      </c>
      <c r="K47" s="123" t="s">
        <v>177</v>
      </c>
      <c r="L47" s="123" t="s">
        <v>742</v>
      </c>
      <c r="M47" s="123" t="s">
        <v>177</v>
      </c>
      <c r="N47" s="123" t="s">
        <v>477</v>
      </c>
      <c r="O47" s="123" t="s">
        <v>478</v>
      </c>
      <c r="P47" s="123" t="s">
        <v>743</v>
      </c>
      <c r="Q47" s="123" t="s">
        <v>744</v>
      </c>
      <c r="R47" s="123" t="s">
        <v>745</v>
      </c>
      <c r="S47" s="123" t="s">
        <v>469</v>
      </c>
    </row>
    <row r="48" spans="1:19" hidden="1" x14ac:dyDescent="0.2">
      <c r="A48" s="123" t="s">
        <v>469</v>
      </c>
      <c r="B48" s="123" t="s">
        <v>470</v>
      </c>
      <c r="C48" s="123" t="s">
        <v>471</v>
      </c>
      <c r="D48" s="123" t="s">
        <v>482</v>
      </c>
      <c r="E48" s="123" t="s">
        <v>483</v>
      </c>
      <c r="F48" s="123" t="s">
        <v>531</v>
      </c>
      <c r="G48" s="123" t="s">
        <v>532</v>
      </c>
      <c r="H48" s="123" t="s">
        <v>746</v>
      </c>
      <c r="I48" s="123" t="s">
        <v>747</v>
      </c>
      <c r="J48" s="123" t="s">
        <v>80</v>
      </c>
      <c r="K48" s="123" t="s">
        <v>81</v>
      </c>
      <c r="L48" s="123" t="s">
        <v>80</v>
      </c>
      <c r="M48" s="123" t="s">
        <v>81</v>
      </c>
      <c r="N48" s="123" t="s">
        <v>477</v>
      </c>
      <c r="O48" s="123" t="s">
        <v>478</v>
      </c>
      <c r="P48" s="123" t="s">
        <v>748</v>
      </c>
      <c r="Q48" s="123" t="s">
        <v>749</v>
      </c>
      <c r="R48" s="123" t="s">
        <v>750</v>
      </c>
      <c r="S48" s="123" t="s">
        <v>469</v>
      </c>
    </row>
    <row r="49" spans="1:19" hidden="1" x14ac:dyDescent="0.2">
      <c r="A49" s="123" t="s">
        <v>469</v>
      </c>
      <c r="B49" s="123" t="s">
        <v>470</v>
      </c>
      <c r="C49" s="123" t="s">
        <v>471</v>
      </c>
      <c r="D49" s="123" t="s">
        <v>492</v>
      </c>
      <c r="E49" s="123" t="s">
        <v>493</v>
      </c>
      <c r="F49" s="123" t="s">
        <v>494</v>
      </c>
      <c r="G49" s="123" t="s">
        <v>495</v>
      </c>
      <c r="H49" s="123" t="s">
        <v>751</v>
      </c>
      <c r="I49" s="123" t="s">
        <v>752</v>
      </c>
      <c r="J49" s="123" t="s">
        <v>753</v>
      </c>
      <c r="K49" s="123" t="s">
        <v>171</v>
      </c>
      <c r="L49" s="123" t="s">
        <v>753</v>
      </c>
      <c r="M49" s="123" t="s">
        <v>171</v>
      </c>
      <c r="N49" s="123" t="s">
        <v>477</v>
      </c>
      <c r="O49" s="123" t="s">
        <v>478</v>
      </c>
      <c r="P49" s="123" t="s">
        <v>754</v>
      </c>
      <c r="Q49" s="123" t="s">
        <v>755</v>
      </c>
      <c r="R49" s="123" t="s">
        <v>756</v>
      </c>
      <c r="S49" s="123" t="s">
        <v>469</v>
      </c>
    </row>
    <row r="50" spans="1:19" hidden="1" x14ac:dyDescent="0.2">
      <c r="A50" s="123" t="s">
        <v>469</v>
      </c>
      <c r="B50" s="123" t="s">
        <v>470</v>
      </c>
      <c r="C50" s="123" t="s">
        <v>471</v>
      </c>
      <c r="D50" s="123" t="s">
        <v>482</v>
      </c>
      <c r="E50" s="123" t="s">
        <v>483</v>
      </c>
      <c r="F50" s="123" t="s">
        <v>531</v>
      </c>
      <c r="G50" s="123" t="s">
        <v>532</v>
      </c>
      <c r="H50" s="123" t="s">
        <v>757</v>
      </c>
      <c r="I50" s="123" t="s">
        <v>758</v>
      </c>
      <c r="J50" s="123" t="s">
        <v>141</v>
      </c>
      <c r="K50" s="123" t="s">
        <v>142</v>
      </c>
      <c r="L50" s="123" t="s">
        <v>141</v>
      </c>
      <c r="M50" s="123" t="s">
        <v>142</v>
      </c>
      <c r="N50" s="123" t="s">
        <v>477</v>
      </c>
      <c r="O50" s="123" t="s">
        <v>478</v>
      </c>
      <c r="P50" s="123" t="s">
        <v>759</v>
      </c>
      <c r="Q50" s="123" t="s">
        <v>760</v>
      </c>
      <c r="R50" s="123" t="s">
        <v>761</v>
      </c>
      <c r="S50" s="123" t="s">
        <v>469</v>
      </c>
    </row>
    <row r="51" spans="1:19" hidden="1" x14ac:dyDescent="0.2">
      <c r="A51" s="123" t="s">
        <v>469</v>
      </c>
      <c r="B51" s="123" t="s">
        <v>470</v>
      </c>
      <c r="C51" s="123" t="s">
        <v>471</v>
      </c>
      <c r="D51" s="123" t="s">
        <v>552</v>
      </c>
      <c r="E51" s="123" t="s">
        <v>553</v>
      </c>
      <c r="F51" s="123" t="s">
        <v>762</v>
      </c>
      <c r="G51" s="123" t="s">
        <v>763</v>
      </c>
      <c r="H51" s="123" t="s">
        <v>764</v>
      </c>
      <c r="I51" s="123" t="s">
        <v>765</v>
      </c>
      <c r="J51" s="123" t="s">
        <v>766</v>
      </c>
      <c r="K51" s="123" t="s">
        <v>188</v>
      </c>
      <c r="L51" s="123" t="s">
        <v>766</v>
      </c>
      <c r="M51" s="123" t="s">
        <v>188</v>
      </c>
      <c r="N51" s="123" t="s">
        <v>477</v>
      </c>
      <c r="O51" s="123" t="s">
        <v>478</v>
      </c>
      <c r="P51" s="123" t="s">
        <v>767</v>
      </c>
      <c r="Q51" s="123" t="s">
        <v>768</v>
      </c>
      <c r="R51" s="123" t="s">
        <v>769</v>
      </c>
      <c r="S51" s="123" t="s">
        <v>469</v>
      </c>
    </row>
    <row r="52" spans="1:19" hidden="1" x14ac:dyDescent="0.2">
      <c r="A52" s="123" t="s">
        <v>469</v>
      </c>
      <c r="B52" s="123" t="s">
        <v>470</v>
      </c>
      <c r="C52" s="123" t="s">
        <v>471</v>
      </c>
      <c r="D52" s="123" t="s">
        <v>492</v>
      </c>
      <c r="E52" s="123" t="s">
        <v>493</v>
      </c>
      <c r="F52" s="123" t="s">
        <v>770</v>
      </c>
      <c r="G52" s="123" t="s">
        <v>771</v>
      </c>
      <c r="H52" s="123" t="s">
        <v>772</v>
      </c>
      <c r="I52" s="123" t="s">
        <v>773</v>
      </c>
      <c r="J52" s="123" t="s">
        <v>143</v>
      </c>
      <c r="K52" s="123" t="s">
        <v>144</v>
      </c>
      <c r="L52" s="123" t="s">
        <v>143</v>
      </c>
      <c r="M52" s="123" t="s">
        <v>144</v>
      </c>
      <c r="N52" s="123" t="s">
        <v>477</v>
      </c>
      <c r="O52" s="123" t="s">
        <v>478</v>
      </c>
      <c r="P52" s="123" t="s">
        <v>774</v>
      </c>
      <c r="Q52" s="123" t="s">
        <v>775</v>
      </c>
      <c r="R52" s="123" t="s">
        <v>776</v>
      </c>
      <c r="S52" s="123" t="s">
        <v>469</v>
      </c>
    </row>
    <row r="53" spans="1:19" hidden="1" x14ac:dyDescent="0.2">
      <c r="A53" s="123" t="s">
        <v>469</v>
      </c>
      <c r="B53" s="123" t="s">
        <v>470</v>
      </c>
      <c r="C53" s="123" t="s">
        <v>471</v>
      </c>
      <c r="D53" s="123" t="s">
        <v>470</v>
      </c>
      <c r="E53" s="123" t="s">
        <v>472</v>
      </c>
      <c r="F53" s="123" t="s">
        <v>777</v>
      </c>
      <c r="G53" s="123" t="s">
        <v>778</v>
      </c>
      <c r="H53" s="123" t="s">
        <v>779</v>
      </c>
      <c r="I53" s="123" t="s">
        <v>780</v>
      </c>
      <c r="J53" s="123" t="s">
        <v>145</v>
      </c>
      <c r="K53" s="123" t="s">
        <v>146</v>
      </c>
      <c r="L53" s="123" t="s">
        <v>145</v>
      </c>
      <c r="M53" s="123" t="s">
        <v>146</v>
      </c>
      <c r="N53" s="123" t="s">
        <v>477</v>
      </c>
      <c r="O53" s="123" t="s">
        <v>478</v>
      </c>
      <c r="P53" s="123" t="s">
        <v>781</v>
      </c>
      <c r="Q53" s="123" t="s">
        <v>782</v>
      </c>
      <c r="R53" s="123" t="s">
        <v>783</v>
      </c>
      <c r="S53" s="123" t="s">
        <v>469</v>
      </c>
    </row>
    <row r="54" spans="1:19" hidden="1" x14ac:dyDescent="0.2">
      <c r="A54" s="123" t="s">
        <v>469</v>
      </c>
      <c r="B54" s="123" t="s">
        <v>470</v>
      </c>
      <c r="C54" s="123" t="s">
        <v>471</v>
      </c>
      <c r="D54" s="123" t="s">
        <v>492</v>
      </c>
      <c r="E54" s="123" t="s">
        <v>493</v>
      </c>
      <c r="F54" s="123" t="s">
        <v>658</v>
      </c>
      <c r="G54" s="123" t="s">
        <v>659</v>
      </c>
      <c r="H54" s="123" t="s">
        <v>784</v>
      </c>
      <c r="I54" s="123" t="s">
        <v>785</v>
      </c>
      <c r="J54" s="123" t="s">
        <v>129</v>
      </c>
      <c r="K54" s="123" t="s">
        <v>130</v>
      </c>
      <c r="L54" s="123" t="s">
        <v>129</v>
      </c>
      <c r="M54" s="123" t="s">
        <v>130</v>
      </c>
      <c r="N54" s="123" t="s">
        <v>477</v>
      </c>
      <c r="O54" s="123" t="s">
        <v>478</v>
      </c>
      <c r="P54" s="123" t="s">
        <v>786</v>
      </c>
      <c r="Q54" s="123" t="s">
        <v>787</v>
      </c>
      <c r="R54" s="123" t="s">
        <v>788</v>
      </c>
      <c r="S54" s="123" t="s">
        <v>469</v>
      </c>
    </row>
    <row r="55" spans="1:19" hidden="1" x14ac:dyDescent="0.2">
      <c r="A55" s="123" t="s">
        <v>469</v>
      </c>
      <c r="B55" s="123" t="s">
        <v>470</v>
      </c>
      <c r="C55" s="123" t="s">
        <v>471</v>
      </c>
      <c r="D55" s="123" t="s">
        <v>552</v>
      </c>
      <c r="E55" s="123" t="s">
        <v>553</v>
      </c>
      <c r="F55" s="123" t="s">
        <v>789</v>
      </c>
      <c r="G55" s="123" t="s">
        <v>790</v>
      </c>
      <c r="H55" s="123" t="s">
        <v>791</v>
      </c>
      <c r="I55" s="123" t="s">
        <v>792</v>
      </c>
      <c r="J55" s="123" t="s">
        <v>112</v>
      </c>
      <c r="K55" s="123" t="s">
        <v>113</v>
      </c>
      <c r="L55" s="123" t="s">
        <v>112</v>
      </c>
      <c r="M55" s="123" t="s">
        <v>113</v>
      </c>
      <c r="N55" s="123" t="s">
        <v>477</v>
      </c>
      <c r="O55" s="123" t="s">
        <v>478</v>
      </c>
      <c r="P55" s="123" t="s">
        <v>793</v>
      </c>
      <c r="Q55" s="123" t="s">
        <v>794</v>
      </c>
      <c r="R55" s="123" t="s">
        <v>795</v>
      </c>
      <c r="S55" s="123" t="s">
        <v>469</v>
      </c>
    </row>
    <row r="56" spans="1:19" hidden="1" x14ac:dyDescent="0.2">
      <c r="A56" s="123" t="s">
        <v>469</v>
      </c>
      <c r="B56" s="123" t="s">
        <v>470</v>
      </c>
      <c r="C56" s="123" t="s">
        <v>471</v>
      </c>
      <c r="D56" s="123" t="s">
        <v>552</v>
      </c>
      <c r="E56" s="123" t="s">
        <v>553</v>
      </c>
      <c r="F56" s="123" t="s">
        <v>796</v>
      </c>
      <c r="G56" s="123" t="s">
        <v>797</v>
      </c>
      <c r="H56" s="123" t="s">
        <v>798</v>
      </c>
      <c r="I56" s="123" t="s">
        <v>799</v>
      </c>
      <c r="J56" s="123" t="s">
        <v>800</v>
      </c>
      <c r="K56" s="123" t="s">
        <v>178</v>
      </c>
      <c r="L56" s="123" t="s">
        <v>800</v>
      </c>
      <c r="M56" s="123" t="s">
        <v>178</v>
      </c>
      <c r="N56" s="123" t="s">
        <v>477</v>
      </c>
      <c r="O56" s="123" t="s">
        <v>478</v>
      </c>
      <c r="P56" s="123" t="s">
        <v>801</v>
      </c>
      <c r="Q56" s="123" t="s">
        <v>802</v>
      </c>
      <c r="R56" s="123" t="s">
        <v>803</v>
      </c>
      <c r="S56" s="123" t="s">
        <v>469</v>
      </c>
    </row>
    <row r="57" spans="1:19" hidden="1" x14ac:dyDescent="0.2">
      <c r="A57" s="123" t="s">
        <v>469</v>
      </c>
      <c r="B57" s="123" t="s">
        <v>470</v>
      </c>
      <c r="C57" s="123" t="s">
        <v>471</v>
      </c>
      <c r="D57" s="123" t="s">
        <v>552</v>
      </c>
      <c r="E57" s="123" t="s">
        <v>553</v>
      </c>
      <c r="F57" s="123" t="s">
        <v>569</v>
      </c>
      <c r="G57" s="123" t="s">
        <v>570</v>
      </c>
      <c r="H57" s="123" t="s">
        <v>804</v>
      </c>
      <c r="I57" s="123" t="s">
        <v>805</v>
      </c>
      <c r="J57" s="123" t="s">
        <v>82</v>
      </c>
      <c r="K57" s="123" t="s">
        <v>806</v>
      </c>
      <c r="L57" s="123" t="s">
        <v>82</v>
      </c>
      <c r="M57" s="123" t="s">
        <v>806</v>
      </c>
      <c r="N57" s="123" t="s">
        <v>477</v>
      </c>
      <c r="O57" s="123" t="s">
        <v>478</v>
      </c>
      <c r="P57" s="123" t="s">
        <v>807</v>
      </c>
      <c r="Q57" s="123" t="s">
        <v>808</v>
      </c>
      <c r="R57" s="123" t="s">
        <v>809</v>
      </c>
      <c r="S57" s="123" t="s">
        <v>469</v>
      </c>
    </row>
    <row r="58" spans="1:19" hidden="1" x14ac:dyDescent="0.2">
      <c r="A58" s="123" t="s">
        <v>469</v>
      </c>
      <c r="B58" s="123" t="s">
        <v>470</v>
      </c>
      <c r="C58" s="123" t="s">
        <v>471</v>
      </c>
      <c r="D58" s="123" t="s">
        <v>552</v>
      </c>
      <c r="E58" s="123" t="s">
        <v>553</v>
      </c>
      <c r="F58" s="123" t="s">
        <v>789</v>
      </c>
      <c r="G58" s="123" t="s">
        <v>790</v>
      </c>
      <c r="H58" s="123" t="s">
        <v>810</v>
      </c>
      <c r="I58" s="123" t="s">
        <v>811</v>
      </c>
      <c r="J58" s="123" t="s">
        <v>114</v>
      </c>
      <c r="K58" s="123" t="s">
        <v>812</v>
      </c>
      <c r="L58" s="123" t="s">
        <v>114</v>
      </c>
      <c r="M58" s="123" t="s">
        <v>812</v>
      </c>
      <c r="N58" s="123" t="s">
        <v>477</v>
      </c>
      <c r="O58" s="123" t="s">
        <v>478</v>
      </c>
      <c r="P58" s="123" t="s">
        <v>813</v>
      </c>
      <c r="Q58" s="123" t="s">
        <v>814</v>
      </c>
      <c r="R58" s="123" t="s">
        <v>815</v>
      </c>
      <c r="S58" s="123" t="s">
        <v>469</v>
      </c>
    </row>
    <row r="59" spans="1:19" hidden="1" x14ac:dyDescent="0.2">
      <c r="A59" s="123" t="s">
        <v>469</v>
      </c>
      <c r="B59" s="123" t="s">
        <v>470</v>
      </c>
      <c r="C59" s="123" t="s">
        <v>471</v>
      </c>
      <c r="D59" s="123" t="s">
        <v>470</v>
      </c>
      <c r="E59" s="123" t="s">
        <v>472</v>
      </c>
      <c r="F59" s="123" t="s">
        <v>777</v>
      </c>
      <c r="G59" s="123" t="s">
        <v>778</v>
      </c>
      <c r="H59" s="123" t="s">
        <v>816</v>
      </c>
      <c r="I59" s="123" t="s">
        <v>817</v>
      </c>
      <c r="J59" s="123" t="s">
        <v>65</v>
      </c>
      <c r="K59" s="123" t="s">
        <v>66</v>
      </c>
      <c r="L59" s="123" t="s">
        <v>65</v>
      </c>
      <c r="M59" s="123" t="s">
        <v>66</v>
      </c>
      <c r="N59" s="123" t="s">
        <v>477</v>
      </c>
      <c r="O59" s="123" t="s">
        <v>478</v>
      </c>
      <c r="P59" s="123" t="s">
        <v>818</v>
      </c>
      <c r="Q59" s="123" t="s">
        <v>819</v>
      </c>
      <c r="R59" s="123" t="s">
        <v>820</v>
      </c>
      <c r="S59" s="123" t="s">
        <v>469</v>
      </c>
    </row>
    <row r="60" spans="1:19" hidden="1" x14ac:dyDescent="0.2">
      <c r="A60" s="123" t="s">
        <v>469</v>
      </c>
      <c r="B60" s="123" t="s">
        <v>470</v>
      </c>
      <c r="C60" s="123" t="s">
        <v>471</v>
      </c>
      <c r="D60" s="123" t="s">
        <v>470</v>
      </c>
      <c r="E60" s="123" t="s">
        <v>472</v>
      </c>
      <c r="F60" s="123" t="s">
        <v>685</v>
      </c>
      <c r="G60" s="123" t="s">
        <v>686</v>
      </c>
      <c r="H60" s="123" t="s">
        <v>821</v>
      </c>
      <c r="I60" s="123" t="s">
        <v>822</v>
      </c>
      <c r="J60" s="123" t="s">
        <v>147</v>
      </c>
      <c r="K60" s="123" t="s">
        <v>148</v>
      </c>
      <c r="L60" s="123" t="s">
        <v>147</v>
      </c>
      <c r="M60" s="123" t="s">
        <v>148</v>
      </c>
      <c r="N60" s="123" t="s">
        <v>477</v>
      </c>
      <c r="O60" s="123" t="s">
        <v>478</v>
      </c>
      <c r="P60" s="123" t="s">
        <v>823</v>
      </c>
      <c r="Q60" s="123" t="s">
        <v>824</v>
      </c>
      <c r="R60" s="123" t="s">
        <v>825</v>
      </c>
      <c r="S60" s="123" t="s">
        <v>469</v>
      </c>
    </row>
    <row r="61" spans="1:19" hidden="1" x14ac:dyDescent="0.2">
      <c r="A61" s="123" t="s">
        <v>469</v>
      </c>
      <c r="B61" s="123" t="s">
        <v>470</v>
      </c>
      <c r="C61" s="123" t="s">
        <v>471</v>
      </c>
      <c r="D61" s="123" t="s">
        <v>492</v>
      </c>
      <c r="E61" s="123" t="s">
        <v>493</v>
      </c>
      <c r="F61" s="123" t="s">
        <v>697</v>
      </c>
      <c r="G61" s="123" t="s">
        <v>698</v>
      </c>
      <c r="H61" s="123" t="s">
        <v>826</v>
      </c>
      <c r="I61" s="123" t="s">
        <v>827</v>
      </c>
      <c r="J61" s="123" t="s">
        <v>828</v>
      </c>
      <c r="K61" s="123" t="s">
        <v>168</v>
      </c>
      <c r="L61" s="123" t="s">
        <v>828</v>
      </c>
      <c r="M61" s="123" t="s">
        <v>168</v>
      </c>
      <c r="N61" s="123" t="s">
        <v>477</v>
      </c>
      <c r="O61" s="123" t="s">
        <v>478</v>
      </c>
      <c r="P61" s="123" t="s">
        <v>829</v>
      </c>
      <c r="Q61" s="123" t="s">
        <v>830</v>
      </c>
      <c r="R61" s="123" t="s">
        <v>831</v>
      </c>
      <c r="S61" s="123" t="s">
        <v>469</v>
      </c>
    </row>
    <row r="62" spans="1:19" hidden="1" x14ac:dyDescent="0.2">
      <c r="A62" s="123" t="s">
        <v>469</v>
      </c>
      <c r="B62" s="123" t="s">
        <v>470</v>
      </c>
      <c r="C62" s="123" t="s">
        <v>471</v>
      </c>
      <c r="D62" s="123" t="s">
        <v>492</v>
      </c>
      <c r="E62" s="123" t="s">
        <v>493</v>
      </c>
      <c r="F62" s="123" t="s">
        <v>697</v>
      </c>
      <c r="G62" s="123" t="s">
        <v>698</v>
      </c>
      <c r="H62" s="123" t="s">
        <v>826</v>
      </c>
      <c r="I62" s="123" t="s">
        <v>827</v>
      </c>
      <c r="J62" s="123" t="s">
        <v>151</v>
      </c>
      <c r="K62" s="123" t="s">
        <v>152</v>
      </c>
      <c r="L62" s="123" t="s">
        <v>151</v>
      </c>
      <c r="M62" s="123" t="s">
        <v>152</v>
      </c>
      <c r="N62" s="123" t="s">
        <v>477</v>
      </c>
      <c r="O62" s="123" t="s">
        <v>478</v>
      </c>
      <c r="P62" s="123" t="s">
        <v>832</v>
      </c>
      <c r="Q62" s="123" t="s">
        <v>833</v>
      </c>
      <c r="R62" s="123" t="s">
        <v>834</v>
      </c>
      <c r="S62" s="123" t="s">
        <v>469</v>
      </c>
    </row>
    <row r="63" spans="1:19" hidden="1" x14ac:dyDescent="0.2">
      <c r="A63" s="123" t="s">
        <v>469</v>
      </c>
      <c r="B63" s="123" t="s">
        <v>470</v>
      </c>
      <c r="C63" s="123" t="s">
        <v>471</v>
      </c>
      <c r="D63" s="123" t="s">
        <v>552</v>
      </c>
      <c r="E63" s="123" t="s">
        <v>553</v>
      </c>
      <c r="F63" s="123" t="s">
        <v>762</v>
      </c>
      <c r="G63" s="123" t="s">
        <v>763</v>
      </c>
      <c r="H63" s="123" t="s">
        <v>835</v>
      </c>
      <c r="I63" s="123" t="s">
        <v>836</v>
      </c>
      <c r="J63" s="123" t="s">
        <v>155</v>
      </c>
      <c r="K63" s="123" t="s">
        <v>156</v>
      </c>
      <c r="L63" s="123" t="s">
        <v>155</v>
      </c>
      <c r="M63" s="123" t="s">
        <v>156</v>
      </c>
      <c r="N63" s="123" t="s">
        <v>477</v>
      </c>
      <c r="O63" s="123" t="s">
        <v>478</v>
      </c>
      <c r="P63" s="123" t="s">
        <v>837</v>
      </c>
      <c r="Q63" s="123" t="s">
        <v>838</v>
      </c>
      <c r="R63" s="123" t="s">
        <v>839</v>
      </c>
      <c r="S63" s="123" t="s">
        <v>469</v>
      </c>
    </row>
    <row r="64" spans="1:19" hidden="1" x14ac:dyDescent="0.2">
      <c r="A64" s="123" t="s">
        <v>840</v>
      </c>
      <c r="B64" s="123" t="s">
        <v>470</v>
      </c>
      <c r="C64" s="123" t="s">
        <v>471</v>
      </c>
      <c r="D64" s="123" t="s">
        <v>470</v>
      </c>
      <c r="E64" s="123" t="s">
        <v>472</v>
      </c>
      <c r="F64" s="123" t="s">
        <v>473</v>
      </c>
      <c r="G64" s="123" t="s">
        <v>474</v>
      </c>
      <c r="H64" s="123" t="s">
        <v>475</v>
      </c>
      <c r="I64" s="123" t="s">
        <v>476</v>
      </c>
      <c r="J64" s="123" t="s">
        <v>117</v>
      </c>
      <c r="K64" s="123" t="s">
        <v>118</v>
      </c>
      <c r="L64" s="123" t="s">
        <v>117</v>
      </c>
      <c r="M64" s="123" t="s">
        <v>118</v>
      </c>
      <c r="N64" s="123" t="s">
        <v>477</v>
      </c>
      <c r="O64" s="123" t="s">
        <v>478</v>
      </c>
      <c r="P64" s="123" t="s">
        <v>841</v>
      </c>
      <c r="Q64" s="123" t="s">
        <v>842</v>
      </c>
      <c r="R64" s="123" t="s">
        <v>843</v>
      </c>
      <c r="S64" s="123" t="s">
        <v>840</v>
      </c>
    </row>
    <row r="65" spans="1:19" hidden="1" x14ac:dyDescent="0.2">
      <c r="A65" s="123" t="s">
        <v>840</v>
      </c>
      <c r="B65" s="123" t="s">
        <v>470</v>
      </c>
      <c r="C65" s="123" t="s">
        <v>471</v>
      </c>
      <c r="D65" s="123" t="s">
        <v>482</v>
      </c>
      <c r="E65" s="123" t="s">
        <v>483</v>
      </c>
      <c r="F65" s="123" t="s">
        <v>484</v>
      </c>
      <c r="G65" s="123" t="s">
        <v>485</v>
      </c>
      <c r="H65" s="123" t="s">
        <v>486</v>
      </c>
      <c r="I65" s="123" t="s">
        <v>487</v>
      </c>
      <c r="J65" s="123" t="s">
        <v>488</v>
      </c>
      <c r="K65" s="123" t="s">
        <v>183</v>
      </c>
      <c r="L65" s="123" t="s">
        <v>488</v>
      </c>
      <c r="M65" s="123" t="s">
        <v>183</v>
      </c>
      <c r="N65" s="123" t="s">
        <v>477</v>
      </c>
      <c r="O65" s="123" t="s">
        <v>478</v>
      </c>
      <c r="P65" s="123" t="s">
        <v>844</v>
      </c>
      <c r="Q65" s="123" t="s">
        <v>845</v>
      </c>
      <c r="R65" s="123" t="s">
        <v>846</v>
      </c>
      <c r="S65" s="123" t="s">
        <v>840</v>
      </c>
    </row>
    <row r="66" spans="1:19" hidden="1" x14ac:dyDescent="0.2">
      <c r="A66" s="123" t="s">
        <v>840</v>
      </c>
      <c r="B66" s="123" t="s">
        <v>470</v>
      </c>
      <c r="C66" s="123" t="s">
        <v>471</v>
      </c>
      <c r="D66" s="123" t="s">
        <v>552</v>
      </c>
      <c r="E66" s="123" t="s">
        <v>553</v>
      </c>
      <c r="F66" s="123" t="s">
        <v>762</v>
      </c>
      <c r="G66" s="123" t="s">
        <v>763</v>
      </c>
      <c r="H66" s="123" t="s">
        <v>847</v>
      </c>
      <c r="I66" s="123" t="s">
        <v>848</v>
      </c>
      <c r="J66" s="123" t="s">
        <v>849</v>
      </c>
      <c r="K66" s="123" t="s">
        <v>387</v>
      </c>
      <c r="L66" s="123" t="s">
        <v>849</v>
      </c>
      <c r="M66" s="123" t="s">
        <v>387</v>
      </c>
      <c r="N66" s="123" t="s">
        <v>477</v>
      </c>
      <c r="O66" s="123" t="s">
        <v>478</v>
      </c>
      <c r="P66" s="123" t="s">
        <v>850</v>
      </c>
      <c r="Q66" s="123" t="s">
        <v>851</v>
      </c>
      <c r="R66" s="123" t="s">
        <v>852</v>
      </c>
      <c r="S66" s="123" t="s">
        <v>840</v>
      </c>
    </row>
    <row r="67" spans="1:19" hidden="1" x14ac:dyDescent="0.2">
      <c r="A67" s="123" t="s">
        <v>840</v>
      </c>
      <c r="B67" s="123" t="s">
        <v>470</v>
      </c>
      <c r="C67" s="123" t="s">
        <v>471</v>
      </c>
      <c r="D67" s="123" t="s">
        <v>492</v>
      </c>
      <c r="E67" s="123" t="s">
        <v>493</v>
      </c>
      <c r="F67" s="123" t="s">
        <v>494</v>
      </c>
      <c r="G67" s="123" t="s">
        <v>495</v>
      </c>
      <c r="H67" s="123" t="s">
        <v>496</v>
      </c>
      <c r="I67" s="123" t="s">
        <v>497</v>
      </c>
      <c r="J67" s="123" t="s">
        <v>100</v>
      </c>
      <c r="K67" s="123" t="s">
        <v>101</v>
      </c>
      <c r="L67" s="123" t="s">
        <v>100</v>
      </c>
      <c r="M67" s="123" t="s">
        <v>101</v>
      </c>
      <c r="N67" s="123" t="s">
        <v>477</v>
      </c>
      <c r="O67" s="123" t="s">
        <v>478</v>
      </c>
      <c r="P67" s="123" t="s">
        <v>853</v>
      </c>
      <c r="Q67" s="123" t="s">
        <v>854</v>
      </c>
      <c r="R67" s="123" t="s">
        <v>855</v>
      </c>
      <c r="S67" s="123" t="s">
        <v>840</v>
      </c>
    </row>
    <row r="68" spans="1:19" hidden="1" x14ac:dyDescent="0.2">
      <c r="A68" s="123" t="s">
        <v>840</v>
      </c>
      <c r="B68" s="123" t="s">
        <v>470</v>
      </c>
      <c r="C68" s="123" t="s">
        <v>471</v>
      </c>
      <c r="D68" s="123" t="s">
        <v>492</v>
      </c>
      <c r="E68" s="123" t="s">
        <v>493</v>
      </c>
      <c r="F68" s="123" t="s">
        <v>501</v>
      </c>
      <c r="G68" s="123" t="s">
        <v>502</v>
      </c>
      <c r="H68" s="123" t="s">
        <v>503</v>
      </c>
      <c r="I68" s="123" t="s">
        <v>504</v>
      </c>
      <c r="J68" s="123" t="s">
        <v>508</v>
      </c>
      <c r="K68" s="123" t="s">
        <v>163</v>
      </c>
      <c r="L68" s="123" t="s">
        <v>508</v>
      </c>
      <c r="M68" s="123" t="s">
        <v>163</v>
      </c>
      <c r="N68" s="123" t="s">
        <v>477</v>
      </c>
      <c r="O68" s="123" t="s">
        <v>478</v>
      </c>
      <c r="P68" s="123" t="s">
        <v>856</v>
      </c>
      <c r="Q68" s="123" t="s">
        <v>857</v>
      </c>
      <c r="R68" s="123" t="s">
        <v>858</v>
      </c>
      <c r="S68" s="123" t="s">
        <v>840</v>
      </c>
    </row>
    <row r="69" spans="1:19" hidden="1" x14ac:dyDescent="0.2">
      <c r="A69" s="123" t="s">
        <v>840</v>
      </c>
      <c r="B69" s="123" t="s">
        <v>470</v>
      </c>
      <c r="C69" s="123" t="s">
        <v>471</v>
      </c>
      <c r="D69" s="123" t="s">
        <v>492</v>
      </c>
      <c r="E69" s="123" t="s">
        <v>493</v>
      </c>
      <c r="F69" s="123" t="s">
        <v>501</v>
      </c>
      <c r="G69" s="123" t="s">
        <v>502</v>
      </c>
      <c r="H69" s="123" t="s">
        <v>503</v>
      </c>
      <c r="I69" s="123" t="s">
        <v>504</v>
      </c>
      <c r="J69" s="123" t="s">
        <v>119</v>
      </c>
      <c r="K69" s="123" t="s">
        <v>120</v>
      </c>
      <c r="L69" s="123" t="s">
        <v>119</v>
      </c>
      <c r="M69" s="123" t="s">
        <v>120</v>
      </c>
      <c r="N69" s="123" t="s">
        <v>477</v>
      </c>
      <c r="O69" s="123" t="s">
        <v>478</v>
      </c>
      <c r="P69" s="123" t="s">
        <v>859</v>
      </c>
      <c r="Q69" s="123" t="s">
        <v>860</v>
      </c>
      <c r="R69" s="123" t="s">
        <v>861</v>
      </c>
      <c r="S69" s="123" t="s">
        <v>840</v>
      </c>
    </row>
    <row r="70" spans="1:19" hidden="1" x14ac:dyDescent="0.2">
      <c r="A70" s="123" t="s">
        <v>840</v>
      </c>
      <c r="B70" s="123" t="s">
        <v>470</v>
      </c>
      <c r="C70" s="123" t="s">
        <v>471</v>
      </c>
      <c r="D70" s="123" t="s">
        <v>482</v>
      </c>
      <c r="E70" s="123" t="s">
        <v>483</v>
      </c>
      <c r="F70" s="123" t="s">
        <v>484</v>
      </c>
      <c r="G70" s="123" t="s">
        <v>485</v>
      </c>
      <c r="H70" s="123" t="s">
        <v>512</v>
      </c>
      <c r="I70" s="123" t="s">
        <v>513</v>
      </c>
      <c r="J70" s="123" t="s">
        <v>514</v>
      </c>
      <c r="K70" s="123" t="s">
        <v>181</v>
      </c>
      <c r="L70" s="123" t="s">
        <v>514</v>
      </c>
      <c r="M70" s="123" t="s">
        <v>181</v>
      </c>
      <c r="N70" s="123" t="s">
        <v>477</v>
      </c>
      <c r="O70" s="123" t="s">
        <v>478</v>
      </c>
      <c r="P70" s="123" t="s">
        <v>862</v>
      </c>
      <c r="Q70" s="123" t="s">
        <v>863</v>
      </c>
      <c r="R70" s="123" t="s">
        <v>864</v>
      </c>
      <c r="S70" s="123" t="s">
        <v>840</v>
      </c>
    </row>
    <row r="71" spans="1:19" hidden="1" x14ac:dyDescent="0.2">
      <c r="A71" s="123" t="s">
        <v>840</v>
      </c>
      <c r="B71" s="123" t="s">
        <v>470</v>
      </c>
      <c r="C71" s="123" t="s">
        <v>471</v>
      </c>
      <c r="D71" s="123" t="s">
        <v>470</v>
      </c>
      <c r="E71" s="123" t="s">
        <v>472</v>
      </c>
      <c r="F71" s="123" t="s">
        <v>473</v>
      </c>
      <c r="G71" s="123" t="s">
        <v>474</v>
      </c>
      <c r="H71" s="123" t="s">
        <v>518</v>
      </c>
      <c r="I71" s="123" t="s">
        <v>519</v>
      </c>
      <c r="J71" s="123" t="s">
        <v>523</v>
      </c>
      <c r="K71" s="123" t="s">
        <v>164</v>
      </c>
      <c r="L71" s="123" t="s">
        <v>523</v>
      </c>
      <c r="M71" s="123" t="s">
        <v>164</v>
      </c>
      <c r="N71" s="123" t="s">
        <v>477</v>
      </c>
      <c r="O71" s="123" t="s">
        <v>478</v>
      </c>
      <c r="P71" s="123" t="s">
        <v>865</v>
      </c>
      <c r="Q71" s="123" t="s">
        <v>866</v>
      </c>
      <c r="R71" s="123" t="s">
        <v>867</v>
      </c>
      <c r="S71" s="123" t="s">
        <v>840</v>
      </c>
    </row>
    <row r="72" spans="1:19" hidden="1" x14ac:dyDescent="0.2">
      <c r="A72" s="123" t="s">
        <v>840</v>
      </c>
      <c r="B72" s="123" t="s">
        <v>470</v>
      </c>
      <c r="C72" s="123" t="s">
        <v>471</v>
      </c>
      <c r="D72" s="123" t="s">
        <v>470</v>
      </c>
      <c r="E72" s="123" t="s">
        <v>472</v>
      </c>
      <c r="F72" s="123" t="s">
        <v>473</v>
      </c>
      <c r="G72" s="123" t="s">
        <v>474</v>
      </c>
      <c r="H72" s="123" t="s">
        <v>518</v>
      </c>
      <c r="I72" s="123" t="s">
        <v>519</v>
      </c>
      <c r="J72" s="123" t="s">
        <v>527</v>
      </c>
      <c r="K72" s="123" t="s">
        <v>172</v>
      </c>
      <c r="L72" s="123" t="s">
        <v>527</v>
      </c>
      <c r="M72" s="123" t="s">
        <v>172</v>
      </c>
      <c r="N72" s="123" t="s">
        <v>477</v>
      </c>
      <c r="O72" s="123" t="s">
        <v>478</v>
      </c>
      <c r="P72" s="123" t="s">
        <v>868</v>
      </c>
      <c r="Q72" s="123" t="s">
        <v>869</v>
      </c>
      <c r="R72" s="123" t="s">
        <v>870</v>
      </c>
      <c r="S72" s="123" t="s">
        <v>840</v>
      </c>
    </row>
    <row r="73" spans="1:19" hidden="1" x14ac:dyDescent="0.2">
      <c r="A73" s="123" t="s">
        <v>840</v>
      </c>
      <c r="B73" s="123" t="s">
        <v>470</v>
      </c>
      <c r="C73" s="123" t="s">
        <v>471</v>
      </c>
      <c r="D73" s="123" t="s">
        <v>470</v>
      </c>
      <c r="E73" s="123" t="s">
        <v>472</v>
      </c>
      <c r="F73" s="123" t="s">
        <v>473</v>
      </c>
      <c r="G73" s="123" t="s">
        <v>474</v>
      </c>
      <c r="H73" s="123" t="s">
        <v>518</v>
      </c>
      <c r="I73" s="123" t="s">
        <v>519</v>
      </c>
      <c r="J73" s="123" t="s">
        <v>102</v>
      </c>
      <c r="K73" s="123" t="s">
        <v>103</v>
      </c>
      <c r="L73" s="123" t="s">
        <v>102</v>
      </c>
      <c r="M73" s="123" t="s">
        <v>103</v>
      </c>
      <c r="N73" s="123" t="s">
        <v>477</v>
      </c>
      <c r="O73" s="123" t="s">
        <v>478</v>
      </c>
      <c r="P73" s="123" t="s">
        <v>871</v>
      </c>
      <c r="Q73" s="123" t="s">
        <v>872</v>
      </c>
      <c r="R73" s="123" t="s">
        <v>873</v>
      </c>
      <c r="S73" s="123" t="s">
        <v>840</v>
      </c>
    </row>
    <row r="74" spans="1:19" hidden="1" x14ac:dyDescent="0.2">
      <c r="A74" s="123" t="s">
        <v>840</v>
      </c>
      <c r="B74" s="123" t="s">
        <v>470</v>
      </c>
      <c r="C74" s="123" t="s">
        <v>471</v>
      </c>
      <c r="D74" s="123" t="s">
        <v>482</v>
      </c>
      <c r="E74" s="123" t="s">
        <v>483</v>
      </c>
      <c r="F74" s="123" t="s">
        <v>531</v>
      </c>
      <c r="G74" s="123" t="s">
        <v>532</v>
      </c>
      <c r="H74" s="123" t="s">
        <v>533</v>
      </c>
      <c r="I74" s="123" t="s">
        <v>534</v>
      </c>
      <c r="J74" s="123" t="s">
        <v>535</v>
      </c>
      <c r="K74" s="123" t="s">
        <v>173</v>
      </c>
      <c r="L74" s="123" t="s">
        <v>535</v>
      </c>
      <c r="M74" s="123" t="s">
        <v>173</v>
      </c>
      <c r="N74" s="123" t="s">
        <v>477</v>
      </c>
      <c r="O74" s="123" t="s">
        <v>478</v>
      </c>
      <c r="P74" s="123" t="s">
        <v>874</v>
      </c>
      <c r="Q74" s="123" t="s">
        <v>875</v>
      </c>
      <c r="R74" s="123" t="s">
        <v>876</v>
      </c>
      <c r="S74" s="123" t="s">
        <v>840</v>
      </c>
    </row>
    <row r="75" spans="1:19" hidden="1" x14ac:dyDescent="0.2">
      <c r="A75" s="123" t="s">
        <v>840</v>
      </c>
      <c r="B75" s="123" t="s">
        <v>470</v>
      </c>
      <c r="C75" s="123" t="s">
        <v>471</v>
      </c>
      <c r="D75" s="123" t="s">
        <v>492</v>
      </c>
      <c r="E75" s="123" t="s">
        <v>493</v>
      </c>
      <c r="F75" s="123" t="s">
        <v>501</v>
      </c>
      <c r="G75" s="123" t="s">
        <v>502</v>
      </c>
      <c r="H75" s="123" t="s">
        <v>547</v>
      </c>
      <c r="I75" s="123" t="s">
        <v>548</v>
      </c>
      <c r="J75" s="123" t="s">
        <v>85</v>
      </c>
      <c r="K75" s="123" t="s">
        <v>86</v>
      </c>
      <c r="L75" s="123" t="s">
        <v>85</v>
      </c>
      <c r="M75" s="123" t="s">
        <v>86</v>
      </c>
      <c r="N75" s="123" t="s">
        <v>477</v>
      </c>
      <c r="O75" s="123" t="s">
        <v>478</v>
      </c>
      <c r="P75" s="123" t="s">
        <v>877</v>
      </c>
      <c r="Q75" s="123" t="s">
        <v>878</v>
      </c>
      <c r="R75" s="123" t="s">
        <v>879</v>
      </c>
      <c r="S75" s="123" t="s">
        <v>840</v>
      </c>
    </row>
    <row r="76" spans="1:19" hidden="1" x14ac:dyDescent="0.2">
      <c r="A76" s="123" t="s">
        <v>840</v>
      </c>
      <c r="B76" s="123" t="s">
        <v>470</v>
      </c>
      <c r="C76" s="123" t="s">
        <v>471</v>
      </c>
      <c r="D76" s="123" t="s">
        <v>470</v>
      </c>
      <c r="E76" s="123" t="s">
        <v>472</v>
      </c>
      <c r="F76" s="123" t="s">
        <v>562</v>
      </c>
      <c r="G76" s="123" t="s">
        <v>563</v>
      </c>
      <c r="H76" s="123" t="s">
        <v>564</v>
      </c>
      <c r="I76" s="123" t="s">
        <v>565</v>
      </c>
      <c r="J76" s="123" t="s">
        <v>68</v>
      </c>
      <c r="K76" s="123" t="s">
        <v>69</v>
      </c>
      <c r="L76" s="123" t="s">
        <v>68</v>
      </c>
      <c r="M76" s="123" t="s">
        <v>69</v>
      </c>
      <c r="N76" s="123" t="s">
        <v>477</v>
      </c>
      <c r="O76" s="123" t="s">
        <v>478</v>
      </c>
      <c r="P76" s="123" t="s">
        <v>880</v>
      </c>
      <c r="Q76" s="123" t="s">
        <v>881</v>
      </c>
      <c r="R76" s="123" t="s">
        <v>882</v>
      </c>
      <c r="S76" s="123" t="s">
        <v>840</v>
      </c>
    </row>
    <row r="77" spans="1:19" hidden="1" x14ac:dyDescent="0.2">
      <c r="A77" s="123" t="s">
        <v>840</v>
      </c>
      <c r="B77" s="123" t="s">
        <v>470</v>
      </c>
      <c r="C77" s="123" t="s">
        <v>471</v>
      </c>
      <c r="D77" s="123" t="s">
        <v>552</v>
      </c>
      <c r="E77" s="123" t="s">
        <v>553</v>
      </c>
      <c r="F77" s="123" t="s">
        <v>569</v>
      </c>
      <c r="G77" s="123" t="s">
        <v>570</v>
      </c>
      <c r="H77" s="123" t="s">
        <v>571</v>
      </c>
      <c r="I77" s="123" t="s">
        <v>572</v>
      </c>
      <c r="J77" s="123" t="s">
        <v>29</v>
      </c>
      <c r="K77" s="123" t="s">
        <v>30</v>
      </c>
      <c r="L77" s="123" t="s">
        <v>29</v>
      </c>
      <c r="M77" s="123" t="s">
        <v>30</v>
      </c>
      <c r="N77" s="123" t="s">
        <v>477</v>
      </c>
      <c r="O77" s="123" t="s">
        <v>478</v>
      </c>
      <c r="P77" s="123" t="s">
        <v>883</v>
      </c>
      <c r="Q77" s="123" t="s">
        <v>884</v>
      </c>
      <c r="R77" s="123" t="s">
        <v>885</v>
      </c>
      <c r="S77" s="123" t="s">
        <v>840</v>
      </c>
    </row>
    <row r="78" spans="1:19" hidden="1" x14ac:dyDescent="0.2">
      <c r="A78" s="123" t="s">
        <v>840</v>
      </c>
      <c r="B78" s="123" t="s">
        <v>470</v>
      </c>
      <c r="C78" s="123" t="s">
        <v>471</v>
      </c>
      <c r="D78" s="123" t="s">
        <v>552</v>
      </c>
      <c r="E78" s="123" t="s">
        <v>553</v>
      </c>
      <c r="F78" s="123" t="s">
        <v>569</v>
      </c>
      <c r="G78" s="123" t="s">
        <v>570</v>
      </c>
      <c r="H78" s="123" t="s">
        <v>571</v>
      </c>
      <c r="I78" s="123" t="s">
        <v>572</v>
      </c>
      <c r="J78" s="123" t="s">
        <v>87</v>
      </c>
      <c r="K78" s="123" t="s">
        <v>88</v>
      </c>
      <c r="L78" s="123" t="s">
        <v>87</v>
      </c>
      <c r="M78" s="123" t="s">
        <v>88</v>
      </c>
      <c r="N78" s="123" t="s">
        <v>477</v>
      </c>
      <c r="O78" s="123" t="s">
        <v>478</v>
      </c>
      <c r="P78" s="123" t="s">
        <v>886</v>
      </c>
      <c r="Q78" s="123" t="s">
        <v>887</v>
      </c>
      <c r="R78" s="123" t="s">
        <v>888</v>
      </c>
      <c r="S78" s="123" t="s">
        <v>840</v>
      </c>
    </row>
    <row r="79" spans="1:19" hidden="1" x14ac:dyDescent="0.2">
      <c r="A79" s="123" t="s">
        <v>840</v>
      </c>
      <c r="B79" s="123" t="s">
        <v>470</v>
      </c>
      <c r="C79" s="123" t="s">
        <v>471</v>
      </c>
      <c r="D79" s="123" t="s">
        <v>552</v>
      </c>
      <c r="E79" s="123" t="s">
        <v>553</v>
      </c>
      <c r="F79" s="123" t="s">
        <v>569</v>
      </c>
      <c r="G79" s="123" t="s">
        <v>570</v>
      </c>
      <c r="H79" s="123" t="s">
        <v>571</v>
      </c>
      <c r="I79" s="123" t="s">
        <v>572</v>
      </c>
      <c r="J79" s="123" t="s">
        <v>72</v>
      </c>
      <c r="K79" s="123" t="s">
        <v>73</v>
      </c>
      <c r="L79" s="123" t="s">
        <v>72</v>
      </c>
      <c r="M79" s="123" t="s">
        <v>73</v>
      </c>
      <c r="N79" s="123" t="s">
        <v>477</v>
      </c>
      <c r="O79" s="123" t="s">
        <v>478</v>
      </c>
      <c r="P79" s="123" t="s">
        <v>889</v>
      </c>
      <c r="Q79" s="123" t="s">
        <v>890</v>
      </c>
      <c r="R79" s="123" t="s">
        <v>891</v>
      </c>
      <c r="S79" s="123" t="s">
        <v>840</v>
      </c>
    </row>
    <row r="80" spans="1:19" hidden="1" x14ac:dyDescent="0.2">
      <c r="A80" s="123" t="s">
        <v>840</v>
      </c>
      <c r="B80" s="123" t="s">
        <v>470</v>
      </c>
      <c r="C80" s="123" t="s">
        <v>471</v>
      </c>
      <c r="D80" s="123" t="s">
        <v>552</v>
      </c>
      <c r="E80" s="123" t="s">
        <v>553</v>
      </c>
      <c r="F80" s="123" t="s">
        <v>569</v>
      </c>
      <c r="G80" s="123" t="s">
        <v>570</v>
      </c>
      <c r="H80" s="123" t="s">
        <v>892</v>
      </c>
      <c r="I80" s="123" t="s">
        <v>893</v>
      </c>
      <c r="J80" s="123" t="s">
        <v>894</v>
      </c>
      <c r="K80" s="123" t="s">
        <v>185</v>
      </c>
      <c r="L80" s="123" t="s">
        <v>894</v>
      </c>
      <c r="M80" s="123" t="s">
        <v>185</v>
      </c>
      <c r="N80" s="123" t="s">
        <v>477</v>
      </c>
      <c r="O80" s="123" t="s">
        <v>478</v>
      </c>
      <c r="P80" s="123" t="s">
        <v>895</v>
      </c>
      <c r="Q80" s="123" t="s">
        <v>896</v>
      </c>
      <c r="R80" s="123" t="s">
        <v>897</v>
      </c>
      <c r="S80" s="123" t="s">
        <v>840</v>
      </c>
    </row>
    <row r="81" spans="1:19" hidden="1" x14ac:dyDescent="0.2">
      <c r="A81" s="123" t="s">
        <v>840</v>
      </c>
      <c r="B81" s="123" t="s">
        <v>470</v>
      </c>
      <c r="C81" s="123" t="s">
        <v>471</v>
      </c>
      <c r="D81" s="123" t="s">
        <v>492</v>
      </c>
      <c r="E81" s="123" t="s">
        <v>493</v>
      </c>
      <c r="F81" s="123" t="s">
        <v>770</v>
      </c>
      <c r="G81" s="123" t="s">
        <v>771</v>
      </c>
      <c r="H81" s="123" t="s">
        <v>898</v>
      </c>
      <c r="I81" s="123" t="s">
        <v>899</v>
      </c>
      <c r="J81" s="123" t="s">
        <v>42</v>
      </c>
      <c r="K81" s="123" t="s">
        <v>43</v>
      </c>
      <c r="L81" s="123" t="s">
        <v>42</v>
      </c>
      <c r="M81" s="123" t="s">
        <v>43</v>
      </c>
      <c r="N81" s="123" t="s">
        <v>477</v>
      </c>
      <c r="O81" s="123" t="s">
        <v>478</v>
      </c>
      <c r="P81" s="123" t="s">
        <v>900</v>
      </c>
      <c r="Q81" s="123" t="s">
        <v>901</v>
      </c>
      <c r="R81" s="123" t="s">
        <v>902</v>
      </c>
      <c r="S81" s="123" t="s">
        <v>840</v>
      </c>
    </row>
    <row r="82" spans="1:19" hidden="1" x14ac:dyDescent="0.2">
      <c r="A82" s="123" t="s">
        <v>840</v>
      </c>
      <c r="B82" s="123" t="s">
        <v>470</v>
      </c>
      <c r="C82" s="123" t="s">
        <v>471</v>
      </c>
      <c r="D82" s="123" t="s">
        <v>482</v>
      </c>
      <c r="E82" s="123" t="s">
        <v>483</v>
      </c>
      <c r="F82" s="123" t="s">
        <v>484</v>
      </c>
      <c r="G82" s="123" t="s">
        <v>485</v>
      </c>
      <c r="H82" s="123" t="s">
        <v>582</v>
      </c>
      <c r="I82" s="123" t="s">
        <v>583</v>
      </c>
      <c r="J82" s="123" t="s">
        <v>89</v>
      </c>
      <c r="K82" s="123" t="s">
        <v>90</v>
      </c>
      <c r="L82" s="123" t="s">
        <v>89</v>
      </c>
      <c r="M82" s="123" t="s">
        <v>90</v>
      </c>
      <c r="N82" s="123" t="s">
        <v>477</v>
      </c>
      <c r="O82" s="123" t="s">
        <v>478</v>
      </c>
      <c r="P82" s="123" t="s">
        <v>903</v>
      </c>
      <c r="Q82" s="123" t="s">
        <v>904</v>
      </c>
      <c r="R82" s="123" t="s">
        <v>905</v>
      </c>
      <c r="S82" s="123" t="s">
        <v>840</v>
      </c>
    </row>
    <row r="83" spans="1:19" hidden="1" x14ac:dyDescent="0.2">
      <c r="A83" s="123" t="s">
        <v>840</v>
      </c>
      <c r="B83" s="123" t="s">
        <v>470</v>
      </c>
      <c r="C83" s="123" t="s">
        <v>471</v>
      </c>
      <c r="D83" s="123" t="s">
        <v>482</v>
      </c>
      <c r="E83" s="123" t="s">
        <v>483</v>
      </c>
      <c r="F83" s="123" t="s">
        <v>484</v>
      </c>
      <c r="G83" s="123" t="s">
        <v>485</v>
      </c>
      <c r="H83" s="123" t="s">
        <v>587</v>
      </c>
      <c r="I83" s="123" t="s">
        <v>588</v>
      </c>
      <c r="J83" s="123" t="s">
        <v>906</v>
      </c>
      <c r="K83" s="123" t="s">
        <v>179</v>
      </c>
      <c r="L83" s="123" t="s">
        <v>906</v>
      </c>
      <c r="M83" s="123" t="s">
        <v>179</v>
      </c>
      <c r="N83" s="123" t="s">
        <v>477</v>
      </c>
      <c r="O83" s="123" t="s">
        <v>478</v>
      </c>
      <c r="P83" s="123" t="s">
        <v>907</v>
      </c>
      <c r="Q83" s="123" t="s">
        <v>908</v>
      </c>
      <c r="R83" s="123" t="s">
        <v>909</v>
      </c>
      <c r="S83" s="123" t="s">
        <v>840</v>
      </c>
    </row>
    <row r="84" spans="1:19" hidden="1" x14ac:dyDescent="0.2">
      <c r="A84" s="123" t="s">
        <v>840</v>
      </c>
      <c r="B84" s="123" t="s">
        <v>470</v>
      </c>
      <c r="C84" s="123" t="s">
        <v>471</v>
      </c>
      <c r="D84" s="123" t="s">
        <v>482</v>
      </c>
      <c r="E84" s="123" t="s">
        <v>483</v>
      </c>
      <c r="F84" s="123" t="s">
        <v>484</v>
      </c>
      <c r="G84" s="123" t="s">
        <v>485</v>
      </c>
      <c r="H84" s="123" t="s">
        <v>587</v>
      </c>
      <c r="I84" s="123" t="s">
        <v>588</v>
      </c>
      <c r="J84" s="123" t="s">
        <v>121</v>
      </c>
      <c r="K84" s="123" t="s">
        <v>122</v>
      </c>
      <c r="L84" s="123" t="s">
        <v>121</v>
      </c>
      <c r="M84" s="123" t="s">
        <v>122</v>
      </c>
      <c r="N84" s="123" t="s">
        <v>477</v>
      </c>
      <c r="O84" s="123" t="s">
        <v>478</v>
      </c>
      <c r="P84" s="123" t="s">
        <v>910</v>
      </c>
      <c r="Q84" s="123" t="s">
        <v>911</v>
      </c>
      <c r="R84" s="123" t="s">
        <v>912</v>
      </c>
      <c r="S84" s="123" t="s">
        <v>840</v>
      </c>
    </row>
    <row r="85" spans="1:19" hidden="1" x14ac:dyDescent="0.2">
      <c r="A85" s="123" t="s">
        <v>840</v>
      </c>
      <c r="B85" s="123" t="s">
        <v>470</v>
      </c>
      <c r="C85" s="123" t="s">
        <v>471</v>
      </c>
      <c r="D85" s="123" t="s">
        <v>482</v>
      </c>
      <c r="E85" s="123" t="s">
        <v>483</v>
      </c>
      <c r="F85" s="123" t="s">
        <v>484</v>
      </c>
      <c r="G85" s="123" t="s">
        <v>485</v>
      </c>
      <c r="H85" s="123" t="s">
        <v>587</v>
      </c>
      <c r="I85" s="123" t="s">
        <v>588</v>
      </c>
      <c r="J85" s="123" t="s">
        <v>913</v>
      </c>
      <c r="K85" s="123" t="s">
        <v>180</v>
      </c>
      <c r="L85" s="123" t="s">
        <v>913</v>
      </c>
      <c r="M85" s="123" t="s">
        <v>180</v>
      </c>
      <c r="N85" s="123" t="s">
        <v>477</v>
      </c>
      <c r="O85" s="123" t="s">
        <v>478</v>
      </c>
      <c r="P85" s="123" t="s">
        <v>914</v>
      </c>
      <c r="Q85" s="123" t="s">
        <v>915</v>
      </c>
      <c r="R85" s="123" t="s">
        <v>916</v>
      </c>
      <c r="S85" s="123" t="s">
        <v>840</v>
      </c>
    </row>
    <row r="86" spans="1:19" hidden="1" x14ac:dyDescent="0.2">
      <c r="A86" s="123" t="s">
        <v>840</v>
      </c>
      <c r="B86" s="123" t="s">
        <v>470</v>
      </c>
      <c r="C86" s="123" t="s">
        <v>471</v>
      </c>
      <c r="D86" s="123" t="s">
        <v>492</v>
      </c>
      <c r="E86" s="123" t="s">
        <v>493</v>
      </c>
      <c r="F86" s="123" t="s">
        <v>494</v>
      </c>
      <c r="G86" s="123" t="s">
        <v>495</v>
      </c>
      <c r="H86" s="123" t="s">
        <v>592</v>
      </c>
      <c r="I86" s="123" t="s">
        <v>593</v>
      </c>
      <c r="J86" s="123" t="s">
        <v>123</v>
      </c>
      <c r="K86" s="123" t="s">
        <v>124</v>
      </c>
      <c r="L86" s="123" t="s">
        <v>123</v>
      </c>
      <c r="M86" s="123" t="s">
        <v>124</v>
      </c>
      <c r="N86" s="123" t="s">
        <v>477</v>
      </c>
      <c r="O86" s="123" t="s">
        <v>478</v>
      </c>
      <c r="P86" s="123" t="s">
        <v>917</v>
      </c>
      <c r="Q86" s="123" t="s">
        <v>918</v>
      </c>
      <c r="R86" s="123" t="s">
        <v>919</v>
      </c>
      <c r="S86" s="123" t="s">
        <v>840</v>
      </c>
    </row>
    <row r="87" spans="1:19" hidden="1" x14ac:dyDescent="0.2">
      <c r="A87" s="123" t="s">
        <v>840</v>
      </c>
      <c r="B87" s="123" t="s">
        <v>470</v>
      </c>
      <c r="C87" s="123" t="s">
        <v>471</v>
      </c>
      <c r="D87" s="123" t="s">
        <v>482</v>
      </c>
      <c r="E87" s="123" t="s">
        <v>483</v>
      </c>
      <c r="F87" s="123" t="s">
        <v>597</v>
      </c>
      <c r="G87" s="123" t="s">
        <v>598</v>
      </c>
      <c r="H87" s="123" t="s">
        <v>599</v>
      </c>
      <c r="I87" s="123" t="s">
        <v>600</v>
      </c>
      <c r="J87" s="123" t="s">
        <v>601</v>
      </c>
      <c r="K87" s="123" t="s">
        <v>182</v>
      </c>
      <c r="L87" s="123" t="s">
        <v>601</v>
      </c>
      <c r="M87" s="123" t="s">
        <v>182</v>
      </c>
      <c r="N87" s="123" t="s">
        <v>477</v>
      </c>
      <c r="O87" s="123" t="s">
        <v>478</v>
      </c>
      <c r="P87" s="123" t="s">
        <v>920</v>
      </c>
      <c r="Q87" s="123" t="s">
        <v>921</v>
      </c>
      <c r="R87" s="123" t="s">
        <v>922</v>
      </c>
      <c r="S87" s="123" t="s">
        <v>840</v>
      </c>
    </row>
    <row r="88" spans="1:19" hidden="1" x14ac:dyDescent="0.2">
      <c r="A88" s="123" t="s">
        <v>840</v>
      </c>
      <c r="B88" s="123" t="s">
        <v>470</v>
      </c>
      <c r="C88" s="123" t="s">
        <v>471</v>
      </c>
      <c r="D88" s="123" t="s">
        <v>470</v>
      </c>
      <c r="E88" s="123" t="s">
        <v>472</v>
      </c>
      <c r="F88" s="123" t="s">
        <v>605</v>
      </c>
      <c r="G88" s="123" t="s">
        <v>606</v>
      </c>
      <c r="H88" s="123" t="s">
        <v>607</v>
      </c>
      <c r="I88" s="123" t="s">
        <v>608</v>
      </c>
      <c r="J88" s="123" t="s">
        <v>609</v>
      </c>
      <c r="K88" s="123" t="s">
        <v>386</v>
      </c>
      <c r="L88" s="123" t="s">
        <v>609</v>
      </c>
      <c r="M88" s="123" t="s">
        <v>386</v>
      </c>
      <c r="N88" s="123" t="s">
        <v>477</v>
      </c>
      <c r="O88" s="123" t="s">
        <v>478</v>
      </c>
      <c r="P88" s="123" t="s">
        <v>923</v>
      </c>
      <c r="Q88" s="123" t="s">
        <v>924</v>
      </c>
      <c r="R88" s="123" t="s">
        <v>925</v>
      </c>
      <c r="S88" s="123" t="s">
        <v>840</v>
      </c>
    </row>
    <row r="89" spans="1:19" hidden="1" x14ac:dyDescent="0.2">
      <c r="A89" s="123" t="s">
        <v>840</v>
      </c>
      <c r="B89" s="123" t="s">
        <v>470</v>
      </c>
      <c r="C89" s="123" t="s">
        <v>471</v>
      </c>
      <c r="D89" s="123" t="s">
        <v>492</v>
      </c>
      <c r="E89" s="123" t="s">
        <v>493</v>
      </c>
      <c r="F89" s="123" t="s">
        <v>501</v>
      </c>
      <c r="G89" s="123" t="s">
        <v>502</v>
      </c>
      <c r="H89" s="123" t="s">
        <v>613</v>
      </c>
      <c r="I89" s="123" t="s">
        <v>614</v>
      </c>
      <c r="J89" s="123" t="s">
        <v>615</v>
      </c>
      <c r="K89" s="123" t="s">
        <v>167</v>
      </c>
      <c r="L89" s="123" t="s">
        <v>615</v>
      </c>
      <c r="M89" s="123" t="s">
        <v>167</v>
      </c>
      <c r="N89" s="123" t="s">
        <v>477</v>
      </c>
      <c r="O89" s="123" t="s">
        <v>478</v>
      </c>
      <c r="P89" s="123" t="s">
        <v>926</v>
      </c>
      <c r="Q89" s="123" t="s">
        <v>927</v>
      </c>
      <c r="R89" s="123" t="s">
        <v>928</v>
      </c>
      <c r="S89" s="123" t="s">
        <v>840</v>
      </c>
    </row>
    <row r="90" spans="1:19" hidden="1" x14ac:dyDescent="0.2">
      <c r="A90" s="123" t="s">
        <v>840</v>
      </c>
      <c r="B90" s="123" t="s">
        <v>470</v>
      </c>
      <c r="C90" s="123" t="s">
        <v>471</v>
      </c>
      <c r="D90" s="123" t="s">
        <v>492</v>
      </c>
      <c r="E90" s="123" t="s">
        <v>493</v>
      </c>
      <c r="F90" s="123" t="s">
        <v>619</v>
      </c>
      <c r="G90" s="123" t="s">
        <v>620</v>
      </c>
      <c r="H90" s="123" t="s">
        <v>621</v>
      </c>
      <c r="I90" s="123" t="s">
        <v>622</v>
      </c>
      <c r="J90" s="123" t="s">
        <v>623</v>
      </c>
      <c r="K90" s="123" t="s">
        <v>382</v>
      </c>
      <c r="L90" s="123" t="s">
        <v>623</v>
      </c>
      <c r="M90" s="123" t="s">
        <v>382</v>
      </c>
      <c r="N90" s="123" t="s">
        <v>477</v>
      </c>
      <c r="O90" s="123" t="s">
        <v>478</v>
      </c>
      <c r="P90" s="123" t="s">
        <v>929</v>
      </c>
      <c r="Q90" s="123" t="s">
        <v>930</v>
      </c>
      <c r="R90" s="123" t="s">
        <v>931</v>
      </c>
      <c r="S90" s="123" t="s">
        <v>840</v>
      </c>
    </row>
    <row r="91" spans="1:19" hidden="1" x14ac:dyDescent="0.2">
      <c r="A91" s="123" t="s">
        <v>840</v>
      </c>
      <c r="B91" s="123" t="s">
        <v>470</v>
      </c>
      <c r="C91" s="123" t="s">
        <v>471</v>
      </c>
      <c r="D91" s="123" t="s">
        <v>482</v>
      </c>
      <c r="E91" s="123" t="s">
        <v>483</v>
      </c>
      <c r="F91" s="123" t="s">
        <v>627</v>
      </c>
      <c r="G91" s="123" t="s">
        <v>628</v>
      </c>
      <c r="H91" s="123" t="s">
        <v>629</v>
      </c>
      <c r="I91" s="123" t="s">
        <v>630</v>
      </c>
      <c r="J91" s="123" t="s">
        <v>74</v>
      </c>
      <c r="K91" s="123" t="s">
        <v>75</v>
      </c>
      <c r="L91" s="123" t="s">
        <v>74</v>
      </c>
      <c r="M91" s="123" t="s">
        <v>75</v>
      </c>
      <c r="N91" s="123" t="s">
        <v>477</v>
      </c>
      <c r="O91" s="123" t="s">
        <v>478</v>
      </c>
      <c r="P91" s="123" t="s">
        <v>932</v>
      </c>
      <c r="Q91" s="123" t="s">
        <v>933</v>
      </c>
      <c r="R91" s="123" t="s">
        <v>934</v>
      </c>
      <c r="S91" s="123" t="s">
        <v>840</v>
      </c>
    </row>
    <row r="92" spans="1:19" hidden="1" x14ac:dyDescent="0.2">
      <c r="A92" s="123" t="s">
        <v>840</v>
      </c>
      <c r="B92" s="123" t="s">
        <v>470</v>
      </c>
      <c r="C92" s="123" t="s">
        <v>471</v>
      </c>
      <c r="D92" s="123" t="s">
        <v>482</v>
      </c>
      <c r="E92" s="123" t="s">
        <v>483</v>
      </c>
      <c r="F92" s="123" t="s">
        <v>627</v>
      </c>
      <c r="G92" s="123" t="s">
        <v>628</v>
      </c>
      <c r="H92" s="123" t="s">
        <v>629</v>
      </c>
      <c r="I92" s="123" t="s">
        <v>630</v>
      </c>
      <c r="J92" s="123" t="s">
        <v>57</v>
      </c>
      <c r="K92" s="123" t="s">
        <v>58</v>
      </c>
      <c r="L92" s="123" t="s">
        <v>57</v>
      </c>
      <c r="M92" s="123" t="s">
        <v>58</v>
      </c>
      <c r="N92" s="123" t="s">
        <v>477</v>
      </c>
      <c r="O92" s="123" t="s">
        <v>478</v>
      </c>
      <c r="P92" s="123" t="s">
        <v>935</v>
      </c>
      <c r="Q92" s="123" t="s">
        <v>936</v>
      </c>
      <c r="R92" s="123" t="s">
        <v>937</v>
      </c>
      <c r="S92" s="123" t="s">
        <v>840</v>
      </c>
    </row>
    <row r="93" spans="1:19" hidden="1" x14ac:dyDescent="0.2">
      <c r="A93" s="123" t="s">
        <v>840</v>
      </c>
      <c r="B93" s="123" t="s">
        <v>470</v>
      </c>
      <c r="C93" s="123" t="s">
        <v>471</v>
      </c>
      <c r="D93" s="123" t="s">
        <v>492</v>
      </c>
      <c r="E93" s="123" t="s">
        <v>493</v>
      </c>
      <c r="F93" s="123" t="s">
        <v>637</v>
      </c>
      <c r="G93" s="123" t="s">
        <v>638</v>
      </c>
      <c r="H93" s="123" t="s">
        <v>639</v>
      </c>
      <c r="I93" s="123" t="s">
        <v>640</v>
      </c>
      <c r="J93" s="123" t="s">
        <v>125</v>
      </c>
      <c r="K93" s="123" t="s">
        <v>641</v>
      </c>
      <c r="L93" s="123" t="s">
        <v>125</v>
      </c>
      <c r="M93" s="123" t="s">
        <v>641</v>
      </c>
      <c r="N93" s="123" t="s">
        <v>477</v>
      </c>
      <c r="O93" s="123" t="s">
        <v>478</v>
      </c>
      <c r="P93" s="123" t="s">
        <v>938</v>
      </c>
      <c r="Q93" s="123" t="s">
        <v>939</v>
      </c>
      <c r="R93" s="123" t="s">
        <v>940</v>
      </c>
      <c r="S93" s="123" t="s">
        <v>840</v>
      </c>
    </row>
    <row r="94" spans="1:19" hidden="1" x14ac:dyDescent="0.2">
      <c r="A94" s="123" t="s">
        <v>840</v>
      </c>
      <c r="B94" s="123" t="s">
        <v>470</v>
      </c>
      <c r="C94" s="123" t="s">
        <v>471</v>
      </c>
      <c r="D94" s="123" t="s">
        <v>492</v>
      </c>
      <c r="E94" s="123" t="s">
        <v>493</v>
      </c>
      <c r="F94" s="123" t="s">
        <v>637</v>
      </c>
      <c r="G94" s="123" t="s">
        <v>638</v>
      </c>
      <c r="H94" s="123" t="s">
        <v>639</v>
      </c>
      <c r="I94" s="123" t="s">
        <v>640</v>
      </c>
      <c r="J94" s="123" t="s">
        <v>91</v>
      </c>
      <c r="K94" s="123" t="s">
        <v>92</v>
      </c>
      <c r="L94" s="123" t="s">
        <v>91</v>
      </c>
      <c r="M94" s="123" t="s">
        <v>92</v>
      </c>
      <c r="N94" s="123" t="s">
        <v>477</v>
      </c>
      <c r="O94" s="123" t="s">
        <v>478</v>
      </c>
      <c r="P94" s="123" t="s">
        <v>941</v>
      </c>
      <c r="Q94" s="123" t="s">
        <v>942</v>
      </c>
      <c r="R94" s="123" t="s">
        <v>943</v>
      </c>
      <c r="S94" s="123" t="s">
        <v>840</v>
      </c>
    </row>
    <row r="95" spans="1:19" hidden="1" x14ac:dyDescent="0.2">
      <c r="A95" s="123" t="s">
        <v>840</v>
      </c>
      <c r="B95" s="123" t="s">
        <v>470</v>
      </c>
      <c r="C95" s="123" t="s">
        <v>471</v>
      </c>
      <c r="D95" s="123" t="s">
        <v>552</v>
      </c>
      <c r="E95" s="123" t="s">
        <v>553</v>
      </c>
      <c r="F95" s="123" t="s">
        <v>554</v>
      </c>
      <c r="G95" s="123" t="s">
        <v>555</v>
      </c>
      <c r="H95" s="123" t="s">
        <v>648</v>
      </c>
      <c r="I95" s="123" t="s">
        <v>649</v>
      </c>
      <c r="J95" s="123" t="s">
        <v>127</v>
      </c>
      <c r="K95" s="123" t="s">
        <v>128</v>
      </c>
      <c r="L95" s="123" t="s">
        <v>127</v>
      </c>
      <c r="M95" s="123" t="s">
        <v>128</v>
      </c>
      <c r="N95" s="123" t="s">
        <v>477</v>
      </c>
      <c r="O95" s="123" t="s">
        <v>478</v>
      </c>
      <c r="P95" s="123" t="s">
        <v>944</v>
      </c>
      <c r="Q95" s="123" t="s">
        <v>945</v>
      </c>
      <c r="R95" s="123" t="s">
        <v>946</v>
      </c>
      <c r="S95" s="123" t="s">
        <v>840</v>
      </c>
    </row>
    <row r="96" spans="1:19" hidden="1" x14ac:dyDescent="0.2">
      <c r="A96" s="123" t="s">
        <v>840</v>
      </c>
      <c r="B96" s="123" t="s">
        <v>470</v>
      </c>
      <c r="C96" s="123" t="s">
        <v>471</v>
      </c>
      <c r="D96" s="123" t="s">
        <v>482</v>
      </c>
      <c r="E96" s="123" t="s">
        <v>483</v>
      </c>
      <c r="F96" s="123" t="s">
        <v>597</v>
      </c>
      <c r="G96" s="123" t="s">
        <v>598</v>
      </c>
      <c r="H96" s="123" t="s">
        <v>653</v>
      </c>
      <c r="I96" s="123" t="s">
        <v>654</v>
      </c>
      <c r="J96" s="123" t="s">
        <v>93</v>
      </c>
      <c r="K96" s="123" t="s">
        <v>94</v>
      </c>
      <c r="L96" s="123" t="s">
        <v>93</v>
      </c>
      <c r="M96" s="123" t="s">
        <v>94</v>
      </c>
      <c r="N96" s="123" t="s">
        <v>477</v>
      </c>
      <c r="O96" s="123" t="s">
        <v>478</v>
      </c>
      <c r="P96" s="123" t="s">
        <v>947</v>
      </c>
      <c r="Q96" s="123" t="s">
        <v>948</v>
      </c>
      <c r="R96" s="123" t="s">
        <v>949</v>
      </c>
      <c r="S96" s="123" t="s">
        <v>840</v>
      </c>
    </row>
    <row r="97" spans="1:19" hidden="1" x14ac:dyDescent="0.2">
      <c r="A97" s="123" t="s">
        <v>840</v>
      </c>
      <c r="B97" s="123" t="s">
        <v>470</v>
      </c>
      <c r="C97" s="123" t="s">
        <v>471</v>
      </c>
      <c r="D97" s="123" t="s">
        <v>492</v>
      </c>
      <c r="E97" s="123" t="s">
        <v>493</v>
      </c>
      <c r="F97" s="123" t="s">
        <v>658</v>
      </c>
      <c r="G97" s="123" t="s">
        <v>659</v>
      </c>
      <c r="H97" s="123" t="s">
        <v>660</v>
      </c>
      <c r="I97" s="123" t="s">
        <v>661</v>
      </c>
      <c r="J97" s="123" t="s">
        <v>5</v>
      </c>
      <c r="K97" s="123" t="s">
        <v>6</v>
      </c>
      <c r="L97" s="123" t="s">
        <v>5</v>
      </c>
      <c r="M97" s="123" t="s">
        <v>6</v>
      </c>
      <c r="N97" s="123" t="s">
        <v>477</v>
      </c>
      <c r="O97" s="123" t="s">
        <v>478</v>
      </c>
      <c r="P97" s="123" t="s">
        <v>950</v>
      </c>
      <c r="Q97" s="123" t="s">
        <v>951</v>
      </c>
      <c r="R97" s="123" t="s">
        <v>952</v>
      </c>
      <c r="S97" s="123" t="s">
        <v>840</v>
      </c>
    </row>
    <row r="98" spans="1:19" hidden="1" x14ac:dyDescent="0.2">
      <c r="A98" s="123" t="s">
        <v>840</v>
      </c>
      <c r="B98" s="123" t="s">
        <v>470</v>
      </c>
      <c r="C98" s="123" t="s">
        <v>471</v>
      </c>
      <c r="D98" s="123" t="s">
        <v>470</v>
      </c>
      <c r="E98" s="123" t="s">
        <v>472</v>
      </c>
      <c r="F98" s="123" t="s">
        <v>953</v>
      </c>
      <c r="G98" s="123" t="s">
        <v>954</v>
      </c>
      <c r="H98" s="123" t="s">
        <v>955</v>
      </c>
      <c r="I98" s="123" t="s">
        <v>956</v>
      </c>
      <c r="J98" s="123" t="s">
        <v>957</v>
      </c>
      <c r="K98" s="123" t="s">
        <v>165</v>
      </c>
      <c r="L98" s="123" t="s">
        <v>957</v>
      </c>
      <c r="M98" s="123" t="s">
        <v>165</v>
      </c>
      <c r="N98" s="123" t="s">
        <v>477</v>
      </c>
      <c r="O98" s="123" t="s">
        <v>478</v>
      </c>
      <c r="P98" s="123" t="s">
        <v>958</v>
      </c>
      <c r="Q98" s="123" t="s">
        <v>959</v>
      </c>
      <c r="R98" s="123" t="s">
        <v>960</v>
      </c>
      <c r="S98" s="123" t="s">
        <v>840</v>
      </c>
    </row>
    <row r="99" spans="1:19" hidden="1" x14ac:dyDescent="0.2">
      <c r="A99" s="123" t="s">
        <v>840</v>
      </c>
      <c r="B99" s="123" t="s">
        <v>470</v>
      </c>
      <c r="C99" s="123" t="s">
        <v>471</v>
      </c>
      <c r="D99" s="123" t="s">
        <v>492</v>
      </c>
      <c r="E99" s="123" t="s">
        <v>493</v>
      </c>
      <c r="F99" s="123" t="s">
        <v>501</v>
      </c>
      <c r="G99" s="123" t="s">
        <v>502</v>
      </c>
      <c r="H99" s="123" t="s">
        <v>665</v>
      </c>
      <c r="I99" s="123" t="s">
        <v>666</v>
      </c>
      <c r="J99" s="123" t="s">
        <v>667</v>
      </c>
      <c r="K99" s="123" t="s">
        <v>166</v>
      </c>
      <c r="L99" s="123" t="s">
        <v>667</v>
      </c>
      <c r="M99" s="123" t="s">
        <v>166</v>
      </c>
      <c r="N99" s="123" t="s">
        <v>477</v>
      </c>
      <c r="O99" s="123" t="s">
        <v>478</v>
      </c>
      <c r="P99" s="123" t="s">
        <v>668</v>
      </c>
      <c r="Q99" s="123" t="s">
        <v>669</v>
      </c>
      <c r="R99" s="123" t="s">
        <v>670</v>
      </c>
      <c r="S99" s="123" t="s">
        <v>840</v>
      </c>
    </row>
    <row r="100" spans="1:19" hidden="1" x14ac:dyDescent="0.2">
      <c r="A100" s="123" t="s">
        <v>840</v>
      </c>
      <c r="B100" s="123" t="s">
        <v>470</v>
      </c>
      <c r="C100" s="123" t="s">
        <v>471</v>
      </c>
      <c r="D100" s="123" t="s">
        <v>492</v>
      </c>
      <c r="E100" s="123" t="s">
        <v>493</v>
      </c>
      <c r="F100" s="123" t="s">
        <v>671</v>
      </c>
      <c r="G100" s="123" t="s">
        <v>672</v>
      </c>
      <c r="H100" s="123" t="s">
        <v>673</v>
      </c>
      <c r="I100" s="123" t="s">
        <v>674</v>
      </c>
      <c r="J100" s="123" t="s">
        <v>131</v>
      </c>
      <c r="K100" s="123" t="s">
        <v>132</v>
      </c>
      <c r="L100" s="123" t="s">
        <v>131</v>
      </c>
      <c r="M100" s="123" t="s">
        <v>132</v>
      </c>
      <c r="N100" s="123" t="s">
        <v>477</v>
      </c>
      <c r="O100" s="123" t="s">
        <v>478</v>
      </c>
      <c r="P100" s="123" t="s">
        <v>961</v>
      </c>
      <c r="Q100" s="123" t="s">
        <v>962</v>
      </c>
      <c r="R100" s="123" t="s">
        <v>963</v>
      </c>
      <c r="S100" s="123" t="s">
        <v>840</v>
      </c>
    </row>
    <row r="101" spans="1:19" hidden="1" x14ac:dyDescent="0.2">
      <c r="A101" s="123" t="s">
        <v>840</v>
      </c>
      <c r="B101" s="123" t="s">
        <v>470</v>
      </c>
      <c r="C101" s="123" t="s">
        <v>471</v>
      </c>
      <c r="D101" s="123" t="s">
        <v>482</v>
      </c>
      <c r="E101" s="123" t="s">
        <v>483</v>
      </c>
      <c r="F101" s="123" t="s">
        <v>627</v>
      </c>
      <c r="G101" s="123" t="s">
        <v>628</v>
      </c>
      <c r="H101" s="123" t="s">
        <v>678</v>
      </c>
      <c r="I101" s="123" t="s">
        <v>679</v>
      </c>
      <c r="J101" s="123" t="s">
        <v>680</v>
      </c>
      <c r="K101" s="123" t="s">
        <v>681</v>
      </c>
      <c r="L101" s="123" t="s">
        <v>680</v>
      </c>
      <c r="M101" s="123" t="s">
        <v>681</v>
      </c>
      <c r="N101" s="123" t="s">
        <v>477</v>
      </c>
      <c r="O101" s="123" t="s">
        <v>478</v>
      </c>
      <c r="P101" s="123" t="s">
        <v>964</v>
      </c>
      <c r="Q101" s="123" t="s">
        <v>965</v>
      </c>
      <c r="R101" s="123" t="s">
        <v>966</v>
      </c>
      <c r="S101" s="123" t="s">
        <v>840</v>
      </c>
    </row>
    <row r="102" spans="1:19" hidden="1" x14ac:dyDescent="0.2">
      <c r="A102" s="123" t="s">
        <v>840</v>
      </c>
      <c r="B102" s="123" t="s">
        <v>470</v>
      </c>
      <c r="C102" s="123" t="s">
        <v>471</v>
      </c>
      <c r="D102" s="123" t="s">
        <v>470</v>
      </c>
      <c r="E102" s="123" t="s">
        <v>472</v>
      </c>
      <c r="F102" s="123" t="s">
        <v>685</v>
      </c>
      <c r="G102" s="123" t="s">
        <v>686</v>
      </c>
      <c r="H102" s="123" t="s">
        <v>687</v>
      </c>
      <c r="I102" s="123" t="s">
        <v>688</v>
      </c>
      <c r="J102" s="123" t="s">
        <v>133</v>
      </c>
      <c r="K102" s="123" t="s">
        <v>134</v>
      </c>
      <c r="L102" s="123" t="s">
        <v>133</v>
      </c>
      <c r="M102" s="123" t="s">
        <v>134</v>
      </c>
      <c r="N102" s="123" t="s">
        <v>477</v>
      </c>
      <c r="O102" s="123" t="s">
        <v>478</v>
      </c>
      <c r="P102" s="123" t="s">
        <v>967</v>
      </c>
      <c r="Q102" s="123" t="s">
        <v>968</v>
      </c>
      <c r="R102" s="123" t="s">
        <v>969</v>
      </c>
      <c r="S102" s="123" t="s">
        <v>840</v>
      </c>
    </row>
    <row r="103" spans="1:19" hidden="1" x14ac:dyDescent="0.2">
      <c r="A103" s="123" t="s">
        <v>840</v>
      </c>
      <c r="B103" s="123" t="s">
        <v>470</v>
      </c>
      <c r="C103" s="123" t="s">
        <v>471</v>
      </c>
      <c r="D103" s="123" t="s">
        <v>492</v>
      </c>
      <c r="E103" s="123" t="s">
        <v>493</v>
      </c>
      <c r="F103" s="123" t="s">
        <v>494</v>
      </c>
      <c r="G103" s="123" t="s">
        <v>495</v>
      </c>
      <c r="H103" s="123" t="s">
        <v>692</v>
      </c>
      <c r="I103" s="123" t="s">
        <v>693</v>
      </c>
      <c r="J103" s="123" t="s">
        <v>76</v>
      </c>
      <c r="K103" s="123" t="s">
        <v>77</v>
      </c>
      <c r="L103" s="123" t="s">
        <v>76</v>
      </c>
      <c r="M103" s="123" t="s">
        <v>77</v>
      </c>
      <c r="N103" s="123" t="s">
        <v>477</v>
      </c>
      <c r="O103" s="123" t="s">
        <v>478</v>
      </c>
      <c r="P103" s="123" t="s">
        <v>970</v>
      </c>
      <c r="Q103" s="123" t="s">
        <v>971</v>
      </c>
      <c r="R103" s="123" t="s">
        <v>972</v>
      </c>
      <c r="S103" s="123" t="s">
        <v>840</v>
      </c>
    </row>
    <row r="104" spans="1:19" hidden="1" x14ac:dyDescent="0.2">
      <c r="A104" s="123" t="s">
        <v>840</v>
      </c>
      <c r="B104" s="123" t="s">
        <v>470</v>
      </c>
      <c r="C104" s="123" t="s">
        <v>471</v>
      </c>
      <c r="D104" s="123" t="s">
        <v>492</v>
      </c>
      <c r="E104" s="123" t="s">
        <v>493</v>
      </c>
      <c r="F104" s="123" t="s">
        <v>697</v>
      </c>
      <c r="G104" s="123" t="s">
        <v>698</v>
      </c>
      <c r="H104" s="123" t="s">
        <v>699</v>
      </c>
      <c r="I104" s="123" t="s">
        <v>700</v>
      </c>
      <c r="J104" s="123" t="s">
        <v>108</v>
      </c>
      <c r="K104" s="123" t="s">
        <v>109</v>
      </c>
      <c r="L104" s="123" t="s">
        <v>108</v>
      </c>
      <c r="M104" s="123" t="s">
        <v>109</v>
      </c>
      <c r="N104" s="123" t="s">
        <v>477</v>
      </c>
      <c r="O104" s="123" t="s">
        <v>478</v>
      </c>
      <c r="P104" s="123" t="s">
        <v>973</v>
      </c>
      <c r="Q104" s="123" t="s">
        <v>974</v>
      </c>
      <c r="R104" s="123" t="s">
        <v>975</v>
      </c>
      <c r="S104" s="123" t="s">
        <v>840</v>
      </c>
    </row>
    <row r="105" spans="1:19" hidden="1" x14ac:dyDescent="0.2">
      <c r="A105" s="123" t="s">
        <v>840</v>
      </c>
      <c r="B105" s="123" t="s">
        <v>470</v>
      </c>
      <c r="C105" s="123" t="s">
        <v>471</v>
      </c>
      <c r="D105" s="123" t="s">
        <v>492</v>
      </c>
      <c r="E105" s="123" t="s">
        <v>493</v>
      </c>
      <c r="F105" s="123" t="s">
        <v>697</v>
      </c>
      <c r="G105" s="123" t="s">
        <v>698</v>
      </c>
      <c r="H105" s="123" t="s">
        <v>699</v>
      </c>
      <c r="I105" s="123" t="s">
        <v>700</v>
      </c>
      <c r="J105" s="123" t="s">
        <v>976</v>
      </c>
      <c r="K105" s="123" t="s">
        <v>385</v>
      </c>
      <c r="L105" s="123" t="s">
        <v>976</v>
      </c>
      <c r="M105" s="123" t="s">
        <v>385</v>
      </c>
      <c r="N105" s="123" t="s">
        <v>477</v>
      </c>
      <c r="O105" s="123" t="s">
        <v>478</v>
      </c>
      <c r="P105" s="123" t="s">
        <v>977</v>
      </c>
      <c r="Q105" s="123" t="s">
        <v>978</v>
      </c>
      <c r="R105" s="123" t="s">
        <v>979</v>
      </c>
      <c r="S105" s="123" t="s">
        <v>840</v>
      </c>
    </row>
    <row r="106" spans="1:19" hidden="1" x14ac:dyDescent="0.2">
      <c r="A106" s="123" t="s">
        <v>840</v>
      </c>
      <c r="B106" s="123" t="s">
        <v>470</v>
      </c>
      <c r="C106" s="123" t="s">
        <v>471</v>
      </c>
      <c r="D106" s="123" t="s">
        <v>552</v>
      </c>
      <c r="E106" s="123" t="s">
        <v>553</v>
      </c>
      <c r="F106" s="123" t="s">
        <v>554</v>
      </c>
      <c r="G106" s="123" t="s">
        <v>555</v>
      </c>
      <c r="H106" s="123" t="s">
        <v>709</v>
      </c>
      <c r="I106" s="123" t="s">
        <v>710</v>
      </c>
      <c r="J106" s="123" t="s">
        <v>711</v>
      </c>
      <c r="K106" s="123" t="s">
        <v>190</v>
      </c>
      <c r="L106" s="123" t="s">
        <v>711</v>
      </c>
      <c r="M106" s="123" t="s">
        <v>190</v>
      </c>
      <c r="N106" s="123" t="s">
        <v>477</v>
      </c>
      <c r="O106" s="123" t="s">
        <v>478</v>
      </c>
      <c r="P106" s="123" t="s">
        <v>980</v>
      </c>
      <c r="Q106" s="123" t="s">
        <v>981</v>
      </c>
      <c r="R106" s="123" t="s">
        <v>982</v>
      </c>
      <c r="S106" s="123" t="s">
        <v>840</v>
      </c>
    </row>
    <row r="107" spans="1:19" hidden="1" x14ac:dyDescent="0.2">
      <c r="A107" s="123" t="s">
        <v>840</v>
      </c>
      <c r="B107" s="123" t="s">
        <v>470</v>
      </c>
      <c r="C107" s="123" t="s">
        <v>471</v>
      </c>
      <c r="D107" s="123" t="s">
        <v>552</v>
      </c>
      <c r="E107" s="123" t="s">
        <v>553</v>
      </c>
      <c r="F107" s="123" t="s">
        <v>569</v>
      </c>
      <c r="G107" s="123" t="s">
        <v>570</v>
      </c>
      <c r="H107" s="123" t="s">
        <v>715</v>
      </c>
      <c r="I107" s="123" t="s">
        <v>716</v>
      </c>
      <c r="J107" s="123" t="s">
        <v>717</v>
      </c>
      <c r="K107" s="123" t="s">
        <v>187</v>
      </c>
      <c r="L107" s="123" t="s">
        <v>717</v>
      </c>
      <c r="M107" s="123" t="s">
        <v>187</v>
      </c>
      <c r="N107" s="123" t="s">
        <v>477</v>
      </c>
      <c r="O107" s="123" t="s">
        <v>478</v>
      </c>
      <c r="P107" s="123" t="s">
        <v>983</v>
      </c>
      <c r="Q107" s="123" t="s">
        <v>984</v>
      </c>
      <c r="R107" s="123" t="s">
        <v>985</v>
      </c>
      <c r="S107" s="123" t="s">
        <v>840</v>
      </c>
    </row>
    <row r="108" spans="1:19" hidden="1" x14ac:dyDescent="0.2">
      <c r="A108" s="123" t="s">
        <v>840</v>
      </c>
      <c r="B108" s="123" t="s">
        <v>470</v>
      </c>
      <c r="C108" s="123" t="s">
        <v>471</v>
      </c>
      <c r="D108" s="123" t="s">
        <v>482</v>
      </c>
      <c r="E108" s="123" t="s">
        <v>483</v>
      </c>
      <c r="F108" s="123" t="s">
        <v>627</v>
      </c>
      <c r="G108" s="123" t="s">
        <v>628</v>
      </c>
      <c r="H108" s="123" t="s">
        <v>721</v>
      </c>
      <c r="I108" s="123" t="s">
        <v>722</v>
      </c>
      <c r="J108" s="123" t="s">
        <v>726</v>
      </c>
      <c r="K108" s="123" t="s">
        <v>176</v>
      </c>
      <c r="L108" s="123" t="s">
        <v>726</v>
      </c>
      <c r="M108" s="123" t="s">
        <v>176</v>
      </c>
      <c r="N108" s="123" t="s">
        <v>477</v>
      </c>
      <c r="O108" s="123" t="s">
        <v>478</v>
      </c>
      <c r="P108" s="123" t="s">
        <v>986</v>
      </c>
      <c r="Q108" s="123" t="s">
        <v>987</v>
      </c>
      <c r="R108" s="123" t="s">
        <v>988</v>
      </c>
      <c r="S108" s="123" t="s">
        <v>840</v>
      </c>
    </row>
    <row r="109" spans="1:19" hidden="1" x14ac:dyDescent="0.2">
      <c r="A109" s="123" t="s">
        <v>840</v>
      </c>
      <c r="B109" s="123" t="s">
        <v>470</v>
      </c>
      <c r="C109" s="123" t="s">
        <v>471</v>
      </c>
      <c r="D109" s="123" t="s">
        <v>482</v>
      </c>
      <c r="E109" s="123" t="s">
        <v>483</v>
      </c>
      <c r="F109" s="123" t="s">
        <v>627</v>
      </c>
      <c r="G109" s="123" t="s">
        <v>628</v>
      </c>
      <c r="H109" s="123" t="s">
        <v>721</v>
      </c>
      <c r="I109" s="123" t="s">
        <v>722</v>
      </c>
      <c r="J109" s="123" t="s">
        <v>135</v>
      </c>
      <c r="K109" s="123" t="s">
        <v>136</v>
      </c>
      <c r="L109" s="123" t="s">
        <v>135</v>
      </c>
      <c r="M109" s="123" t="s">
        <v>136</v>
      </c>
      <c r="N109" s="123" t="s">
        <v>477</v>
      </c>
      <c r="O109" s="123" t="s">
        <v>478</v>
      </c>
      <c r="P109" s="123" t="s">
        <v>989</v>
      </c>
      <c r="Q109" s="123" t="s">
        <v>990</v>
      </c>
      <c r="R109" s="123" t="s">
        <v>991</v>
      </c>
      <c r="S109" s="123" t="s">
        <v>840</v>
      </c>
    </row>
    <row r="110" spans="1:19" hidden="1" x14ac:dyDescent="0.2">
      <c r="A110" s="123" t="s">
        <v>840</v>
      </c>
      <c r="B110" s="123" t="s">
        <v>470</v>
      </c>
      <c r="C110" s="123" t="s">
        <v>471</v>
      </c>
      <c r="D110" s="123" t="s">
        <v>552</v>
      </c>
      <c r="E110" s="123" t="s">
        <v>553</v>
      </c>
      <c r="F110" s="123" t="s">
        <v>730</v>
      </c>
      <c r="G110" s="123" t="s">
        <v>731</v>
      </c>
      <c r="H110" s="123" t="s">
        <v>732</v>
      </c>
      <c r="I110" s="123" t="s">
        <v>733</v>
      </c>
      <c r="J110" s="123" t="s">
        <v>139</v>
      </c>
      <c r="K110" s="123" t="s">
        <v>140</v>
      </c>
      <c r="L110" s="123" t="s">
        <v>139</v>
      </c>
      <c r="M110" s="123" t="s">
        <v>140</v>
      </c>
      <c r="N110" s="123" t="s">
        <v>477</v>
      </c>
      <c r="O110" s="123" t="s">
        <v>478</v>
      </c>
      <c r="P110" s="123" t="s">
        <v>992</v>
      </c>
      <c r="Q110" s="123" t="s">
        <v>993</v>
      </c>
      <c r="R110" s="123" t="s">
        <v>994</v>
      </c>
      <c r="S110" s="123" t="s">
        <v>840</v>
      </c>
    </row>
    <row r="111" spans="1:19" hidden="1" x14ac:dyDescent="0.2">
      <c r="A111" s="123" t="s">
        <v>840</v>
      </c>
      <c r="B111" s="123" t="s">
        <v>470</v>
      </c>
      <c r="C111" s="123" t="s">
        <v>471</v>
      </c>
      <c r="D111" s="123" t="s">
        <v>552</v>
      </c>
      <c r="E111" s="123" t="s">
        <v>553</v>
      </c>
      <c r="F111" s="123" t="s">
        <v>730</v>
      </c>
      <c r="G111" s="123" t="s">
        <v>731</v>
      </c>
      <c r="H111" s="123" t="s">
        <v>732</v>
      </c>
      <c r="I111" s="123" t="s">
        <v>733</v>
      </c>
      <c r="J111" s="123" t="s">
        <v>110</v>
      </c>
      <c r="K111" s="123" t="s">
        <v>111</v>
      </c>
      <c r="L111" s="123" t="s">
        <v>110</v>
      </c>
      <c r="M111" s="123" t="s">
        <v>111</v>
      </c>
      <c r="N111" s="123" t="s">
        <v>477</v>
      </c>
      <c r="O111" s="123" t="s">
        <v>478</v>
      </c>
      <c r="P111" s="123" t="s">
        <v>995</v>
      </c>
      <c r="Q111" s="123" t="s">
        <v>996</v>
      </c>
      <c r="R111" s="123" t="s">
        <v>997</v>
      </c>
      <c r="S111" s="123" t="s">
        <v>840</v>
      </c>
    </row>
    <row r="112" spans="1:19" hidden="1" x14ac:dyDescent="0.2">
      <c r="A112" s="123" t="s">
        <v>840</v>
      </c>
      <c r="B112" s="123" t="s">
        <v>470</v>
      </c>
      <c r="C112" s="123" t="s">
        <v>471</v>
      </c>
      <c r="D112" s="123" t="s">
        <v>552</v>
      </c>
      <c r="E112" s="123" t="s">
        <v>553</v>
      </c>
      <c r="F112" s="123" t="s">
        <v>554</v>
      </c>
      <c r="G112" s="123" t="s">
        <v>555</v>
      </c>
      <c r="H112" s="123" t="s">
        <v>998</v>
      </c>
      <c r="I112" s="123" t="s">
        <v>999</v>
      </c>
      <c r="J112" s="123" t="s">
        <v>558</v>
      </c>
      <c r="K112" s="123" t="s">
        <v>189</v>
      </c>
      <c r="L112" s="123" t="s">
        <v>558</v>
      </c>
      <c r="M112" s="123" t="s">
        <v>189</v>
      </c>
      <c r="N112" s="123" t="s">
        <v>477</v>
      </c>
      <c r="O112" s="123" t="s">
        <v>478</v>
      </c>
      <c r="P112" s="123" t="s">
        <v>1000</v>
      </c>
      <c r="Q112" s="123" t="s">
        <v>1001</v>
      </c>
      <c r="R112" s="123" t="s">
        <v>1002</v>
      </c>
      <c r="S112" s="123" t="s">
        <v>840</v>
      </c>
    </row>
    <row r="113" spans="1:19" hidden="1" x14ac:dyDescent="0.2">
      <c r="A113" s="123" t="s">
        <v>840</v>
      </c>
      <c r="B113" s="123" t="s">
        <v>470</v>
      </c>
      <c r="C113" s="123" t="s">
        <v>471</v>
      </c>
      <c r="D113" s="123" t="s">
        <v>482</v>
      </c>
      <c r="E113" s="123" t="s">
        <v>483</v>
      </c>
      <c r="F113" s="123" t="s">
        <v>627</v>
      </c>
      <c r="G113" s="123" t="s">
        <v>628</v>
      </c>
      <c r="H113" s="123" t="s">
        <v>740</v>
      </c>
      <c r="I113" s="123" t="s">
        <v>741</v>
      </c>
      <c r="J113" s="123" t="s">
        <v>742</v>
      </c>
      <c r="K113" s="123" t="s">
        <v>177</v>
      </c>
      <c r="L113" s="123" t="s">
        <v>742</v>
      </c>
      <c r="M113" s="123" t="s">
        <v>177</v>
      </c>
      <c r="N113" s="123" t="s">
        <v>477</v>
      </c>
      <c r="O113" s="123" t="s">
        <v>478</v>
      </c>
      <c r="P113" s="123" t="s">
        <v>1003</v>
      </c>
      <c r="Q113" s="123" t="s">
        <v>1004</v>
      </c>
      <c r="R113" s="123" t="s">
        <v>1005</v>
      </c>
      <c r="S113" s="123" t="s">
        <v>840</v>
      </c>
    </row>
    <row r="114" spans="1:19" hidden="1" x14ac:dyDescent="0.2">
      <c r="A114" s="123" t="s">
        <v>840</v>
      </c>
      <c r="B114" s="123" t="s">
        <v>470</v>
      </c>
      <c r="C114" s="123" t="s">
        <v>471</v>
      </c>
      <c r="D114" s="123" t="s">
        <v>482</v>
      </c>
      <c r="E114" s="123" t="s">
        <v>483</v>
      </c>
      <c r="F114" s="123" t="s">
        <v>531</v>
      </c>
      <c r="G114" s="123" t="s">
        <v>532</v>
      </c>
      <c r="H114" s="123" t="s">
        <v>746</v>
      </c>
      <c r="I114" s="123" t="s">
        <v>747</v>
      </c>
      <c r="J114" s="123" t="s">
        <v>80</v>
      </c>
      <c r="K114" s="123" t="s">
        <v>81</v>
      </c>
      <c r="L114" s="123" t="s">
        <v>80</v>
      </c>
      <c r="M114" s="123" t="s">
        <v>81</v>
      </c>
      <c r="N114" s="123" t="s">
        <v>477</v>
      </c>
      <c r="O114" s="123" t="s">
        <v>478</v>
      </c>
      <c r="P114" s="123" t="s">
        <v>1006</v>
      </c>
      <c r="Q114" s="123" t="s">
        <v>1007</v>
      </c>
      <c r="R114" s="123" t="s">
        <v>1008</v>
      </c>
      <c r="S114" s="123" t="s">
        <v>840</v>
      </c>
    </row>
    <row r="115" spans="1:19" hidden="1" x14ac:dyDescent="0.2">
      <c r="A115" s="123" t="s">
        <v>840</v>
      </c>
      <c r="B115" s="123" t="s">
        <v>470</v>
      </c>
      <c r="C115" s="123" t="s">
        <v>471</v>
      </c>
      <c r="D115" s="123" t="s">
        <v>492</v>
      </c>
      <c r="E115" s="123" t="s">
        <v>493</v>
      </c>
      <c r="F115" s="123" t="s">
        <v>494</v>
      </c>
      <c r="G115" s="123" t="s">
        <v>495</v>
      </c>
      <c r="H115" s="123" t="s">
        <v>751</v>
      </c>
      <c r="I115" s="123" t="s">
        <v>752</v>
      </c>
      <c r="J115" s="123" t="s">
        <v>753</v>
      </c>
      <c r="K115" s="123" t="s">
        <v>171</v>
      </c>
      <c r="L115" s="123" t="s">
        <v>753</v>
      </c>
      <c r="M115" s="123" t="s">
        <v>171</v>
      </c>
      <c r="N115" s="123" t="s">
        <v>477</v>
      </c>
      <c r="O115" s="123" t="s">
        <v>478</v>
      </c>
      <c r="P115" s="123" t="s">
        <v>1009</v>
      </c>
      <c r="Q115" s="123" t="s">
        <v>1010</v>
      </c>
      <c r="R115" s="123" t="s">
        <v>1011</v>
      </c>
      <c r="S115" s="123" t="s">
        <v>840</v>
      </c>
    </row>
    <row r="116" spans="1:19" hidden="1" x14ac:dyDescent="0.2">
      <c r="A116" s="123" t="s">
        <v>840</v>
      </c>
      <c r="B116" s="123" t="s">
        <v>470</v>
      </c>
      <c r="C116" s="123" t="s">
        <v>471</v>
      </c>
      <c r="D116" s="123" t="s">
        <v>482</v>
      </c>
      <c r="E116" s="123" t="s">
        <v>483</v>
      </c>
      <c r="F116" s="123" t="s">
        <v>531</v>
      </c>
      <c r="G116" s="123" t="s">
        <v>532</v>
      </c>
      <c r="H116" s="123" t="s">
        <v>757</v>
      </c>
      <c r="I116" s="123" t="s">
        <v>758</v>
      </c>
      <c r="J116" s="123" t="s">
        <v>141</v>
      </c>
      <c r="K116" s="123" t="s">
        <v>142</v>
      </c>
      <c r="L116" s="123" t="s">
        <v>141</v>
      </c>
      <c r="M116" s="123" t="s">
        <v>142</v>
      </c>
      <c r="N116" s="123" t="s">
        <v>477</v>
      </c>
      <c r="O116" s="123" t="s">
        <v>478</v>
      </c>
      <c r="P116" s="123" t="s">
        <v>1012</v>
      </c>
      <c r="Q116" s="123" t="s">
        <v>1013</v>
      </c>
      <c r="R116" s="123" t="s">
        <v>1014</v>
      </c>
      <c r="S116" s="123" t="s">
        <v>840</v>
      </c>
    </row>
    <row r="117" spans="1:19" hidden="1" x14ac:dyDescent="0.2">
      <c r="A117" s="123" t="s">
        <v>840</v>
      </c>
      <c r="B117" s="123" t="s">
        <v>470</v>
      </c>
      <c r="C117" s="123" t="s">
        <v>471</v>
      </c>
      <c r="D117" s="123" t="s">
        <v>482</v>
      </c>
      <c r="E117" s="123" t="s">
        <v>483</v>
      </c>
      <c r="F117" s="123" t="s">
        <v>597</v>
      </c>
      <c r="G117" s="123" t="s">
        <v>598</v>
      </c>
      <c r="H117" s="123" t="s">
        <v>1015</v>
      </c>
      <c r="I117" s="123" t="s">
        <v>1016</v>
      </c>
      <c r="J117" s="123" t="s">
        <v>1017</v>
      </c>
      <c r="K117" s="123" t="s">
        <v>390</v>
      </c>
      <c r="L117" s="123" t="s">
        <v>1017</v>
      </c>
      <c r="M117" s="123" t="s">
        <v>390</v>
      </c>
      <c r="N117" s="123" t="s">
        <v>477</v>
      </c>
      <c r="O117" s="123" t="s">
        <v>478</v>
      </c>
      <c r="P117" s="123" t="s">
        <v>1018</v>
      </c>
      <c r="Q117" s="123" t="s">
        <v>1019</v>
      </c>
      <c r="R117" s="123" t="s">
        <v>1020</v>
      </c>
      <c r="S117" s="123" t="s">
        <v>840</v>
      </c>
    </row>
    <row r="118" spans="1:19" hidden="1" x14ac:dyDescent="0.2">
      <c r="A118" s="123" t="s">
        <v>840</v>
      </c>
      <c r="B118" s="123" t="s">
        <v>470</v>
      </c>
      <c r="C118" s="123" t="s">
        <v>471</v>
      </c>
      <c r="D118" s="123" t="s">
        <v>470</v>
      </c>
      <c r="E118" s="123" t="s">
        <v>472</v>
      </c>
      <c r="F118" s="123" t="s">
        <v>1021</v>
      </c>
      <c r="G118" s="123" t="s">
        <v>1022</v>
      </c>
      <c r="H118" s="123" t="s">
        <v>1023</v>
      </c>
      <c r="I118" s="123" t="s">
        <v>1024</v>
      </c>
      <c r="J118" s="123" t="s">
        <v>1025</v>
      </c>
      <c r="K118" s="123" t="s">
        <v>389</v>
      </c>
      <c r="L118" s="123" t="s">
        <v>1025</v>
      </c>
      <c r="M118" s="123" t="s">
        <v>389</v>
      </c>
      <c r="N118" s="123" t="s">
        <v>477</v>
      </c>
      <c r="O118" s="123" t="s">
        <v>478</v>
      </c>
      <c r="P118" s="123" t="s">
        <v>1026</v>
      </c>
      <c r="Q118" s="123" t="s">
        <v>1027</v>
      </c>
      <c r="R118" s="123" t="s">
        <v>1028</v>
      </c>
      <c r="S118" s="123" t="s">
        <v>840</v>
      </c>
    </row>
    <row r="119" spans="1:19" hidden="1" x14ac:dyDescent="0.2">
      <c r="A119" s="123" t="s">
        <v>840</v>
      </c>
      <c r="B119" s="123" t="s">
        <v>470</v>
      </c>
      <c r="C119" s="123" t="s">
        <v>471</v>
      </c>
      <c r="D119" s="123" t="s">
        <v>552</v>
      </c>
      <c r="E119" s="123" t="s">
        <v>553</v>
      </c>
      <c r="F119" s="123" t="s">
        <v>762</v>
      </c>
      <c r="G119" s="123" t="s">
        <v>763</v>
      </c>
      <c r="H119" s="123" t="s">
        <v>764</v>
      </c>
      <c r="I119" s="123" t="s">
        <v>765</v>
      </c>
      <c r="J119" s="123" t="s">
        <v>766</v>
      </c>
      <c r="K119" s="123" t="s">
        <v>188</v>
      </c>
      <c r="L119" s="123" t="s">
        <v>766</v>
      </c>
      <c r="M119" s="123" t="s">
        <v>188</v>
      </c>
      <c r="N119" s="123" t="s">
        <v>477</v>
      </c>
      <c r="O119" s="123" t="s">
        <v>478</v>
      </c>
      <c r="P119" s="123" t="s">
        <v>1029</v>
      </c>
      <c r="Q119" s="123" t="s">
        <v>1030</v>
      </c>
      <c r="R119" s="123" t="s">
        <v>1031</v>
      </c>
      <c r="S119" s="123" t="s">
        <v>840</v>
      </c>
    </row>
    <row r="120" spans="1:19" hidden="1" x14ac:dyDescent="0.2">
      <c r="A120" s="123" t="s">
        <v>840</v>
      </c>
      <c r="B120" s="123" t="s">
        <v>470</v>
      </c>
      <c r="C120" s="123" t="s">
        <v>471</v>
      </c>
      <c r="D120" s="123" t="s">
        <v>492</v>
      </c>
      <c r="E120" s="123" t="s">
        <v>493</v>
      </c>
      <c r="F120" s="123" t="s">
        <v>671</v>
      </c>
      <c r="G120" s="123" t="s">
        <v>672</v>
      </c>
      <c r="H120" s="123" t="s">
        <v>772</v>
      </c>
      <c r="I120" s="123" t="s">
        <v>773</v>
      </c>
      <c r="J120" s="123" t="s">
        <v>143</v>
      </c>
      <c r="K120" s="123" t="s">
        <v>144</v>
      </c>
      <c r="L120" s="123" t="s">
        <v>143</v>
      </c>
      <c r="M120" s="123" t="s">
        <v>144</v>
      </c>
      <c r="N120" s="123" t="s">
        <v>477</v>
      </c>
      <c r="O120" s="123" t="s">
        <v>478</v>
      </c>
      <c r="P120" s="123" t="s">
        <v>1032</v>
      </c>
      <c r="Q120" s="123" t="s">
        <v>1033</v>
      </c>
      <c r="R120" s="123" t="s">
        <v>1034</v>
      </c>
      <c r="S120" s="123" t="s">
        <v>840</v>
      </c>
    </row>
    <row r="121" spans="1:19" hidden="1" x14ac:dyDescent="0.2">
      <c r="A121" s="123" t="s">
        <v>840</v>
      </c>
      <c r="B121" s="123" t="s">
        <v>470</v>
      </c>
      <c r="C121" s="123" t="s">
        <v>471</v>
      </c>
      <c r="D121" s="123" t="s">
        <v>470</v>
      </c>
      <c r="E121" s="123" t="s">
        <v>472</v>
      </c>
      <c r="F121" s="123" t="s">
        <v>777</v>
      </c>
      <c r="G121" s="123" t="s">
        <v>778</v>
      </c>
      <c r="H121" s="123" t="s">
        <v>779</v>
      </c>
      <c r="I121" s="123" t="s">
        <v>780</v>
      </c>
      <c r="J121" s="123" t="s">
        <v>145</v>
      </c>
      <c r="K121" s="123" t="s">
        <v>146</v>
      </c>
      <c r="L121" s="123" t="s">
        <v>145</v>
      </c>
      <c r="M121" s="123" t="s">
        <v>146</v>
      </c>
      <c r="N121" s="123" t="s">
        <v>477</v>
      </c>
      <c r="O121" s="123" t="s">
        <v>478</v>
      </c>
      <c r="P121" s="123" t="s">
        <v>1035</v>
      </c>
      <c r="Q121" s="123" t="s">
        <v>1036</v>
      </c>
      <c r="R121" s="123" t="s">
        <v>1037</v>
      </c>
      <c r="S121" s="123" t="s">
        <v>840</v>
      </c>
    </row>
    <row r="122" spans="1:19" hidden="1" x14ac:dyDescent="0.2">
      <c r="A122" s="123" t="s">
        <v>840</v>
      </c>
      <c r="B122" s="123" t="s">
        <v>470</v>
      </c>
      <c r="C122" s="123" t="s">
        <v>471</v>
      </c>
      <c r="D122" s="123" t="s">
        <v>492</v>
      </c>
      <c r="E122" s="123" t="s">
        <v>493</v>
      </c>
      <c r="F122" s="123" t="s">
        <v>658</v>
      </c>
      <c r="G122" s="123" t="s">
        <v>659</v>
      </c>
      <c r="H122" s="123" t="s">
        <v>784</v>
      </c>
      <c r="I122" s="123" t="s">
        <v>785</v>
      </c>
      <c r="J122" s="123" t="s">
        <v>129</v>
      </c>
      <c r="K122" s="123" t="s">
        <v>130</v>
      </c>
      <c r="L122" s="123" t="s">
        <v>129</v>
      </c>
      <c r="M122" s="123" t="s">
        <v>130</v>
      </c>
      <c r="N122" s="123" t="s">
        <v>477</v>
      </c>
      <c r="O122" s="123" t="s">
        <v>478</v>
      </c>
      <c r="P122" s="123" t="s">
        <v>1038</v>
      </c>
      <c r="Q122" s="123" t="s">
        <v>1039</v>
      </c>
      <c r="R122" s="123" t="s">
        <v>1040</v>
      </c>
      <c r="S122" s="123" t="s">
        <v>840</v>
      </c>
    </row>
    <row r="123" spans="1:19" hidden="1" x14ac:dyDescent="0.2">
      <c r="A123" s="123" t="s">
        <v>840</v>
      </c>
      <c r="B123" s="123" t="s">
        <v>470</v>
      </c>
      <c r="C123" s="123" t="s">
        <v>471</v>
      </c>
      <c r="D123" s="123" t="s">
        <v>552</v>
      </c>
      <c r="E123" s="123" t="s">
        <v>553</v>
      </c>
      <c r="F123" s="123" t="s">
        <v>789</v>
      </c>
      <c r="G123" s="123" t="s">
        <v>790</v>
      </c>
      <c r="H123" s="123" t="s">
        <v>791</v>
      </c>
      <c r="I123" s="123" t="s">
        <v>792</v>
      </c>
      <c r="J123" s="123" t="s">
        <v>112</v>
      </c>
      <c r="K123" s="123" t="s">
        <v>113</v>
      </c>
      <c r="L123" s="123" t="s">
        <v>112</v>
      </c>
      <c r="M123" s="123" t="s">
        <v>113</v>
      </c>
      <c r="N123" s="123" t="s">
        <v>477</v>
      </c>
      <c r="O123" s="123" t="s">
        <v>478</v>
      </c>
      <c r="P123" s="123" t="s">
        <v>1041</v>
      </c>
      <c r="Q123" s="123" t="s">
        <v>1042</v>
      </c>
      <c r="R123" s="123" t="s">
        <v>1043</v>
      </c>
      <c r="S123" s="123" t="s">
        <v>840</v>
      </c>
    </row>
    <row r="124" spans="1:19" hidden="1" x14ac:dyDescent="0.2">
      <c r="A124" s="123" t="s">
        <v>840</v>
      </c>
      <c r="B124" s="123" t="s">
        <v>470</v>
      </c>
      <c r="C124" s="123" t="s">
        <v>471</v>
      </c>
      <c r="D124" s="123" t="s">
        <v>552</v>
      </c>
      <c r="E124" s="123" t="s">
        <v>553</v>
      </c>
      <c r="F124" s="123" t="s">
        <v>796</v>
      </c>
      <c r="G124" s="123" t="s">
        <v>797</v>
      </c>
      <c r="H124" s="123" t="s">
        <v>798</v>
      </c>
      <c r="I124" s="123" t="s">
        <v>799</v>
      </c>
      <c r="J124" s="123" t="s">
        <v>800</v>
      </c>
      <c r="K124" s="123" t="s">
        <v>178</v>
      </c>
      <c r="L124" s="123" t="s">
        <v>800</v>
      </c>
      <c r="M124" s="123" t="s">
        <v>178</v>
      </c>
      <c r="N124" s="123" t="s">
        <v>477</v>
      </c>
      <c r="O124" s="123" t="s">
        <v>478</v>
      </c>
      <c r="P124" s="123" t="s">
        <v>1044</v>
      </c>
      <c r="Q124" s="123" t="s">
        <v>1045</v>
      </c>
      <c r="R124" s="123" t="s">
        <v>1046</v>
      </c>
      <c r="S124" s="123" t="s">
        <v>840</v>
      </c>
    </row>
    <row r="125" spans="1:19" hidden="1" x14ac:dyDescent="0.2">
      <c r="A125" s="123" t="s">
        <v>840</v>
      </c>
      <c r="B125" s="123" t="s">
        <v>470</v>
      </c>
      <c r="C125" s="123" t="s">
        <v>471</v>
      </c>
      <c r="D125" s="123" t="s">
        <v>552</v>
      </c>
      <c r="E125" s="123" t="s">
        <v>553</v>
      </c>
      <c r="F125" s="123" t="s">
        <v>569</v>
      </c>
      <c r="G125" s="123" t="s">
        <v>570</v>
      </c>
      <c r="H125" s="123" t="s">
        <v>804</v>
      </c>
      <c r="I125" s="123" t="s">
        <v>805</v>
      </c>
      <c r="J125" s="123" t="s">
        <v>82</v>
      </c>
      <c r="K125" s="123" t="s">
        <v>806</v>
      </c>
      <c r="L125" s="123" t="s">
        <v>82</v>
      </c>
      <c r="M125" s="123" t="s">
        <v>806</v>
      </c>
      <c r="N125" s="123" t="s">
        <v>477</v>
      </c>
      <c r="O125" s="123" t="s">
        <v>478</v>
      </c>
      <c r="P125" s="123" t="s">
        <v>1047</v>
      </c>
      <c r="Q125" s="123" t="s">
        <v>1048</v>
      </c>
      <c r="R125" s="123" t="s">
        <v>1049</v>
      </c>
      <c r="S125" s="123" t="s">
        <v>840</v>
      </c>
    </row>
    <row r="126" spans="1:19" hidden="1" x14ac:dyDescent="0.2">
      <c r="A126" s="123" t="s">
        <v>840</v>
      </c>
      <c r="B126" s="123" t="s">
        <v>470</v>
      </c>
      <c r="C126" s="123" t="s">
        <v>471</v>
      </c>
      <c r="D126" s="123" t="s">
        <v>552</v>
      </c>
      <c r="E126" s="123" t="s">
        <v>553</v>
      </c>
      <c r="F126" s="123" t="s">
        <v>789</v>
      </c>
      <c r="G126" s="123" t="s">
        <v>790</v>
      </c>
      <c r="H126" s="123" t="s">
        <v>810</v>
      </c>
      <c r="I126" s="123" t="s">
        <v>811</v>
      </c>
      <c r="J126" s="123" t="s">
        <v>114</v>
      </c>
      <c r="K126" s="123" t="s">
        <v>812</v>
      </c>
      <c r="L126" s="123" t="s">
        <v>114</v>
      </c>
      <c r="M126" s="123" t="s">
        <v>812</v>
      </c>
      <c r="N126" s="123" t="s">
        <v>477</v>
      </c>
      <c r="O126" s="123" t="s">
        <v>478</v>
      </c>
      <c r="P126" s="123" t="s">
        <v>1050</v>
      </c>
      <c r="Q126" s="123" t="s">
        <v>1051</v>
      </c>
      <c r="R126" s="123" t="s">
        <v>1052</v>
      </c>
      <c r="S126" s="123" t="s">
        <v>840</v>
      </c>
    </row>
    <row r="127" spans="1:19" hidden="1" x14ac:dyDescent="0.2">
      <c r="A127" s="123" t="s">
        <v>840</v>
      </c>
      <c r="B127" s="123" t="s">
        <v>470</v>
      </c>
      <c r="C127" s="123" t="s">
        <v>471</v>
      </c>
      <c r="D127" s="123" t="s">
        <v>470</v>
      </c>
      <c r="E127" s="123" t="s">
        <v>472</v>
      </c>
      <c r="F127" s="123" t="s">
        <v>777</v>
      </c>
      <c r="G127" s="123" t="s">
        <v>778</v>
      </c>
      <c r="H127" s="123" t="s">
        <v>816</v>
      </c>
      <c r="I127" s="123" t="s">
        <v>817</v>
      </c>
      <c r="J127" s="123" t="s">
        <v>65</v>
      </c>
      <c r="K127" s="123" t="s">
        <v>66</v>
      </c>
      <c r="L127" s="123" t="s">
        <v>65</v>
      </c>
      <c r="M127" s="123" t="s">
        <v>66</v>
      </c>
      <c r="N127" s="123" t="s">
        <v>477</v>
      </c>
      <c r="O127" s="123" t="s">
        <v>478</v>
      </c>
      <c r="P127" s="123" t="s">
        <v>1053</v>
      </c>
      <c r="Q127" s="123" t="s">
        <v>1054</v>
      </c>
      <c r="R127" s="123" t="s">
        <v>1055</v>
      </c>
      <c r="S127" s="123" t="s">
        <v>840</v>
      </c>
    </row>
    <row r="128" spans="1:19" hidden="1" x14ac:dyDescent="0.2">
      <c r="A128" s="123" t="s">
        <v>840</v>
      </c>
      <c r="B128" s="123" t="s">
        <v>470</v>
      </c>
      <c r="C128" s="123" t="s">
        <v>471</v>
      </c>
      <c r="D128" s="123" t="s">
        <v>470</v>
      </c>
      <c r="E128" s="123" t="s">
        <v>472</v>
      </c>
      <c r="F128" s="123" t="s">
        <v>685</v>
      </c>
      <c r="G128" s="123" t="s">
        <v>686</v>
      </c>
      <c r="H128" s="123" t="s">
        <v>1056</v>
      </c>
      <c r="I128" s="123" t="s">
        <v>1057</v>
      </c>
      <c r="J128" s="123" t="s">
        <v>1058</v>
      </c>
      <c r="K128" s="123" t="s">
        <v>388</v>
      </c>
      <c r="L128" s="123" t="s">
        <v>1058</v>
      </c>
      <c r="M128" s="123" t="s">
        <v>388</v>
      </c>
      <c r="N128" s="123" t="s">
        <v>477</v>
      </c>
      <c r="O128" s="123" t="s">
        <v>478</v>
      </c>
      <c r="P128" s="123" t="s">
        <v>1059</v>
      </c>
      <c r="Q128" s="123" t="s">
        <v>1060</v>
      </c>
      <c r="R128" s="123" t="s">
        <v>1061</v>
      </c>
      <c r="S128" s="123" t="s">
        <v>840</v>
      </c>
    </row>
    <row r="129" spans="1:19" hidden="1" x14ac:dyDescent="0.2">
      <c r="A129" s="123" t="s">
        <v>840</v>
      </c>
      <c r="B129" s="123" t="s">
        <v>470</v>
      </c>
      <c r="C129" s="123" t="s">
        <v>471</v>
      </c>
      <c r="D129" s="123" t="s">
        <v>470</v>
      </c>
      <c r="E129" s="123" t="s">
        <v>472</v>
      </c>
      <c r="F129" s="123" t="s">
        <v>685</v>
      </c>
      <c r="G129" s="123" t="s">
        <v>686</v>
      </c>
      <c r="H129" s="123" t="s">
        <v>821</v>
      </c>
      <c r="I129" s="123" t="s">
        <v>822</v>
      </c>
      <c r="J129" s="123" t="s">
        <v>147</v>
      </c>
      <c r="K129" s="123" t="s">
        <v>148</v>
      </c>
      <c r="L129" s="123" t="s">
        <v>147</v>
      </c>
      <c r="M129" s="123" t="s">
        <v>148</v>
      </c>
      <c r="N129" s="123" t="s">
        <v>477</v>
      </c>
      <c r="O129" s="123" t="s">
        <v>478</v>
      </c>
      <c r="P129" s="123" t="s">
        <v>1062</v>
      </c>
      <c r="Q129" s="123" t="s">
        <v>1063</v>
      </c>
      <c r="R129" s="123" t="s">
        <v>1064</v>
      </c>
      <c r="S129" s="123" t="s">
        <v>840</v>
      </c>
    </row>
    <row r="130" spans="1:19" hidden="1" x14ac:dyDescent="0.2">
      <c r="A130" s="123" t="s">
        <v>840</v>
      </c>
      <c r="B130" s="123" t="s">
        <v>492</v>
      </c>
      <c r="C130" s="123" t="s">
        <v>1065</v>
      </c>
      <c r="D130" s="123" t="s">
        <v>1066</v>
      </c>
      <c r="E130" s="123" t="s">
        <v>1067</v>
      </c>
      <c r="F130" s="123" t="s">
        <v>1068</v>
      </c>
      <c r="G130" s="123" t="s">
        <v>1069</v>
      </c>
      <c r="H130" s="123" t="s">
        <v>1070</v>
      </c>
      <c r="I130" s="123" t="s">
        <v>1071</v>
      </c>
      <c r="J130" s="123" t="s">
        <v>174</v>
      </c>
      <c r="K130" s="123" t="s">
        <v>175</v>
      </c>
      <c r="L130" s="123" t="s">
        <v>174</v>
      </c>
      <c r="M130" s="123" t="s">
        <v>175</v>
      </c>
      <c r="N130" s="123" t="s">
        <v>477</v>
      </c>
      <c r="O130" s="123" t="s">
        <v>478</v>
      </c>
      <c r="P130" s="123" t="s">
        <v>1072</v>
      </c>
      <c r="Q130" s="123" t="s">
        <v>1073</v>
      </c>
      <c r="R130" s="123" t="s">
        <v>1074</v>
      </c>
      <c r="S130" s="123" t="s">
        <v>840</v>
      </c>
    </row>
    <row r="131" spans="1:19" hidden="1" x14ac:dyDescent="0.2">
      <c r="A131" s="123" t="s">
        <v>840</v>
      </c>
      <c r="B131" s="123" t="s">
        <v>470</v>
      </c>
      <c r="C131" s="123" t="s">
        <v>471</v>
      </c>
      <c r="D131" s="123" t="s">
        <v>492</v>
      </c>
      <c r="E131" s="123" t="s">
        <v>493</v>
      </c>
      <c r="F131" s="123" t="s">
        <v>697</v>
      </c>
      <c r="G131" s="123" t="s">
        <v>698</v>
      </c>
      <c r="H131" s="123" t="s">
        <v>826</v>
      </c>
      <c r="I131" s="123" t="s">
        <v>827</v>
      </c>
      <c r="J131" s="123" t="s">
        <v>151</v>
      </c>
      <c r="K131" s="123" t="s">
        <v>152</v>
      </c>
      <c r="L131" s="123" t="s">
        <v>151</v>
      </c>
      <c r="M131" s="123" t="s">
        <v>152</v>
      </c>
      <c r="N131" s="123" t="s">
        <v>477</v>
      </c>
      <c r="O131" s="123" t="s">
        <v>478</v>
      </c>
      <c r="P131" s="123" t="s">
        <v>1075</v>
      </c>
      <c r="Q131" s="123" t="s">
        <v>1076</v>
      </c>
      <c r="R131" s="123" t="s">
        <v>1077</v>
      </c>
      <c r="S131" s="123" t="s">
        <v>840</v>
      </c>
    </row>
    <row r="132" spans="1:19" hidden="1" x14ac:dyDescent="0.2">
      <c r="A132" s="123" t="s">
        <v>840</v>
      </c>
      <c r="B132" s="123" t="s">
        <v>470</v>
      </c>
      <c r="C132" s="123" t="s">
        <v>471</v>
      </c>
      <c r="D132" s="123" t="s">
        <v>492</v>
      </c>
      <c r="E132" s="123" t="s">
        <v>493</v>
      </c>
      <c r="F132" s="123" t="s">
        <v>697</v>
      </c>
      <c r="G132" s="123" t="s">
        <v>698</v>
      </c>
      <c r="H132" s="123" t="s">
        <v>826</v>
      </c>
      <c r="I132" s="123" t="s">
        <v>827</v>
      </c>
      <c r="J132" s="123" t="s">
        <v>828</v>
      </c>
      <c r="K132" s="123" t="s">
        <v>168</v>
      </c>
      <c r="L132" s="123" t="s">
        <v>828</v>
      </c>
      <c r="M132" s="123" t="s">
        <v>168</v>
      </c>
      <c r="N132" s="123" t="s">
        <v>477</v>
      </c>
      <c r="O132" s="123" t="s">
        <v>478</v>
      </c>
      <c r="P132" s="123" t="s">
        <v>1078</v>
      </c>
      <c r="Q132" s="123" t="s">
        <v>1079</v>
      </c>
      <c r="R132" s="123" t="s">
        <v>1080</v>
      </c>
      <c r="S132" s="123" t="s">
        <v>840</v>
      </c>
    </row>
    <row r="133" spans="1:19" hidden="1" x14ac:dyDescent="0.2">
      <c r="A133" s="123" t="s">
        <v>840</v>
      </c>
      <c r="B133" s="123" t="s">
        <v>470</v>
      </c>
      <c r="C133" s="123" t="s">
        <v>471</v>
      </c>
      <c r="D133" s="123" t="s">
        <v>552</v>
      </c>
      <c r="E133" s="123" t="s">
        <v>553</v>
      </c>
      <c r="F133" s="123" t="s">
        <v>554</v>
      </c>
      <c r="G133" s="123" t="s">
        <v>555</v>
      </c>
      <c r="H133" s="123" t="s">
        <v>1081</v>
      </c>
      <c r="I133" s="123" t="s">
        <v>1082</v>
      </c>
      <c r="J133" s="123" t="s">
        <v>1083</v>
      </c>
      <c r="K133" s="123" t="s">
        <v>186</v>
      </c>
      <c r="L133" s="123" t="s">
        <v>1083</v>
      </c>
      <c r="M133" s="123" t="s">
        <v>186</v>
      </c>
      <c r="N133" s="123" t="s">
        <v>477</v>
      </c>
      <c r="O133" s="123" t="s">
        <v>478</v>
      </c>
      <c r="P133" s="123" t="s">
        <v>1084</v>
      </c>
      <c r="Q133" s="123" t="s">
        <v>1085</v>
      </c>
      <c r="R133" s="123" t="s">
        <v>1086</v>
      </c>
      <c r="S133" s="123" t="s">
        <v>840</v>
      </c>
    </row>
    <row r="134" spans="1:19" hidden="1" x14ac:dyDescent="0.2">
      <c r="A134" s="123" t="s">
        <v>840</v>
      </c>
      <c r="B134" s="123" t="s">
        <v>470</v>
      </c>
      <c r="C134" s="123" t="s">
        <v>471</v>
      </c>
      <c r="D134" s="123" t="s">
        <v>552</v>
      </c>
      <c r="E134" s="123" t="s">
        <v>553</v>
      </c>
      <c r="F134" s="123" t="s">
        <v>762</v>
      </c>
      <c r="G134" s="123" t="s">
        <v>763</v>
      </c>
      <c r="H134" s="123" t="s">
        <v>835</v>
      </c>
      <c r="I134" s="123" t="s">
        <v>836</v>
      </c>
      <c r="J134" s="123" t="s">
        <v>155</v>
      </c>
      <c r="K134" s="123" t="s">
        <v>156</v>
      </c>
      <c r="L134" s="123" t="s">
        <v>155</v>
      </c>
      <c r="M134" s="123" t="s">
        <v>156</v>
      </c>
      <c r="N134" s="123" t="s">
        <v>477</v>
      </c>
      <c r="O134" s="123" t="s">
        <v>478</v>
      </c>
      <c r="P134" s="123" t="s">
        <v>1087</v>
      </c>
      <c r="Q134" s="123" t="s">
        <v>1088</v>
      </c>
      <c r="R134" s="123" t="s">
        <v>1089</v>
      </c>
      <c r="S134" s="123" t="s">
        <v>840</v>
      </c>
    </row>
    <row r="135" spans="1:19" hidden="1" x14ac:dyDescent="0.2">
      <c r="A135" s="123" t="s">
        <v>1090</v>
      </c>
      <c r="B135" s="123" t="s">
        <v>470</v>
      </c>
      <c r="C135" s="123" t="s">
        <v>471</v>
      </c>
      <c r="D135" s="123" t="s">
        <v>470</v>
      </c>
      <c r="E135" s="123" t="s">
        <v>472</v>
      </c>
      <c r="F135" s="123" t="s">
        <v>473</v>
      </c>
      <c r="G135" s="123" t="s">
        <v>474</v>
      </c>
      <c r="H135" s="123" t="s">
        <v>475</v>
      </c>
      <c r="I135" s="123" t="s">
        <v>476</v>
      </c>
      <c r="J135" s="123" t="s">
        <v>1091</v>
      </c>
      <c r="K135" s="123" t="s">
        <v>430</v>
      </c>
      <c r="L135" s="123" t="s">
        <v>1091</v>
      </c>
      <c r="M135" s="123" t="s">
        <v>430</v>
      </c>
      <c r="N135" s="123" t="s">
        <v>477</v>
      </c>
      <c r="O135" s="123" t="s">
        <v>478</v>
      </c>
      <c r="P135" s="123" t="s">
        <v>1092</v>
      </c>
      <c r="Q135" s="123" t="s">
        <v>1093</v>
      </c>
      <c r="R135" s="123" t="s">
        <v>1094</v>
      </c>
      <c r="S135" s="123" t="s">
        <v>1090</v>
      </c>
    </row>
    <row r="136" spans="1:19" hidden="1" x14ac:dyDescent="0.2">
      <c r="A136" s="123" t="s">
        <v>1090</v>
      </c>
      <c r="B136" s="123" t="s">
        <v>470</v>
      </c>
      <c r="C136" s="123" t="s">
        <v>471</v>
      </c>
      <c r="D136" s="123" t="s">
        <v>470</v>
      </c>
      <c r="E136" s="123" t="s">
        <v>472</v>
      </c>
      <c r="F136" s="123" t="s">
        <v>473</v>
      </c>
      <c r="G136" s="123" t="s">
        <v>474</v>
      </c>
      <c r="H136" s="123" t="s">
        <v>475</v>
      </c>
      <c r="I136" s="123" t="s">
        <v>476</v>
      </c>
      <c r="J136" s="123" t="s">
        <v>117</v>
      </c>
      <c r="K136" s="123" t="s">
        <v>118</v>
      </c>
      <c r="L136" s="123" t="s">
        <v>117</v>
      </c>
      <c r="M136" s="123" t="s">
        <v>118</v>
      </c>
      <c r="N136" s="123" t="s">
        <v>477</v>
      </c>
      <c r="O136" s="123" t="s">
        <v>478</v>
      </c>
      <c r="P136" s="123" t="s">
        <v>1095</v>
      </c>
      <c r="Q136" s="123" t="s">
        <v>1096</v>
      </c>
      <c r="R136" s="123" t="s">
        <v>1097</v>
      </c>
      <c r="S136" s="123" t="s">
        <v>1090</v>
      </c>
    </row>
    <row r="137" spans="1:19" hidden="1" x14ac:dyDescent="0.2">
      <c r="A137" s="123" t="s">
        <v>1090</v>
      </c>
      <c r="B137" s="123" t="s">
        <v>470</v>
      </c>
      <c r="C137" s="123" t="s">
        <v>471</v>
      </c>
      <c r="D137" s="123" t="s">
        <v>482</v>
      </c>
      <c r="E137" s="123" t="s">
        <v>483</v>
      </c>
      <c r="F137" s="123" t="s">
        <v>484</v>
      </c>
      <c r="G137" s="123" t="s">
        <v>485</v>
      </c>
      <c r="H137" s="123" t="s">
        <v>486</v>
      </c>
      <c r="I137" s="123" t="s">
        <v>487</v>
      </c>
      <c r="J137" s="123" t="s">
        <v>488</v>
      </c>
      <c r="K137" s="123" t="s">
        <v>183</v>
      </c>
      <c r="L137" s="123" t="s">
        <v>488</v>
      </c>
      <c r="M137" s="123" t="s">
        <v>183</v>
      </c>
      <c r="N137" s="123" t="s">
        <v>477</v>
      </c>
      <c r="O137" s="123" t="s">
        <v>478</v>
      </c>
      <c r="P137" s="123" t="s">
        <v>1098</v>
      </c>
      <c r="Q137" s="123" t="s">
        <v>1099</v>
      </c>
      <c r="R137" s="123" t="s">
        <v>1100</v>
      </c>
      <c r="S137" s="123" t="s">
        <v>1090</v>
      </c>
    </row>
    <row r="138" spans="1:19" hidden="1" x14ac:dyDescent="0.2">
      <c r="A138" s="123" t="s">
        <v>1090</v>
      </c>
      <c r="B138" s="123" t="s">
        <v>470</v>
      </c>
      <c r="C138" s="123" t="s">
        <v>471</v>
      </c>
      <c r="D138" s="123" t="s">
        <v>552</v>
      </c>
      <c r="E138" s="123" t="s">
        <v>553</v>
      </c>
      <c r="F138" s="123" t="s">
        <v>762</v>
      </c>
      <c r="G138" s="123" t="s">
        <v>763</v>
      </c>
      <c r="H138" s="123" t="s">
        <v>847</v>
      </c>
      <c r="I138" s="123" t="s">
        <v>848</v>
      </c>
      <c r="J138" s="123" t="s">
        <v>849</v>
      </c>
      <c r="K138" s="123" t="s">
        <v>387</v>
      </c>
      <c r="L138" s="123" t="s">
        <v>849</v>
      </c>
      <c r="M138" s="123" t="s">
        <v>387</v>
      </c>
      <c r="N138" s="123" t="s">
        <v>477</v>
      </c>
      <c r="O138" s="123" t="s">
        <v>478</v>
      </c>
      <c r="P138" s="123" t="s">
        <v>1101</v>
      </c>
      <c r="Q138" s="123" t="s">
        <v>1102</v>
      </c>
      <c r="R138" s="123" t="s">
        <v>1103</v>
      </c>
      <c r="S138" s="123" t="s">
        <v>1090</v>
      </c>
    </row>
    <row r="139" spans="1:19" hidden="1" x14ac:dyDescent="0.2">
      <c r="A139" s="123" t="s">
        <v>1090</v>
      </c>
      <c r="B139" s="123" t="s">
        <v>470</v>
      </c>
      <c r="C139" s="123" t="s">
        <v>471</v>
      </c>
      <c r="D139" s="123" t="s">
        <v>492</v>
      </c>
      <c r="E139" s="123" t="s">
        <v>493</v>
      </c>
      <c r="F139" s="123" t="s">
        <v>494</v>
      </c>
      <c r="G139" s="123" t="s">
        <v>495</v>
      </c>
      <c r="H139" s="123" t="s">
        <v>496</v>
      </c>
      <c r="I139" s="123" t="s">
        <v>497</v>
      </c>
      <c r="J139" s="123" t="s">
        <v>100</v>
      </c>
      <c r="K139" s="123" t="s">
        <v>101</v>
      </c>
      <c r="L139" s="123" t="s">
        <v>100</v>
      </c>
      <c r="M139" s="123" t="s">
        <v>101</v>
      </c>
      <c r="N139" s="123" t="s">
        <v>477</v>
      </c>
      <c r="O139" s="123" t="s">
        <v>478</v>
      </c>
      <c r="P139" s="123" t="s">
        <v>1104</v>
      </c>
      <c r="Q139" s="123" t="s">
        <v>1105</v>
      </c>
      <c r="R139" s="123" t="s">
        <v>1106</v>
      </c>
      <c r="S139" s="123" t="s">
        <v>1090</v>
      </c>
    </row>
    <row r="140" spans="1:19" hidden="1" x14ac:dyDescent="0.2">
      <c r="A140" s="123" t="s">
        <v>1090</v>
      </c>
      <c r="B140" s="123" t="s">
        <v>470</v>
      </c>
      <c r="C140" s="123" t="s">
        <v>471</v>
      </c>
      <c r="D140" s="123" t="s">
        <v>492</v>
      </c>
      <c r="E140" s="123" t="s">
        <v>493</v>
      </c>
      <c r="F140" s="123" t="s">
        <v>501</v>
      </c>
      <c r="G140" s="123" t="s">
        <v>502</v>
      </c>
      <c r="H140" s="123" t="s">
        <v>503</v>
      </c>
      <c r="I140" s="123" t="s">
        <v>504</v>
      </c>
      <c r="J140" s="123" t="s">
        <v>508</v>
      </c>
      <c r="K140" s="123" t="s">
        <v>163</v>
      </c>
      <c r="L140" s="123" t="s">
        <v>508</v>
      </c>
      <c r="M140" s="123" t="s">
        <v>163</v>
      </c>
      <c r="N140" s="123" t="s">
        <v>477</v>
      </c>
      <c r="O140" s="123" t="s">
        <v>478</v>
      </c>
      <c r="P140" s="123" t="s">
        <v>1107</v>
      </c>
      <c r="Q140" s="123" t="s">
        <v>1108</v>
      </c>
      <c r="R140" s="123" t="s">
        <v>1109</v>
      </c>
      <c r="S140" s="123" t="s">
        <v>1090</v>
      </c>
    </row>
    <row r="141" spans="1:19" hidden="1" x14ac:dyDescent="0.2">
      <c r="A141" s="123" t="s">
        <v>1090</v>
      </c>
      <c r="B141" s="123" t="s">
        <v>470</v>
      </c>
      <c r="C141" s="123" t="s">
        <v>471</v>
      </c>
      <c r="D141" s="123" t="s">
        <v>492</v>
      </c>
      <c r="E141" s="123" t="s">
        <v>493</v>
      </c>
      <c r="F141" s="123" t="s">
        <v>501</v>
      </c>
      <c r="G141" s="123" t="s">
        <v>502</v>
      </c>
      <c r="H141" s="123" t="s">
        <v>503</v>
      </c>
      <c r="I141" s="123" t="s">
        <v>504</v>
      </c>
      <c r="J141" s="123" t="s">
        <v>119</v>
      </c>
      <c r="K141" s="123" t="s">
        <v>120</v>
      </c>
      <c r="L141" s="123" t="s">
        <v>119</v>
      </c>
      <c r="M141" s="123" t="s">
        <v>120</v>
      </c>
      <c r="N141" s="123" t="s">
        <v>477</v>
      </c>
      <c r="O141" s="123" t="s">
        <v>478</v>
      </c>
      <c r="P141" s="123" t="s">
        <v>1110</v>
      </c>
      <c r="Q141" s="123" t="s">
        <v>1111</v>
      </c>
      <c r="R141" s="123" t="s">
        <v>1112</v>
      </c>
      <c r="S141" s="123" t="s">
        <v>1090</v>
      </c>
    </row>
    <row r="142" spans="1:19" hidden="1" x14ac:dyDescent="0.2">
      <c r="A142" s="123" t="s">
        <v>1090</v>
      </c>
      <c r="B142" s="123" t="s">
        <v>470</v>
      </c>
      <c r="C142" s="123" t="s">
        <v>471</v>
      </c>
      <c r="D142" s="123" t="s">
        <v>482</v>
      </c>
      <c r="E142" s="123" t="s">
        <v>483</v>
      </c>
      <c r="F142" s="123" t="s">
        <v>484</v>
      </c>
      <c r="G142" s="123" t="s">
        <v>485</v>
      </c>
      <c r="H142" s="123" t="s">
        <v>512</v>
      </c>
      <c r="I142" s="123" t="s">
        <v>513</v>
      </c>
      <c r="J142" s="123" t="s">
        <v>514</v>
      </c>
      <c r="K142" s="123" t="s">
        <v>181</v>
      </c>
      <c r="L142" s="123" t="s">
        <v>514</v>
      </c>
      <c r="M142" s="123" t="s">
        <v>181</v>
      </c>
      <c r="N142" s="123" t="s">
        <v>477</v>
      </c>
      <c r="O142" s="123" t="s">
        <v>478</v>
      </c>
      <c r="P142" s="123" t="s">
        <v>1113</v>
      </c>
      <c r="Q142" s="123" t="s">
        <v>1114</v>
      </c>
      <c r="R142" s="123" t="s">
        <v>1115</v>
      </c>
      <c r="S142" s="123" t="s">
        <v>1090</v>
      </c>
    </row>
    <row r="143" spans="1:19" hidden="1" x14ac:dyDescent="0.2">
      <c r="A143" s="123" t="s">
        <v>1090</v>
      </c>
      <c r="B143" s="123" t="s">
        <v>470</v>
      </c>
      <c r="C143" s="123" t="s">
        <v>471</v>
      </c>
      <c r="D143" s="123" t="s">
        <v>470</v>
      </c>
      <c r="E143" s="123" t="s">
        <v>472</v>
      </c>
      <c r="F143" s="123" t="s">
        <v>473</v>
      </c>
      <c r="G143" s="123" t="s">
        <v>474</v>
      </c>
      <c r="H143" s="123" t="s">
        <v>518</v>
      </c>
      <c r="I143" s="123" t="s">
        <v>519</v>
      </c>
      <c r="J143" s="123" t="s">
        <v>1116</v>
      </c>
      <c r="K143" s="123" t="s">
        <v>420</v>
      </c>
      <c r="L143" s="123" t="s">
        <v>1116</v>
      </c>
      <c r="M143" s="123" t="s">
        <v>420</v>
      </c>
      <c r="N143" s="123" t="s">
        <v>477</v>
      </c>
      <c r="O143" s="123" t="s">
        <v>478</v>
      </c>
      <c r="P143" s="123" t="s">
        <v>1117</v>
      </c>
      <c r="Q143" s="123" t="s">
        <v>1118</v>
      </c>
      <c r="R143" s="123" t="s">
        <v>1119</v>
      </c>
      <c r="S143" s="123" t="s">
        <v>1090</v>
      </c>
    </row>
    <row r="144" spans="1:19" hidden="1" x14ac:dyDescent="0.2">
      <c r="A144" s="123" t="s">
        <v>1090</v>
      </c>
      <c r="B144" s="123" t="s">
        <v>470</v>
      </c>
      <c r="C144" s="123" t="s">
        <v>471</v>
      </c>
      <c r="D144" s="123" t="s">
        <v>470</v>
      </c>
      <c r="E144" s="123" t="s">
        <v>472</v>
      </c>
      <c r="F144" s="123" t="s">
        <v>473</v>
      </c>
      <c r="G144" s="123" t="s">
        <v>474</v>
      </c>
      <c r="H144" s="123" t="s">
        <v>518</v>
      </c>
      <c r="I144" s="123" t="s">
        <v>519</v>
      </c>
      <c r="J144" s="123" t="s">
        <v>523</v>
      </c>
      <c r="K144" s="123" t="s">
        <v>164</v>
      </c>
      <c r="L144" s="123" t="s">
        <v>523</v>
      </c>
      <c r="M144" s="123" t="s">
        <v>164</v>
      </c>
      <c r="N144" s="123" t="s">
        <v>477</v>
      </c>
      <c r="O144" s="123" t="s">
        <v>478</v>
      </c>
      <c r="P144" s="123" t="s">
        <v>1120</v>
      </c>
      <c r="Q144" s="123" t="s">
        <v>1121</v>
      </c>
      <c r="R144" s="123" t="s">
        <v>1122</v>
      </c>
      <c r="S144" s="123" t="s">
        <v>1090</v>
      </c>
    </row>
    <row r="145" spans="1:19" hidden="1" x14ac:dyDescent="0.2">
      <c r="A145" s="123" t="s">
        <v>1090</v>
      </c>
      <c r="B145" s="123" t="s">
        <v>470</v>
      </c>
      <c r="C145" s="123" t="s">
        <v>471</v>
      </c>
      <c r="D145" s="123" t="s">
        <v>470</v>
      </c>
      <c r="E145" s="123" t="s">
        <v>472</v>
      </c>
      <c r="F145" s="123" t="s">
        <v>473</v>
      </c>
      <c r="G145" s="123" t="s">
        <v>474</v>
      </c>
      <c r="H145" s="123" t="s">
        <v>518</v>
      </c>
      <c r="I145" s="123" t="s">
        <v>519</v>
      </c>
      <c r="J145" s="123" t="s">
        <v>102</v>
      </c>
      <c r="K145" s="123" t="s">
        <v>103</v>
      </c>
      <c r="L145" s="123" t="s">
        <v>102</v>
      </c>
      <c r="M145" s="123" t="s">
        <v>103</v>
      </c>
      <c r="N145" s="123" t="s">
        <v>477</v>
      </c>
      <c r="O145" s="123" t="s">
        <v>478</v>
      </c>
      <c r="P145" s="123" t="s">
        <v>1123</v>
      </c>
      <c r="Q145" s="123" t="s">
        <v>1124</v>
      </c>
      <c r="R145" s="123" t="s">
        <v>1125</v>
      </c>
      <c r="S145" s="123" t="s">
        <v>1090</v>
      </c>
    </row>
    <row r="146" spans="1:19" hidden="1" x14ac:dyDescent="0.2">
      <c r="A146" s="123" t="s">
        <v>1090</v>
      </c>
      <c r="B146" s="123" t="s">
        <v>470</v>
      </c>
      <c r="C146" s="123" t="s">
        <v>471</v>
      </c>
      <c r="D146" s="123" t="s">
        <v>470</v>
      </c>
      <c r="E146" s="123" t="s">
        <v>472</v>
      </c>
      <c r="F146" s="123" t="s">
        <v>473</v>
      </c>
      <c r="G146" s="123" t="s">
        <v>474</v>
      </c>
      <c r="H146" s="123" t="s">
        <v>518</v>
      </c>
      <c r="I146" s="123" t="s">
        <v>519</v>
      </c>
      <c r="J146" s="123" t="s">
        <v>527</v>
      </c>
      <c r="K146" s="123" t="s">
        <v>172</v>
      </c>
      <c r="L146" s="123" t="s">
        <v>527</v>
      </c>
      <c r="M146" s="123" t="s">
        <v>172</v>
      </c>
      <c r="N146" s="123" t="s">
        <v>477</v>
      </c>
      <c r="O146" s="123" t="s">
        <v>478</v>
      </c>
      <c r="P146" s="123" t="s">
        <v>1126</v>
      </c>
      <c r="Q146" s="123" t="s">
        <v>1127</v>
      </c>
      <c r="R146" s="123" t="s">
        <v>1128</v>
      </c>
      <c r="S146" s="123" t="s">
        <v>1090</v>
      </c>
    </row>
    <row r="147" spans="1:19" hidden="1" x14ac:dyDescent="0.2">
      <c r="A147" s="123" t="s">
        <v>1090</v>
      </c>
      <c r="B147" s="123" t="s">
        <v>470</v>
      </c>
      <c r="C147" s="123" t="s">
        <v>471</v>
      </c>
      <c r="D147" s="123" t="s">
        <v>482</v>
      </c>
      <c r="E147" s="123" t="s">
        <v>483</v>
      </c>
      <c r="F147" s="123" t="s">
        <v>531</v>
      </c>
      <c r="G147" s="123" t="s">
        <v>532</v>
      </c>
      <c r="H147" s="123" t="s">
        <v>1129</v>
      </c>
      <c r="I147" s="123" t="s">
        <v>1130</v>
      </c>
      <c r="J147" s="123" t="s">
        <v>1131</v>
      </c>
      <c r="K147" s="123" t="s">
        <v>432</v>
      </c>
      <c r="L147" s="123" t="s">
        <v>1131</v>
      </c>
      <c r="M147" s="123" t="s">
        <v>432</v>
      </c>
      <c r="N147" s="123" t="s">
        <v>477</v>
      </c>
      <c r="O147" s="123" t="s">
        <v>478</v>
      </c>
      <c r="P147" s="123" t="s">
        <v>1132</v>
      </c>
      <c r="Q147" s="123" t="s">
        <v>1133</v>
      </c>
      <c r="R147" s="123" t="s">
        <v>1134</v>
      </c>
      <c r="S147" s="123" t="s">
        <v>1090</v>
      </c>
    </row>
    <row r="148" spans="1:19" hidden="1" x14ac:dyDescent="0.2">
      <c r="A148" s="123" t="s">
        <v>1090</v>
      </c>
      <c r="B148" s="123" t="s">
        <v>492</v>
      </c>
      <c r="C148" s="123" t="s">
        <v>1065</v>
      </c>
      <c r="D148" s="123" t="s">
        <v>1066</v>
      </c>
      <c r="E148" s="123" t="s">
        <v>1067</v>
      </c>
      <c r="F148" s="123" t="s">
        <v>1135</v>
      </c>
      <c r="G148" s="123" t="s">
        <v>1136</v>
      </c>
      <c r="H148" s="123" t="s">
        <v>1137</v>
      </c>
      <c r="I148" s="123" t="s">
        <v>1138</v>
      </c>
      <c r="J148" s="123" t="s">
        <v>1139</v>
      </c>
      <c r="K148" s="123" t="s">
        <v>437</v>
      </c>
      <c r="L148" s="123" t="s">
        <v>1139</v>
      </c>
      <c r="M148" s="123" t="s">
        <v>437</v>
      </c>
      <c r="N148" s="123" t="s">
        <v>477</v>
      </c>
      <c r="O148" s="123" t="s">
        <v>478</v>
      </c>
      <c r="P148" s="123" t="s">
        <v>1140</v>
      </c>
      <c r="Q148" s="123" t="s">
        <v>1141</v>
      </c>
      <c r="R148" s="123" t="s">
        <v>1142</v>
      </c>
      <c r="S148" s="123" t="s">
        <v>1090</v>
      </c>
    </row>
    <row r="149" spans="1:19" hidden="1" x14ac:dyDescent="0.2">
      <c r="A149" s="123" t="s">
        <v>1090</v>
      </c>
      <c r="B149" s="123" t="s">
        <v>470</v>
      </c>
      <c r="C149" s="123" t="s">
        <v>471</v>
      </c>
      <c r="D149" s="123" t="s">
        <v>482</v>
      </c>
      <c r="E149" s="123" t="s">
        <v>483</v>
      </c>
      <c r="F149" s="123" t="s">
        <v>531</v>
      </c>
      <c r="G149" s="123" t="s">
        <v>532</v>
      </c>
      <c r="H149" s="123" t="s">
        <v>533</v>
      </c>
      <c r="I149" s="123" t="s">
        <v>534</v>
      </c>
      <c r="J149" s="123" t="s">
        <v>535</v>
      </c>
      <c r="K149" s="123" t="s">
        <v>173</v>
      </c>
      <c r="L149" s="123" t="s">
        <v>535</v>
      </c>
      <c r="M149" s="123" t="s">
        <v>173</v>
      </c>
      <c r="N149" s="123" t="s">
        <v>477</v>
      </c>
      <c r="O149" s="123" t="s">
        <v>478</v>
      </c>
      <c r="P149" s="123" t="s">
        <v>1143</v>
      </c>
      <c r="Q149" s="123" t="s">
        <v>1144</v>
      </c>
      <c r="R149" s="123" t="s">
        <v>1145</v>
      </c>
      <c r="S149" s="123" t="s">
        <v>1090</v>
      </c>
    </row>
    <row r="150" spans="1:19" hidden="1" x14ac:dyDescent="0.2">
      <c r="A150" s="123" t="s">
        <v>1090</v>
      </c>
      <c r="B150" s="123" t="s">
        <v>470</v>
      </c>
      <c r="C150" s="123" t="s">
        <v>471</v>
      </c>
      <c r="D150" s="123" t="s">
        <v>492</v>
      </c>
      <c r="E150" s="123" t="s">
        <v>493</v>
      </c>
      <c r="F150" s="123" t="s">
        <v>501</v>
      </c>
      <c r="G150" s="123" t="s">
        <v>502</v>
      </c>
      <c r="H150" s="123" t="s">
        <v>547</v>
      </c>
      <c r="I150" s="123" t="s">
        <v>548</v>
      </c>
      <c r="J150" s="123" t="s">
        <v>85</v>
      </c>
      <c r="K150" s="123" t="s">
        <v>86</v>
      </c>
      <c r="L150" s="123" t="s">
        <v>85</v>
      </c>
      <c r="M150" s="123" t="s">
        <v>86</v>
      </c>
      <c r="N150" s="123" t="s">
        <v>477</v>
      </c>
      <c r="O150" s="123" t="s">
        <v>478</v>
      </c>
      <c r="P150" s="123" t="s">
        <v>1146</v>
      </c>
      <c r="Q150" s="123" t="s">
        <v>1147</v>
      </c>
      <c r="R150" s="123" t="s">
        <v>1148</v>
      </c>
      <c r="S150" s="123" t="s">
        <v>1090</v>
      </c>
    </row>
    <row r="151" spans="1:19" hidden="1" x14ac:dyDescent="0.2">
      <c r="A151" s="123" t="s">
        <v>1090</v>
      </c>
      <c r="B151" s="123" t="s">
        <v>470</v>
      </c>
      <c r="C151" s="123" t="s">
        <v>471</v>
      </c>
      <c r="D151" s="123" t="s">
        <v>492</v>
      </c>
      <c r="E151" s="123" t="s">
        <v>493</v>
      </c>
      <c r="F151" s="123" t="s">
        <v>501</v>
      </c>
      <c r="G151" s="123" t="s">
        <v>502</v>
      </c>
      <c r="H151" s="123" t="s">
        <v>547</v>
      </c>
      <c r="I151" s="123" t="s">
        <v>548</v>
      </c>
      <c r="J151" s="123" t="s">
        <v>1149</v>
      </c>
      <c r="K151" s="123" t="s">
        <v>434</v>
      </c>
      <c r="L151" s="123" t="s">
        <v>1149</v>
      </c>
      <c r="M151" s="123" t="s">
        <v>434</v>
      </c>
      <c r="N151" s="123" t="s">
        <v>477</v>
      </c>
      <c r="O151" s="123" t="s">
        <v>478</v>
      </c>
      <c r="P151" s="123" t="s">
        <v>1150</v>
      </c>
      <c r="Q151" s="123" t="s">
        <v>1151</v>
      </c>
      <c r="R151" s="123" t="s">
        <v>1152</v>
      </c>
      <c r="S151" s="123" t="s">
        <v>1090</v>
      </c>
    </row>
    <row r="152" spans="1:19" hidden="1" x14ac:dyDescent="0.2">
      <c r="A152" s="123" t="s">
        <v>1090</v>
      </c>
      <c r="B152" s="123" t="s">
        <v>470</v>
      </c>
      <c r="C152" s="123" t="s">
        <v>471</v>
      </c>
      <c r="D152" s="123" t="s">
        <v>552</v>
      </c>
      <c r="E152" s="123" t="s">
        <v>553</v>
      </c>
      <c r="F152" s="123" t="s">
        <v>554</v>
      </c>
      <c r="G152" s="123" t="s">
        <v>555</v>
      </c>
      <c r="H152" s="123" t="s">
        <v>556</v>
      </c>
      <c r="I152" s="123" t="s">
        <v>557</v>
      </c>
      <c r="J152" s="123" t="s">
        <v>558</v>
      </c>
      <c r="K152" s="123" t="s">
        <v>189</v>
      </c>
      <c r="L152" s="123" t="s">
        <v>558</v>
      </c>
      <c r="M152" s="123" t="s">
        <v>189</v>
      </c>
      <c r="N152" s="123" t="s">
        <v>477</v>
      </c>
      <c r="O152" s="123" t="s">
        <v>478</v>
      </c>
      <c r="P152" s="123" t="s">
        <v>1153</v>
      </c>
      <c r="Q152" s="123" t="s">
        <v>1154</v>
      </c>
      <c r="R152" s="123" t="s">
        <v>1155</v>
      </c>
      <c r="S152" s="123" t="s">
        <v>1090</v>
      </c>
    </row>
    <row r="153" spans="1:19" hidden="1" x14ac:dyDescent="0.2">
      <c r="A153" s="123" t="s">
        <v>1090</v>
      </c>
      <c r="B153" s="123" t="s">
        <v>470</v>
      </c>
      <c r="C153" s="123" t="s">
        <v>471</v>
      </c>
      <c r="D153" s="123" t="s">
        <v>470</v>
      </c>
      <c r="E153" s="123" t="s">
        <v>472</v>
      </c>
      <c r="F153" s="123" t="s">
        <v>562</v>
      </c>
      <c r="G153" s="123" t="s">
        <v>563</v>
      </c>
      <c r="H153" s="123" t="s">
        <v>564</v>
      </c>
      <c r="I153" s="123" t="s">
        <v>565</v>
      </c>
      <c r="J153" s="123" t="s">
        <v>68</v>
      </c>
      <c r="K153" s="123" t="s">
        <v>69</v>
      </c>
      <c r="L153" s="123" t="s">
        <v>68</v>
      </c>
      <c r="M153" s="123" t="s">
        <v>69</v>
      </c>
      <c r="N153" s="123" t="s">
        <v>477</v>
      </c>
      <c r="O153" s="123" t="s">
        <v>478</v>
      </c>
      <c r="P153" s="123" t="s">
        <v>1156</v>
      </c>
      <c r="Q153" s="123" t="s">
        <v>1157</v>
      </c>
      <c r="R153" s="123" t="s">
        <v>1158</v>
      </c>
      <c r="S153" s="123" t="s">
        <v>1090</v>
      </c>
    </row>
    <row r="154" spans="1:19" hidden="1" x14ac:dyDescent="0.2">
      <c r="A154" s="123" t="s">
        <v>1090</v>
      </c>
      <c r="B154" s="123" t="s">
        <v>470</v>
      </c>
      <c r="C154" s="123" t="s">
        <v>471</v>
      </c>
      <c r="D154" s="123" t="s">
        <v>482</v>
      </c>
      <c r="E154" s="123" t="s">
        <v>483</v>
      </c>
      <c r="F154" s="123" t="s">
        <v>597</v>
      </c>
      <c r="G154" s="123" t="s">
        <v>598</v>
      </c>
      <c r="H154" s="123" t="s">
        <v>1159</v>
      </c>
      <c r="I154" s="123" t="s">
        <v>1160</v>
      </c>
      <c r="J154" s="123" t="s">
        <v>1161</v>
      </c>
      <c r="K154" s="123" t="s">
        <v>421</v>
      </c>
      <c r="L154" s="123" t="s">
        <v>1161</v>
      </c>
      <c r="M154" s="123" t="s">
        <v>421</v>
      </c>
      <c r="N154" s="123" t="s">
        <v>477</v>
      </c>
      <c r="O154" s="123" t="s">
        <v>478</v>
      </c>
      <c r="P154" s="123" t="s">
        <v>1162</v>
      </c>
      <c r="Q154" s="123" t="s">
        <v>1163</v>
      </c>
      <c r="R154" s="123" t="s">
        <v>1164</v>
      </c>
      <c r="S154" s="123" t="s">
        <v>1090</v>
      </c>
    </row>
    <row r="155" spans="1:19" hidden="1" x14ac:dyDescent="0.2">
      <c r="A155" s="123" t="s">
        <v>1090</v>
      </c>
      <c r="B155" s="123" t="s">
        <v>470</v>
      </c>
      <c r="C155" s="123" t="s">
        <v>471</v>
      </c>
      <c r="D155" s="123" t="s">
        <v>552</v>
      </c>
      <c r="E155" s="123" t="s">
        <v>553</v>
      </c>
      <c r="F155" s="123" t="s">
        <v>569</v>
      </c>
      <c r="G155" s="123" t="s">
        <v>570</v>
      </c>
      <c r="H155" s="123" t="s">
        <v>571</v>
      </c>
      <c r="I155" s="123" t="s">
        <v>572</v>
      </c>
      <c r="J155" s="123" t="s">
        <v>87</v>
      </c>
      <c r="K155" s="123" t="s">
        <v>88</v>
      </c>
      <c r="L155" s="123" t="s">
        <v>87</v>
      </c>
      <c r="M155" s="123" t="s">
        <v>88</v>
      </c>
      <c r="N155" s="123" t="s">
        <v>477</v>
      </c>
      <c r="O155" s="123" t="s">
        <v>478</v>
      </c>
      <c r="P155" s="123" t="s">
        <v>1165</v>
      </c>
      <c r="Q155" s="123" t="s">
        <v>1166</v>
      </c>
      <c r="R155" s="123" t="s">
        <v>1167</v>
      </c>
      <c r="S155" s="123" t="s">
        <v>1090</v>
      </c>
    </row>
    <row r="156" spans="1:19" hidden="1" x14ac:dyDescent="0.2">
      <c r="A156" s="123" t="s">
        <v>1090</v>
      </c>
      <c r="B156" s="123" t="s">
        <v>470</v>
      </c>
      <c r="C156" s="123" t="s">
        <v>471</v>
      </c>
      <c r="D156" s="123" t="s">
        <v>552</v>
      </c>
      <c r="E156" s="123" t="s">
        <v>553</v>
      </c>
      <c r="F156" s="123" t="s">
        <v>569</v>
      </c>
      <c r="G156" s="123" t="s">
        <v>570</v>
      </c>
      <c r="H156" s="123" t="s">
        <v>571</v>
      </c>
      <c r="I156" s="123" t="s">
        <v>572</v>
      </c>
      <c r="J156" s="123" t="s">
        <v>72</v>
      </c>
      <c r="K156" s="123" t="s">
        <v>73</v>
      </c>
      <c r="L156" s="123" t="s">
        <v>72</v>
      </c>
      <c r="M156" s="123" t="s">
        <v>73</v>
      </c>
      <c r="N156" s="123" t="s">
        <v>477</v>
      </c>
      <c r="O156" s="123" t="s">
        <v>478</v>
      </c>
      <c r="P156" s="123" t="s">
        <v>1168</v>
      </c>
      <c r="Q156" s="123" t="s">
        <v>1169</v>
      </c>
      <c r="R156" s="123" t="s">
        <v>1170</v>
      </c>
      <c r="S156" s="123" t="s">
        <v>1090</v>
      </c>
    </row>
    <row r="157" spans="1:19" hidden="1" x14ac:dyDescent="0.2">
      <c r="A157" s="123" t="s">
        <v>1090</v>
      </c>
      <c r="B157" s="123" t="s">
        <v>470</v>
      </c>
      <c r="C157" s="123" t="s">
        <v>471</v>
      </c>
      <c r="D157" s="123" t="s">
        <v>552</v>
      </c>
      <c r="E157" s="123" t="s">
        <v>553</v>
      </c>
      <c r="F157" s="123" t="s">
        <v>569</v>
      </c>
      <c r="G157" s="123" t="s">
        <v>570</v>
      </c>
      <c r="H157" s="123" t="s">
        <v>571</v>
      </c>
      <c r="I157" s="123" t="s">
        <v>572</v>
      </c>
      <c r="J157" s="123" t="s">
        <v>29</v>
      </c>
      <c r="K157" s="123" t="s">
        <v>30</v>
      </c>
      <c r="L157" s="123" t="s">
        <v>29</v>
      </c>
      <c r="M157" s="123" t="s">
        <v>30</v>
      </c>
      <c r="N157" s="123" t="s">
        <v>477</v>
      </c>
      <c r="O157" s="123" t="s">
        <v>478</v>
      </c>
      <c r="P157" s="123" t="s">
        <v>1171</v>
      </c>
      <c r="Q157" s="123" t="s">
        <v>1172</v>
      </c>
      <c r="R157" s="123" t="s">
        <v>1173</v>
      </c>
      <c r="S157" s="123" t="s">
        <v>1090</v>
      </c>
    </row>
    <row r="158" spans="1:19" hidden="1" x14ac:dyDescent="0.2">
      <c r="A158" s="123" t="s">
        <v>1090</v>
      </c>
      <c r="B158" s="123" t="s">
        <v>470</v>
      </c>
      <c r="C158" s="123" t="s">
        <v>471</v>
      </c>
      <c r="D158" s="123" t="s">
        <v>552</v>
      </c>
      <c r="E158" s="123" t="s">
        <v>553</v>
      </c>
      <c r="F158" s="123" t="s">
        <v>569</v>
      </c>
      <c r="G158" s="123" t="s">
        <v>570</v>
      </c>
      <c r="H158" s="123" t="s">
        <v>892</v>
      </c>
      <c r="I158" s="123" t="s">
        <v>893</v>
      </c>
      <c r="J158" s="123" t="s">
        <v>894</v>
      </c>
      <c r="K158" s="123" t="s">
        <v>185</v>
      </c>
      <c r="L158" s="123" t="s">
        <v>894</v>
      </c>
      <c r="M158" s="123" t="s">
        <v>185</v>
      </c>
      <c r="N158" s="123" t="s">
        <v>477</v>
      </c>
      <c r="O158" s="123" t="s">
        <v>478</v>
      </c>
      <c r="P158" s="123" t="s">
        <v>1174</v>
      </c>
      <c r="Q158" s="123" t="s">
        <v>1175</v>
      </c>
      <c r="R158" s="123" t="s">
        <v>1176</v>
      </c>
      <c r="S158" s="123" t="s">
        <v>1090</v>
      </c>
    </row>
    <row r="159" spans="1:19" hidden="1" x14ac:dyDescent="0.2">
      <c r="A159" s="123" t="s">
        <v>1090</v>
      </c>
      <c r="B159" s="123" t="s">
        <v>470</v>
      </c>
      <c r="C159" s="123" t="s">
        <v>471</v>
      </c>
      <c r="D159" s="123" t="s">
        <v>492</v>
      </c>
      <c r="E159" s="123" t="s">
        <v>493</v>
      </c>
      <c r="F159" s="123" t="s">
        <v>770</v>
      </c>
      <c r="G159" s="123" t="s">
        <v>771</v>
      </c>
      <c r="H159" s="123" t="s">
        <v>898</v>
      </c>
      <c r="I159" s="123" t="s">
        <v>899</v>
      </c>
      <c r="J159" s="123" t="s">
        <v>42</v>
      </c>
      <c r="K159" s="123" t="s">
        <v>43</v>
      </c>
      <c r="L159" s="123" t="s">
        <v>42</v>
      </c>
      <c r="M159" s="123" t="s">
        <v>43</v>
      </c>
      <c r="N159" s="123" t="s">
        <v>477</v>
      </c>
      <c r="O159" s="123" t="s">
        <v>478</v>
      </c>
      <c r="P159" s="123" t="s">
        <v>1177</v>
      </c>
      <c r="Q159" s="123" t="s">
        <v>1178</v>
      </c>
      <c r="R159" s="123" t="s">
        <v>1179</v>
      </c>
      <c r="S159" s="123" t="s">
        <v>1090</v>
      </c>
    </row>
    <row r="160" spans="1:19" hidden="1" x14ac:dyDescent="0.2">
      <c r="A160" s="123" t="s">
        <v>1090</v>
      </c>
      <c r="B160" s="123" t="s">
        <v>470</v>
      </c>
      <c r="C160" s="123" t="s">
        <v>471</v>
      </c>
      <c r="D160" s="123" t="s">
        <v>482</v>
      </c>
      <c r="E160" s="123" t="s">
        <v>483</v>
      </c>
      <c r="F160" s="123" t="s">
        <v>484</v>
      </c>
      <c r="G160" s="123" t="s">
        <v>485</v>
      </c>
      <c r="H160" s="123" t="s">
        <v>582</v>
      </c>
      <c r="I160" s="123" t="s">
        <v>583</v>
      </c>
      <c r="J160" s="123" t="s">
        <v>1180</v>
      </c>
      <c r="K160" s="123" t="s">
        <v>1181</v>
      </c>
      <c r="L160" s="123" t="s">
        <v>1180</v>
      </c>
      <c r="M160" s="123" t="s">
        <v>1181</v>
      </c>
      <c r="N160" s="123" t="s">
        <v>477</v>
      </c>
      <c r="O160" s="123" t="s">
        <v>478</v>
      </c>
      <c r="P160" s="123" t="s">
        <v>1182</v>
      </c>
      <c r="Q160" s="123" t="s">
        <v>1183</v>
      </c>
      <c r="R160" s="123" t="s">
        <v>1184</v>
      </c>
      <c r="S160" s="123" t="s">
        <v>1090</v>
      </c>
    </row>
    <row r="161" spans="1:19" hidden="1" x14ac:dyDescent="0.2">
      <c r="A161" s="123" t="s">
        <v>1090</v>
      </c>
      <c r="B161" s="123" t="s">
        <v>470</v>
      </c>
      <c r="C161" s="123" t="s">
        <v>471</v>
      </c>
      <c r="D161" s="123" t="s">
        <v>482</v>
      </c>
      <c r="E161" s="123" t="s">
        <v>483</v>
      </c>
      <c r="F161" s="123" t="s">
        <v>484</v>
      </c>
      <c r="G161" s="123" t="s">
        <v>485</v>
      </c>
      <c r="H161" s="123" t="s">
        <v>582</v>
      </c>
      <c r="I161" s="123" t="s">
        <v>583</v>
      </c>
      <c r="J161" s="123" t="s">
        <v>89</v>
      </c>
      <c r="K161" s="123" t="s">
        <v>90</v>
      </c>
      <c r="L161" s="123" t="s">
        <v>89</v>
      </c>
      <c r="M161" s="123" t="s">
        <v>90</v>
      </c>
      <c r="N161" s="123" t="s">
        <v>477</v>
      </c>
      <c r="O161" s="123" t="s">
        <v>478</v>
      </c>
      <c r="P161" s="123" t="s">
        <v>1185</v>
      </c>
      <c r="Q161" s="123" t="s">
        <v>1186</v>
      </c>
      <c r="R161" s="123" t="s">
        <v>1187</v>
      </c>
      <c r="S161" s="123" t="s">
        <v>1090</v>
      </c>
    </row>
    <row r="162" spans="1:19" hidden="1" x14ac:dyDescent="0.2">
      <c r="A162" s="123" t="s">
        <v>1090</v>
      </c>
      <c r="B162" s="123" t="s">
        <v>470</v>
      </c>
      <c r="C162" s="123" t="s">
        <v>471</v>
      </c>
      <c r="D162" s="123" t="s">
        <v>482</v>
      </c>
      <c r="E162" s="123" t="s">
        <v>483</v>
      </c>
      <c r="F162" s="123" t="s">
        <v>484</v>
      </c>
      <c r="G162" s="123" t="s">
        <v>485</v>
      </c>
      <c r="H162" s="123" t="s">
        <v>587</v>
      </c>
      <c r="I162" s="123" t="s">
        <v>588</v>
      </c>
      <c r="J162" s="123" t="s">
        <v>913</v>
      </c>
      <c r="K162" s="123" t="s">
        <v>180</v>
      </c>
      <c r="L162" s="123" t="s">
        <v>913</v>
      </c>
      <c r="M162" s="123" t="s">
        <v>180</v>
      </c>
      <c r="N162" s="123" t="s">
        <v>477</v>
      </c>
      <c r="O162" s="123" t="s">
        <v>478</v>
      </c>
      <c r="P162" s="123" t="s">
        <v>1188</v>
      </c>
      <c r="Q162" s="123" t="s">
        <v>1189</v>
      </c>
      <c r="R162" s="123" t="s">
        <v>1190</v>
      </c>
      <c r="S162" s="123" t="s">
        <v>1090</v>
      </c>
    </row>
    <row r="163" spans="1:19" hidden="1" x14ac:dyDescent="0.2">
      <c r="A163" s="123" t="s">
        <v>1090</v>
      </c>
      <c r="B163" s="123" t="s">
        <v>470</v>
      </c>
      <c r="C163" s="123" t="s">
        <v>471</v>
      </c>
      <c r="D163" s="123" t="s">
        <v>482</v>
      </c>
      <c r="E163" s="123" t="s">
        <v>483</v>
      </c>
      <c r="F163" s="123" t="s">
        <v>484</v>
      </c>
      <c r="G163" s="123" t="s">
        <v>485</v>
      </c>
      <c r="H163" s="123" t="s">
        <v>587</v>
      </c>
      <c r="I163" s="123" t="s">
        <v>588</v>
      </c>
      <c r="J163" s="123" t="s">
        <v>121</v>
      </c>
      <c r="K163" s="123" t="s">
        <v>122</v>
      </c>
      <c r="L163" s="123" t="s">
        <v>121</v>
      </c>
      <c r="M163" s="123" t="s">
        <v>122</v>
      </c>
      <c r="N163" s="123" t="s">
        <v>477</v>
      </c>
      <c r="O163" s="123" t="s">
        <v>478</v>
      </c>
      <c r="P163" s="123" t="s">
        <v>1191</v>
      </c>
      <c r="Q163" s="123" t="s">
        <v>1192</v>
      </c>
      <c r="R163" s="123" t="s">
        <v>1193</v>
      </c>
      <c r="S163" s="123" t="s">
        <v>1090</v>
      </c>
    </row>
    <row r="164" spans="1:19" hidden="1" x14ac:dyDescent="0.2">
      <c r="A164" s="123" t="s">
        <v>1090</v>
      </c>
      <c r="B164" s="123" t="s">
        <v>470</v>
      </c>
      <c r="C164" s="123" t="s">
        <v>471</v>
      </c>
      <c r="D164" s="123" t="s">
        <v>482</v>
      </c>
      <c r="E164" s="123" t="s">
        <v>483</v>
      </c>
      <c r="F164" s="123" t="s">
        <v>484</v>
      </c>
      <c r="G164" s="123" t="s">
        <v>485</v>
      </c>
      <c r="H164" s="123" t="s">
        <v>587</v>
      </c>
      <c r="I164" s="123" t="s">
        <v>588</v>
      </c>
      <c r="J164" s="123" t="s">
        <v>906</v>
      </c>
      <c r="K164" s="123" t="s">
        <v>179</v>
      </c>
      <c r="L164" s="123" t="s">
        <v>906</v>
      </c>
      <c r="M164" s="123" t="s">
        <v>179</v>
      </c>
      <c r="N164" s="123" t="s">
        <v>477</v>
      </c>
      <c r="O164" s="123" t="s">
        <v>478</v>
      </c>
      <c r="P164" s="123" t="s">
        <v>1194</v>
      </c>
      <c r="Q164" s="123" t="s">
        <v>1195</v>
      </c>
      <c r="R164" s="123" t="s">
        <v>1196</v>
      </c>
      <c r="S164" s="123" t="s">
        <v>1090</v>
      </c>
    </row>
    <row r="165" spans="1:19" hidden="1" x14ac:dyDescent="0.2">
      <c r="A165" s="123" t="s">
        <v>1090</v>
      </c>
      <c r="B165" s="123" t="s">
        <v>470</v>
      </c>
      <c r="C165" s="123" t="s">
        <v>471</v>
      </c>
      <c r="D165" s="123" t="s">
        <v>552</v>
      </c>
      <c r="E165" s="123" t="s">
        <v>553</v>
      </c>
      <c r="F165" s="123" t="s">
        <v>789</v>
      </c>
      <c r="G165" s="123" t="s">
        <v>790</v>
      </c>
      <c r="H165" s="123" t="s">
        <v>1197</v>
      </c>
      <c r="I165" s="123" t="s">
        <v>1198</v>
      </c>
      <c r="J165" s="123" t="s">
        <v>1199</v>
      </c>
      <c r="K165" s="123" t="s">
        <v>419</v>
      </c>
      <c r="L165" s="123" t="s">
        <v>1199</v>
      </c>
      <c r="M165" s="123" t="s">
        <v>419</v>
      </c>
      <c r="N165" s="123" t="s">
        <v>477</v>
      </c>
      <c r="O165" s="123" t="s">
        <v>478</v>
      </c>
      <c r="P165" s="123" t="s">
        <v>1200</v>
      </c>
      <c r="Q165" s="123" t="s">
        <v>1201</v>
      </c>
      <c r="R165" s="123" t="s">
        <v>1202</v>
      </c>
      <c r="S165" s="123" t="s">
        <v>1090</v>
      </c>
    </row>
    <row r="166" spans="1:19" hidden="1" x14ac:dyDescent="0.2">
      <c r="A166" s="123" t="s">
        <v>1090</v>
      </c>
      <c r="B166" s="123" t="s">
        <v>470</v>
      </c>
      <c r="C166" s="123" t="s">
        <v>471</v>
      </c>
      <c r="D166" s="123" t="s">
        <v>492</v>
      </c>
      <c r="E166" s="123" t="s">
        <v>493</v>
      </c>
      <c r="F166" s="123" t="s">
        <v>494</v>
      </c>
      <c r="G166" s="123" t="s">
        <v>495</v>
      </c>
      <c r="H166" s="123" t="s">
        <v>592</v>
      </c>
      <c r="I166" s="123" t="s">
        <v>593</v>
      </c>
      <c r="J166" s="123" t="s">
        <v>123</v>
      </c>
      <c r="K166" s="123" t="s">
        <v>124</v>
      </c>
      <c r="L166" s="123" t="s">
        <v>123</v>
      </c>
      <c r="M166" s="123" t="s">
        <v>124</v>
      </c>
      <c r="N166" s="123" t="s">
        <v>477</v>
      </c>
      <c r="O166" s="123" t="s">
        <v>478</v>
      </c>
      <c r="P166" s="123" t="s">
        <v>1203</v>
      </c>
      <c r="Q166" s="123" t="s">
        <v>1204</v>
      </c>
      <c r="R166" s="123" t="s">
        <v>1205</v>
      </c>
      <c r="S166" s="123" t="s">
        <v>1090</v>
      </c>
    </row>
    <row r="167" spans="1:19" hidden="1" x14ac:dyDescent="0.2">
      <c r="A167" s="123" t="s">
        <v>1090</v>
      </c>
      <c r="B167" s="123" t="s">
        <v>470</v>
      </c>
      <c r="C167" s="123" t="s">
        <v>471</v>
      </c>
      <c r="D167" s="123" t="s">
        <v>492</v>
      </c>
      <c r="E167" s="123" t="s">
        <v>493</v>
      </c>
      <c r="F167" s="123" t="s">
        <v>671</v>
      </c>
      <c r="G167" s="123" t="s">
        <v>672</v>
      </c>
      <c r="H167" s="123" t="s">
        <v>1206</v>
      </c>
      <c r="I167" s="123" t="s">
        <v>1207</v>
      </c>
      <c r="J167" s="123" t="s">
        <v>1208</v>
      </c>
      <c r="K167" s="123" t="s">
        <v>431</v>
      </c>
      <c r="L167" s="123" t="s">
        <v>1208</v>
      </c>
      <c r="M167" s="123" t="s">
        <v>431</v>
      </c>
      <c r="N167" s="123" t="s">
        <v>477</v>
      </c>
      <c r="O167" s="123" t="s">
        <v>478</v>
      </c>
      <c r="P167" s="123" t="s">
        <v>1209</v>
      </c>
      <c r="Q167" s="123" t="s">
        <v>1210</v>
      </c>
      <c r="R167" s="123" t="s">
        <v>1211</v>
      </c>
      <c r="S167" s="123" t="s">
        <v>1090</v>
      </c>
    </row>
    <row r="168" spans="1:19" hidden="1" x14ac:dyDescent="0.2">
      <c r="A168" s="123" t="s">
        <v>1090</v>
      </c>
      <c r="B168" s="123" t="s">
        <v>470</v>
      </c>
      <c r="C168" s="123" t="s">
        <v>471</v>
      </c>
      <c r="D168" s="123" t="s">
        <v>482</v>
      </c>
      <c r="E168" s="123" t="s">
        <v>483</v>
      </c>
      <c r="F168" s="123" t="s">
        <v>597</v>
      </c>
      <c r="G168" s="123" t="s">
        <v>598</v>
      </c>
      <c r="H168" s="123" t="s">
        <v>599</v>
      </c>
      <c r="I168" s="123" t="s">
        <v>600</v>
      </c>
      <c r="J168" s="123" t="s">
        <v>601</v>
      </c>
      <c r="K168" s="123" t="s">
        <v>182</v>
      </c>
      <c r="L168" s="123" t="s">
        <v>601</v>
      </c>
      <c r="M168" s="123" t="s">
        <v>182</v>
      </c>
      <c r="N168" s="123" t="s">
        <v>477</v>
      </c>
      <c r="O168" s="123" t="s">
        <v>478</v>
      </c>
      <c r="P168" s="123" t="s">
        <v>1212</v>
      </c>
      <c r="Q168" s="123" t="s">
        <v>1213</v>
      </c>
      <c r="R168" s="123" t="s">
        <v>1214</v>
      </c>
      <c r="S168" s="123" t="s">
        <v>1090</v>
      </c>
    </row>
    <row r="169" spans="1:19" hidden="1" x14ac:dyDescent="0.2">
      <c r="A169" s="123" t="s">
        <v>1090</v>
      </c>
      <c r="B169" s="123" t="s">
        <v>470</v>
      </c>
      <c r="C169" s="123" t="s">
        <v>471</v>
      </c>
      <c r="D169" s="123" t="s">
        <v>482</v>
      </c>
      <c r="E169" s="123" t="s">
        <v>483</v>
      </c>
      <c r="F169" s="123" t="s">
        <v>597</v>
      </c>
      <c r="G169" s="123" t="s">
        <v>598</v>
      </c>
      <c r="H169" s="123" t="s">
        <v>599</v>
      </c>
      <c r="I169" s="123" t="s">
        <v>600</v>
      </c>
      <c r="J169" s="123" t="s">
        <v>1215</v>
      </c>
      <c r="K169" s="123" t="s">
        <v>428</v>
      </c>
      <c r="L169" s="123" t="s">
        <v>1215</v>
      </c>
      <c r="M169" s="123" t="s">
        <v>428</v>
      </c>
      <c r="N169" s="123" t="s">
        <v>477</v>
      </c>
      <c r="O169" s="123" t="s">
        <v>478</v>
      </c>
      <c r="P169" s="123" t="s">
        <v>1216</v>
      </c>
      <c r="Q169" s="123" t="s">
        <v>1217</v>
      </c>
      <c r="R169" s="123" t="s">
        <v>1218</v>
      </c>
      <c r="S169" s="123" t="s">
        <v>1090</v>
      </c>
    </row>
    <row r="170" spans="1:19" hidden="1" x14ac:dyDescent="0.2">
      <c r="A170" s="123" t="s">
        <v>1090</v>
      </c>
      <c r="B170" s="123" t="s">
        <v>470</v>
      </c>
      <c r="C170" s="123" t="s">
        <v>471</v>
      </c>
      <c r="D170" s="123" t="s">
        <v>470</v>
      </c>
      <c r="E170" s="123" t="s">
        <v>472</v>
      </c>
      <c r="F170" s="123" t="s">
        <v>605</v>
      </c>
      <c r="G170" s="123" t="s">
        <v>606</v>
      </c>
      <c r="H170" s="123" t="s">
        <v>607</v>
      </c>
      <c r="I170" s="123" t="s">
        <v>608</v>
      </c>
      <c r="J170" s="123" t="s">
        <v>609</v>
      </c>
      <c r="K170" s="123" t="s">
        <v>386</v>
      </c>
      <c r="L170" s="123" t="s">
        <v>609</v>
      </c>
      <c r="M170" s="123" t="s">
        <v>386</v>
      </c>
      <c r="N170" s="123" t="s">
        <v>477</v>
      </c>
      <c r="O170" s="123" t="s">
        <v>478</v>
      </c>
      <c r="P170" s="123" t="s">
        <v>1219</v>
      </c>
      <c r="Q170" s="123" t="s">
        <v>1220</v>
      </c>
      <c r="R170" s="123" t="s">
        <v>1221</v>
      </c>
      <c r="S170" s="123" t="s">
        <v>1090</v>
      </c>
    </row>
    <row r="171" spans="1:19" hidden="1" x14ac:dyDescent="0.2">
      <c r="A171" s="123" t="s">
        <v>1090</v>
      </c>
      <c r="B171" s="123" t="s">
        <v>470</v>
      </c>
      <c r="C171" s="123" t="s">
        <v>471</v>
      </c>
      <c r="D171" s="123" t="s">
        <v>492</v>
      </c>
      <c r="E171" s="123" t="s">
        <v>493</v>
      </c>
      <c r="F171" s="123" t="s">
        <v>501</v>
      </c>
      <c r="G171" s="123" t="s">
        <v>502</v>
      </c>
      <c r="H171" s="123" t="s">
        <v>613</v>
      </c>
      <c r="I171" s="123" t="s">
        <v>614</v>
      </c>
      <c r="J171" s="123" t="s">
        <v>615</v>
      </c>
      <c r="K171" s="123" t="s">
        <v>167</v>
      </c>
      <c r="L171" s="123" t="s">
        <v>615</v>
      </c>
      <c r="M171" s="123" t="s">
        <v>167</v>
      </c>
      <c r="N171" s="123" t="s">
        <v>477</v>
      </c>
      <c r="O171" s="123" t="s">
        <v>478</v>
      </c>
      <c r="P171" s="123" t="s">
        <v>1222</v>
      </c>
      <c r="Q171" s="123" t="s">
        <v>1223</v>
      </c>
      <c r="R171" s="123" t="s">
        <v>1224</v>
      </c>
      <c r="S171" s="123" t="s">
        <v>1090</v>
      </c>
    </row>
    <row r="172" spans="1:19" hidden="1" x14ac:dyDescent="0.2">
      <c r="A172" s="123" t="s">
        <v>1090</v>
      </c>
      <c r="B172" s="123" t="s">
        <v>470</v>
      </c>
      <c r="C172" s="123" t="s">
        <v>471</v>
      </c>
      <c r="D172" s="123" t="s">
        <v>492</v>
      </c>
      <c r="E172" s="123" t="s">
        <v>493</v>
      </c>
      <c r="F172" s="123" t="s">
        <v>619</v>
      </c>
      <c r="G172" s="123" t="s">
        <v>620</v>
      </c>
      <c r="H172" s="123" t="s">
        <v>621</v>
      </c>
      <c r="I172" s="123" t="s">
        <v>622</v>
      </c>
      <c r="J172" s="123" t="s">
        <v>1225</v>
      </c>
      <c r="K172" s="123" t="s">
        <v>424</v>
      </c>
      <c r="L172" s="123" t="s">
        <v>1225</v>
      </c>
      <c r="M172" s="123" t="s">
        <v>424</v>
      </c>
      <c r="N172" s="123" t="s">
        <v>477</v>
      </c>
      <c r="O172" s="123" t="s">
        <v>478</v>
      </c>
      <c r="P172" s="123" t="s">
        <v>1226</v>
      </c>
      <c r="Q172" s="123" t="s">
        <v>1227</v>
      </c>
      <c r="R172" s="123" t="s">
        <v>1228</v>
      </c>
      <c r="S172" s="123" t="s">
        <v>1090</v>
      </c>
    </row>
    <row r="173" spans="1:19" hidden="1" x14ac:dyDescent="0.2">
      <c r="A173" s="123" t="s">
        <v>1090</v>
      </c>
      <c r="B173" s="123" t="s">
        <v>470</v>
      </c>
      <c r="C173" s="123" t="s">
        <v>471</v>
      </c>
      <c r="D173" s="123" t="s">
        <v>492</v>
      </c>
      <c r="E173" s="123" t="s">
        <v>493</v>
      </c>
      <c r="F173" s="123" t="s">
        <v>619</v>
      </c>
      <c r="G173" s="123" t="s">
        <v>620</v>
      </c>
      <c r="H173" s="123" t="s">
        <v>621</v>
      </c>
      <c r="I173" s="123" t="s">
        <v>622</v>
      </c>
      <c r="J173" s="123" t="s">
        <v>623</v>
      </c>
      <c r="K173" s="123" t="s">
        <v>382</v>
      </c>
      <c r="L173" s="123" t="s">
        <v>623</v>
      </c>
      <c r="M173" s="123" t="s">
        <v>382</v>
      </c>
      <c r="N173" s="123" t="s">
        <v>477</v>
      </c>
      <c r="O173" s="123" t="s">
        <v>478</v>
      </c>
      <c r="P173" s="123" t="s">
        <v>1229</v>
      </c>
      <c r="Q173" s="123" t="s">
        <v>1230</v>
      </c>
      <c r="R173" s="123" t="s">
        <v>1231</v>
      </c>
      <c r="S173" s="123" t="s">
        <v>1090</v>
      </c>
    </row>
    <row r="174" spans="1:19" hidden="1" x14ac:dyDescent="0.2">
      <c r="A174" s="123" t="s">
        <v>1090</v>
      </c>
      <c r="B174" s="123" t="s">
        <v>470</v>
      </c>
      <c r="C174" s="123" t="s">
        <v>471</v>
      </c>
      <c r="D174" s="123" t="s">
        <v>492</v>
      </c>
      <c r="E174" s="123" t="s">
        <v>493</v>
      </c>
      <c r="F174" s="123" t="s">
        <v>658</v>
      </c>
      <c r="G174" s="123" t="s">
        <v>659</v>
      </c>
      <c r="H174" s="123" t="s">
        <v>1232</v>
      </c>
      <c r="I174" s="123" t="s">
        <v>1233</v>
      </c>
      <c r="J174" s="123" t="s">
        <v>169</v>
      </c>
      <c r="K174" s="123" t="s">
        <v>170</v>
      </c>
      <c r="L174" s="123" t="s">
        <v>169</v>
      </c>
      <c r="M174" s="123" t="s">
        <v>170</v>
      </c>
      <c r="N174" s="123" t="s">
        <v>477</v>
      </c>
      <c r="O174" s="123" t="s">
        <v>478</v>
      </c>
      <c r="P174" s="123" t="s">
        <v>1234</v>
      </c>
      <c r="Q174" s="123" t="s">
        <v>1235</v>
      </c>
      <c r="R174" s="123" t="s">
        <v>1236</v>
      </c>
      <c r="S174" s="123" t="s">
        <v>1090</v>
      </c>
    </row>
    <row r="175" spans="1:19" hidden="1" x14ac:dyDescent="0.2">
      <c r="A175" s="123" t="s">
        <v>1090</v>
      </c>
      <c r="B175" s="123" t="s">
        <v>470</v>
      </c>
      <c r="C175" s="123" t="s">
        <v>471</v>
      </c>
      <c r="D175" s="123" t="s">
        <v>482</v>
      </c>
      <c r="E175" s="123" t="s">
        <v>483</v>
      </c>
      <c r="F175" s="123" t="s">
        <v>627</v>
      </c>
      <c r="G175" s="123" t="s">
        <v>628</v>
      </c>
      <c r="H175" s="123" t="s">
        <v>629</v>
      </c>
      <c r="I175" s="123" t="s">
        <v>630</v>
      </c>
      <c r="J175" s="123" t="s">
        <v>57</v>
      </c>
      <c r="K175" s="123" t="s">
        <v>58</v>
      </c>
      <c r="L175" s="123" t="s">
        <v>57</v>
      </c>
      <c r="M175" s="123" t="s">
        <v>58</v>
      </c>
      <c r="N175" s="123" t="s">
        <v>477</v>
      </c>
      <c r="O175" s="123" t="s">
        <v>478</v>
      </c>
      <c r="P175" s="123" t="s">
        <v>1237</v>
      </c>
      <c r="Q175" s="123" t="s">
        <v>1238</v>
      </c>
      <c r="R175" s="123" t="s">
        <v>1239</v>
      </c>
      <c r="S175" s="123" t="s">
        <v>1090</v>
      </c>
    </row>
    <row r="176" spans="1:19" hidden="1" x14ac:dyDescent="0.2">
      <c r="A176" s="123" t="s">
        <v>1090</v>
      </c>
      <c r="B176" s="123" t="s">
        <v>470</v>
      </c>
      <c r="C176" s="123" t="s">
        <v>471</v>
      </c>
      <c r="D176" s="123" t="s">
        <v>482</v>
      </c>
      <c r="E176" s="123" t="s">
        <v>483</v>
      </c>
      <c r="F176" s="123" t="s">
        <v>627</v>
      </c>
      <c r="G176" s="123" t="s">
        <v>628</v>
      </c>
      <c r="H176" s="123" t="s">
        <v>629</v>
      </c>
      <c r="I176" s="123" t="s">
        <v>630</v>
      </c>
      <c r="J176" s="123" t="s">
        <v>74</v>
      </c>
      <c r="K176" s="123" t="s">
        <v>75</v>
      </c>
      <c r="L176" s="123" t="s">
        <v>74</v>
      </c>
      <c r="M176" s="123" t="s">
        <v>75</v>
      </c>
      <c r="N176" s="123" t="s">
        <v>477</v>
      </c>
      <c r="O176" s="123" t="s">
        <v>478</v>
      </c>
      <c r="P176" s="123" t="s">
        <v>1240</v>
      </c>
      <c r="Q176" s="123" t="s">
        <v>1241</v>
      </c>
      <c r="R176" s="123" t="s">
        <v>1242</v>
      </c>
      <c r="S176" s="123" t="s">
        <v>1090</v>
      </c>
    </row>
    <row r="177" spans="1:19" hidden="1" x14ac:dyDescent="0.2">
      <c r="A177" s="123" t="s">
        <v>1090</v>
      </c>
      <c r="B177" s="123" t="s">
        <v>470</v>
      </c>
      <c r="C177" s="123" t="s">
        <v>471</v>
      </c>
      <c r="D177" s="123" t="s">
        <v>552</v>
      </c>
      <c r="E177" s="123" t="s">
        <v>553</v>
      </c>
      <c r="F177" s="123" t="s">
        <v>796</v>
      </c>
      <c r="G177" s="123" t="s">
        <v>797</v>
      </c>
      <c r="H177" s="123" t="s">
        <v>1243</v>
      </c>
      <c r="I177" s="123" t="s">
        <v>1244</v>
      </c>
      <c r="J177" s="123" t="s">
        <v>1245</v>
      </c>
      <c r="K177" s="123" t="s">
        <v>436</v>
      </c>
      <c r="L177" s="123" t="s">
        <v>1245</v>
      </c>
      <c r="M177" s="123" t="s">
        <v>436</v>
      </c>
      <c r="N177" s="123" t="s">
        <v>477</v>
      </c>
      <c r="O177" s="123" t="s">
        <v>478</v>
      </c>
      <c r="P177" s="123" t="s">
        <v>1246</v>
      </c>
      <c r="Q177" s="123" t="s">
        <v>1247</v>
      </c>
      <c r="R177" s="123" t="s">
        <v>1248</v>
      </c>
      <c r="S177" s="123" t="s">
        <v>1090</v>
      </c>
    </row>
    <row r="178" spans="1:19" hidden="1" x14ac:dyDescent="0.2">
      <c r="A178" s="123" t="s">
        <v>1090</v>
      </c>
      <c r="B178" s="123" t="s">
        <v>470</v>
      </c>
      <c r="C178" s="123" t="s">
        <v>471</v>
      </c>
      <c r="D178" s="123" t="s">
        <v>492</v>
      </c>
      <c r="E178" s="123" t="s">
        <v>493</v>
      </c>
      <c r="F178" s="123" t="s">
        <v>637</v>
      </c>
      <c r="G178" s="123" t="s">
        <v>638</v>
      </c>
      <c r="H178" s="123" t="s">
        <v>639</v>
      </c>
      <c r="I178" s="123" t="s">
        <v>640</v>
      </c>
      <c r="J178" s="123" t="s">
        <v>91</v>
      </c>
      <c r="K178" s="123" t="s">
        <v>92</v>
      </c>
      <c r="L178" s="123" t="s">
        <v>91</v>
      </c>
      <c r="M178" s="123" t="s">
        <v>92</v>
      </c>
      <c r="N178" s="123" t="s">
        <v>477</v>
      </c>
      <c r="O178" s="123" t="s">
        <v>478</v>
      </c>
      <c r="P178" s="123" t="s">
        <v>1249</v>
      </c>
      <c r="Q178" s="123" t="s">
        <v>1250</v>
      </c>
      <c r="R178" s="123" t="s">
        <v>1251</v>
      </c>
      <c r="S178" s="123" t="s">
        <v>1090</v>
      </c>
    </row>
    <row r="179" spans="1:19" hidden="1" x14ac:dyDescent="0.2">
      <c r="A179" s="123" t="s">
        <v>1090</v>
      </c>
      <c r="B179" s="123" t="s">
        <v>470</v>
      </c>
      <c r="C179" s="123" t="s">
        <v>471</v>
      </c>
      <c r="D179" s="123" t="s">
        <v>492</v>
      </c>
      <c r="E179" s="123" t="s">
        <v>493</v>
      </c>
      <c r="F179" s="123" t="s">
        <v>637</v>
      </c>
      <c r="G179" s="123" t="s">
        <v>638</v>
      </c>
      <c r="H179" s="123" t="s">
        <v>639</v>
      </c>
      <c r="I179" s="123" t="s">
        <v>640</v>
      </c>
      <c r="J179" s="123" t="s">
        <v>125</v>
      </c>
      <c r="K179" s="123" t="s">
        <v>641</v>
      </c>
      <c r="L179" s="123" t="s">
        <v>125</v>
      </c>
      <c r="M179" s="123" t="s">
        <v>641</v>
      </c>
      <c r="N179" s="123" t="s">
        <v>477</v>
      </c>
      <c r="O179" s="123" t="s">
        <v>478</v>
      </c>
      <c r="P179" s="123" t="s">
        <v>1252</v>
      </c>
      <c r="Q179" s="123" t="s">
        <v>1253</v>
      </c>
      <c r="R179" s="123" t="s">
        <v>1254</v>
      </c>
      <c r="S179" s="123" t="s">
        <v>1090</v>
      </c>
    </row>
    <row r="180" spans="1:19" hidden="1" x14ac:dyDescent="0.2">
      <c r="A180" s="123" t="s">
        <v>1090</v>
      </c>
      <c r="B180" s="123" t="s">
        <v>470</v>
      </c>
      <c r="C180" s="123" t="s">
        <v>471</v>
      </c>
      <c r="D180" s="123" t="s">
        <v>552</v>
      </c>
      <c r="E180" s="123" t="s">
        <v>553</v>
      </c>
      <c r="F180" s="123" t="s">
        <v>554</v>
      </c>
      <c r="G180" s="123" t="s">
        <v>555</v>
      </c>
      <c r="H180" s="123" t="s">
        <v>648</v>
      </c>
      <c r="I180" s="123" t="s">
        <v>649</v>
      </c>
      <c r="J180" s="123" t="s">
        <v>127</v>
      </c>
      <c r="K180" s="123" t="s">
        <v>128</v>
      </c>
      <c r="L180" s="123" t="s">
        <v>127</v>
      </c>
      <c r="M180" s="123" t="s">
        <v>128</v>
      </c>
      <c r="N180" s="123" t="s">
        <v>477</v>
      </c>
      <c r="O180" s="123" t="s">
        <v>478</v>
      </c>
      <c r="P180" s="123" t="s">
        <v>1255</v>
      </c>
      <c r="Q180" s="123" t="s">
        <v>1256</v>
      </c>
      <c r="R180" s="123" t="s">
        <v>1257</v>
      </c>
      <c r="S180" s="123" t="s">
        <v>1090</v>
      </c>
    </row>
    <row r="181" spans="1:19" hidden="1" x14ac:dyDescent="0.2">
      <c r="A181" s="123" t="s">
        <v>1090</v>
      </c>
      <c r="B181" s="123" t="s">
        <v>470</v>
      </c>
      <c r="C181" s="123" t="s">
        <v>471</v>
      </c>
      <c r="D181" s="123" t="s">
        <v>552</v>
      </c>
      <c r="E181" s="123" t="s">
        <v>553</v>
      </c>
      <c r="F181" s="123" t="s">
        <v>789</v>
      </c>
      <c r="G181" s="123" t="s">
        <v>790</v>
      </c>
      <c r="H181" s="123" t="s">
        <v>1258</v>
      </c>
      <c r="I181" s="123" t="s">
        <v>1259</v>
      </c>
      <c r="J181" s="123" t="s">
        <v>1260</v>
      </c>
      <c r="K181" s="123" t="s">
        <v>422</v>
      </c>
      <c r="L181" s="123" t="s">
        <v>1260</v>
      </c>
      <c r="M181" s="123" t="s">
        <v>422</v>
      </c>
      <c r="N181" s="123" t="s">
        <v>477</v>
      </c>
      <c r="O181" s="123" t="s">
        <v>478</v>
      </c>
      <c r="P181" s="123" t="s">
        <v>1261</v>
      </c>
      <c r="Q181" s="123" t="s">
        <v>1262</v>
      </c>
      <c r="R181" s="123" t="s">
        <v>1263</v>
      </c>
      <c r="S181" s="123" t="s">
        <v>1090</v>
      </c>
    </row>
    <row r="182" spans="1:19" hidden="1" x14ac:dyDescent="0.2">
      <c r="A182" s="123" t="s">
        <v>1090</v>
      </c>
      <c r="B182" s="123" t="s">
        <v>470</v>
      </c>
      <c r="C182" s="123" t="s">
        <v>471</v>
      </c>
      <c r="D182" s="123" t="s">
        <v>482</v>
      </c>
      <c r="E182" s="123" t="s">
        <v>483</v>
      </c>
      <c r="F182" s="123" t="s">
        <v>597</v>
      </c>
      <c r="G182" s="123" t="s">
        <v>598</v>
      </c>
      <c r="H182" s="123" t="s">
        <v>653</v>
      </c>
      <c r="I182" s="123" t="s">
        <v>654</v>
      </c>
      <c r="J182" s="123" t="s">
        <v>93</v>
      </c>
      <c r="K182" s="123" t="s">
        <v>94</v>
      </c>
      <c r="L182" s="123" t="s">
        <v>93</v>
      </c>
      <c r="M182" s="123" t="s">
        <v>94</v>
      </c>
      <c r="N182" s="123" t="s">
        <v>477</v>
      </c>
      <c r="O182" s="123" t="s">
        <v>478</v>
      </c>
      <c r="P182" s="123" t="s">
        <v>1264</v>
      </c>
      <c r="Q182" s="123" t="s">
        <v>1265</v>
      </c>
      <c r="R182" s="123" t="s">
        <v>1266</v>
      </c>
      <c r="S182" s="123" t="s">
        <v>1090</v>
      </c>
    </row>
    <row r="183" spans="1:19" hidden="1" x14ac:dyDescent="0.2">
      <c r="A183" s="123" t="s">
        <v>1090</v>
      </c>
      <c r="B183" s="123" t="s">
        <v>470</v>
      </c>
      <c r="C183" s="123" t="s">
        <v>471</v>
      </c>
      <c r="D183" s="123" t="s">
        <v>492</v>
      </c>
      <c r="E183" s="123" t="s">
        <v>493</v>
      </c>
      <c r="F183" s="123" t="s">
        <v>658</v>
      </c>
      <c r="G183" s="123" t="s">
        <v>659</v>
      </c>
      <c r="H183" s="123" t="s">
        <v>660</v>
      </c>
      <c r="I183" s="123" t="s">
        <v>661</v>
      </c>
      <c r="J183" s="123" t="s">
        <v>5</v>
      </c>
      <c r="K183" s="123" t="s">
        <v>6</v>
      </c>
      <c r="L183" s="123" t="s">
        <v>5</v>
      </c>
      <c r="M183" s="123" t="s">
        <v>6</v>
      </c>
      <c r="N183" s="123" t="s">
        <v>477</v>
      </c>
      <c r="O183" s="123" t="s">
        <v>478</v>
      </c>
      <c r="P183" s="123" t="s">
        <v>1267</v>
      </c>
      <c r="Q183" s="123" t="s">
        <v>1268</v>
      </c>
      <c r="R183" s="123" t="s">
        <v>1269</v>
      </c>
      <c r="S183" s="123" t="s">
        <v>1090</v>
      </c>
    </row>
    <row r="184" spans="1:19" hidden="1" x14ac:dyDescent="0.2">
      <c r="A184" s="123" t="s">
        <v>1090</v>
      </c>
      <c r="B184" s="123" t="s">
        <v>470</v>
      </c>
      <c r="C184" s="123" t="s">
        <v>471</v>
      </c>
      <c r="D184" s="123" t="s">
        <v>470</v>
      </c>
      <c r="E184" s="123" t="s">
        <v>472</v>
      </c>
      <c r="F184" s="123" t="s">
        <v>953</v>
      </c>
      <c r="G184" s="123" t="s">
        <v>954</v>
      </c>
      <c r="H184" s="123" t="s">
        <v>955</v>
      </c>
      <c r="I184" s="123" t="s">
        <v>956</v>
      </c>
      <c r="J184" s="123" t="s">
        <v>957</v>
      </c>
      <c r="K184" s="123" t="s">
        <v>165</v>
      </c>
      <c r="L184" s="123" t="s">
        <v>957</v>
      </c>
      <c r="M184" s="123" t="s">
        <v>165</v>
      </c>
      <c r="N184" s="123" t="s">
        <v>477</v>
      </c>
      <c r="O184" s="123" t="s">
        <v>478</v>
      </c>
      <c r="P184" s="123" t="s">
        <v>1270</v>
      </c>
      <c r="Q184" s="123" t="s">
        <v>1271</v>
      </c>
      <c r="R184" s="123" t="s">
        <v>1272</v>
      </c>
      <c r="S184" s="123" t="s">
        <v>1090</v>
      </c>
    </row>
    <row r="185" spans="1:19" hidden="1" x14ac:dyDescent="0.2">
      <c r="A185" s="123" t="s">
        <v>1090</v>
      </c>
      <c r="B185" s="123" t="s">
        <v>470</v>
      </c>
      <c r="C185" s="123" t="s">
        <v>471</v>
      </c>
      <c r="D185" s="123" t="s">
        <v>492</v>
      </c>
      <c r="E185" s="123" t="s">
        <v>493</v>
      </c>
      <c r="F185" s="123" t="s">
        <v>501</v>
      </c>
      <c r="G185" s="123" t="s">
        <v>502</v>
      </c>
      <c r="H185" s="123" t="s">
        <v>665</v>
      </c>
      <c r="I185" s="123" t="s">
        <v>666</v>
      </c>
      <c r="J185" s="123" t="s">
        <v>667</v>
      </c>
      <c r="K185" s="123" t="s">
        <v>166</v>
      </c>
      <c r="L185" s="123" t="s">
        <v>667</v>
      </c>
      <c r="M185" s="123" t="s">
        <v>166</v>
      </c>
      <c r="N185" s="123" t="s">
        <v>477</v>
      </c>
      <c r="O185" s="123" t="s">
        <v>478</v>
      </c>
      <c r="P185" s="123" t="s">
        <v>668</v>
      </c>
      <c r="Q185" s="123" t="s">
        <v>669</v>
      </c>
      <c r="R185" s="123" t="s">
        <v>670</v>
      </c>
      <c r="S185" s="123" t="s">
        <v>1090</v>
      </c>
    </row>
    <row r="186" spans="1:19" hidden="1" x14ac:dyDescent="0.2">
      <c r="A186" s="123" t="s">
        <v>1090</v>
      </c>
      <c r="B186" s="123" t="s">
        <v>470</v>
      </c>
      <c r="C186" s="123" t="s">
        <v>471</v>
      </c>
      <c r="D186" s="123" t="s">
        <v>492</v>
      </c>
      <c r="E186" s="123" t="s">
        <v>493</v>
      </c>
      <c r="F186" s="123" t="s">
        <v>671</v>
      </c>
      <c r="G186" s="123" t="s">
        <v>672</v>
      </c>
      <c r="H186" s="123" t="s">
        <v>673</v>
      </c>
      <c r="I186" s="123" t="s">
        <v>674</v>
      </c>
      <c r="J186" s="123" t="s">
        <v>131</v>
      </c>
      <c r="K186" s="123" t="s">
        <v>132</v>
      </c>
      <c r="L186" s="123" t="s">
        <v>131</v>
      </c>
      <c r="M186" s="123" t="s">
        <v>132</v>
      </c>
      <c r="N186" s="123" t="s">
        <v>477</v>
      </c>
      <c r="O186" s="123" t="s">
        <v>478</v>
      </c>
      <c r="P186" s="123" t="s">
        <v>1273</v>
      </c>
      <c r="Q186" s="123" t="s">
        <v>1274</v>
      </c>
      <c r="R186" s="123" t="s">
        <v>1275</v>
      </c>
      <c r="S186" s="123" t="s">
        <v>1090</v>
      </c>
    </row>
    <row r="187" spans="1:19" hidden="1" x14ac:dyDescent="0.2">
      <c r="A187" s="123" t="s">
        <v>1090</v>
      </c>
      <c r="B187" s="123" t="s">
        <v>470</v>
      </c>
      <c r="C187" s="123" t="s">
        <v>471</v>
      </c>
      <c r="D187" s="123" t="s">
        <v>482</v>
      </c>
      <c r="E187" s="123" t="s">
        <v>483</v>
      </c>
      <c r="F187" s="123" t="s">
        <v>627</v>
      </c>
      <c r="G187" s="123" t="s">
        <v>628</v>
      </c>
      <c r="H187" s="123" t="s">
        <v>678</v>
      </c>
      <c r="I187" s="123" t="s">
        <v>679</v>
      </c>
      <c r="J187" s="123" t="s">
        <v>680</v>
      </c>
      <c r="K187" s="123" t="s">
        <v>681</v>
      </c>
      <c r="L187" s="123" t="s">
        <v>680</v>
      </c>
      <c r="M187" s="123" t="s">
        <v>681</v>
      </c>
      <c r="N187" s="123" t="s">
        <v>477</v>
      </c>
      <c r="O187" s="123" t="s">
        <v>478</v>
      </c>
      <c r="P187" s="123" t="s">
        <v>1276</v>
      </c>
      <c r="Q187" s="123" t="s">
        <v>1277</v>
      </c>
      <c r="R187" s="123" t="s">
        <v>1278</v>
      </c>
      <c r="S187" s="123" t="s">
        <v>1090</v>
      </c>
    </row>
    <row r="188" spans="1:19" hidden="1" x14ac:dyDescent="0.2">
      <c r="A188" s="123" t="s">
        <v>1090</v>
      </c>
      <c r="B188" s="123" t="s">
        <v>470</v>
      </c>
      <c r="C188" s="123" t="s">
        <v>471</v>
      </c>
      <c r="D188" s="123" t="s">
        <v>470</v>
      </c>
      <c r="E188" s="123" t="s">
        <v>472</v>
      </c>
      <c r="F188" s="123" t="s">
        <v>685</v>
      </c>
      <c r="G188" s="123" t="s">
        <v>686</v>
      </c>
      <c r="H188" s="123" t="s">
        <v>687</v>
      </c>
      <c r="I188" s="123" t="s">
        <v>688</v>
      </c>
      <c r="J188" s="123" t="s">
        <v>133</v>
      </c>
      <c r="K188" s="123" t="s">
        <v>134</v>
      </c>
      <c r="L188" s="123" t="s">
        <v>133</v>
      </c>
      <c r="M188" s="123" t="s">
        <v>134</v>
      </c>
      <c r="N188" s="123" t="s">
        <v>477</v>
      </c>
      <c r="O188" s="123" t="s">
        <v>478</v>
      </c>
      <c r="P188" s="123" t="s">
        <v>1279</v>
      </c>
      <c r="Q188" s="123" t="s">
        <v>1280</v>
      </c>
      <c r="R188" s="123" t="s">
        <v>1281</v>
      </c>
      <c r="S188" s="123" t="s">
        <v>1090</v>
      </c>
    </row>
    <row r="189" spans="1:19" hidden="1" x14ac:dyDescent="0.2">
      <c r="A189" s="123" t="s">
        <v>1090</v>
      </c>
      <c r="B189" s="123" t="s">
        <v>470</v>
      </c>
      <c r="C189" s="123" t="s">
        <v>471</v>
      </c>
      <c r="D189" s="123" t="s">
        <v>470</v>
      </c>
      <c r="E189" s="123" t="s">
        <v>472</v>
      </c>
      <c r="F189" s="123" t="s">
        <v>953</v>
      </c>
      <c r="G189" s="123" t="s">
        <v>954</v>
      </c>
      <c r="H189" s="123" t="s">
        <v>1282</v>
      </c>
      <c r="I189" s="123" t="s">
        <v>1283</v>
      </c>
      <c r="J189" s="123" t="s">
        <v>256</v>
      </c>
      <c r="K189" s="123" t="s">
        <v>255</v>
      </c>
      <c r="L189" s="123" t="s">
        <v>256</v>
      </c>
      <c r="M189" s="123" t="s">
        <v>255</v>
      </c>
      <c r="N189" s="123" t="s">
        <v>477</v>
      </c>
      <c r="O189" s="123" t="s">
        <v>478</v>
      </c>
      <c r="P189" s="123" t="s">
        <v>1284</v>
      </c>
      <c r="Q189" s="123" t="s">
        <v>1285</v>
      </c>
      <c r="R189" s="123" t="s">
        <v>1286</v>
      </c>
      <c r="S189" s="123" t="s">
        <v>1090</v>
      </c>
    </row>
    <row r="190" spans="1:19" hidden="1" x14ac:dyDescent="0.2">
      <c r="A190" s="123" t="s">
        <v>1090</v>
      </c>
      <c r="B190" s="123" t="s">
        <v>470</v>
      </c>
      <c r="C190" s="123" t="s">
        <v>471</v>
      </c>
      <c r="D190" s="123" t="s">
        <v>470</v>
      </c>
      <c r="E190" s="123" t="s">
        <v>472</v>
      </c>
      <c r="F190" s="123" t="s">
        <v>777</v>
      </c>
      <c r="G190" s="123" t="s">
        <v>778</v>
      </c>
      <c r="H190" s="123" t="s">
        <v>1287</v>
      </c>
      <c r="I190" s="123" t="s">
        <v>1288</v>
      </c>
      <c r="J190" s="123" t="s">
        <v>1289</v>
      </c>
      <c r="K190" s="123" t="s">
        <v>423</v>
      </c>
      <c r="L190" s="123" t="s">
        <v>1289</v>
      </c>
      <c r="M190" s="123" t="s">
        <v>423</v>
      </c>
      <c r="N190" s="123" t="s">
        <v>477</v>
      </c>
      <c r="O190" s="123" t="s">
        <v>478</v>
      </c>
      <c r="P190" s="123" t="s">
        <v>1290</v>
      </c>
      <c r="Q190" s="123" t="s">
        <v>1291</v>
      </c>
      <c r="R190" s="123" t="s">
        <v>1292</v>
      </c>
      <c r="S190" s="123" t="s">
        <v>1090</v>
      </c>
    </row>
    <row r="191" spans="1:19" hidden="1" x14ac:dyDescent="0.2">
      <c r="A191" s="123" t="s">
        <v>1090</v>
      </c>
      <c r="B191" s="123" t="s">
        <v>470</v>
      </c>
      <c r="C191" s="123" t="s">
        <v>471</v>
      </c>
      <c r="D191" s="123" t="s">
        <v>492</v>
      </c>
      <c r="E191" s="123" t="s">
        <v>493</v>
      </c>
      <c r="F191" s="123" t="s">
        <v>494</v>
      </c>
      <c r="G191" s="123" t="s">
        <v>495</v>
      </c>
      <c r="H191" s="123" t="s">
        <v>692</v>
      </c>
      <c r="I191" s="123" t="s">
        <v>693</v>
      </c>
      <c r="J191" s="123" t="s">
        <v>76</v>
      </c>
      <c r="K191" s="123" t="s">
        <v>77</v>
      </c>
      <c r="L191" s="123" t="s">
        <v>76</v>
      </c>
      <c r="M191" s="123" t="s">
        <v>77</v>
      </c>
      <c r="N191" s="123" t="s">
        <v>477</v>
      </c>
      <c r="O191" s="123" t="s">
        <v>478</v>
      </c>
      <c r="P191" s="123" t="s">
        <v>1293</v>
      </c>
      <c r="Q191" s="123" t="s">
        <v>1294</v>
      </c>
      <c r="R191" s="123" t="s">
        <v>1295</v>
      </c>
      <c r="S191" s="123" t="s">
        <v>1090</v>
      </c>
    </row>
    <row r="192" spans="1:19" hidden="1" x14ac:dyDescent="0.2">
      <c r="A192" s="123" t="s">
        <v>1090</v>
      </c>
      <c r="B192" s="123" t="s">
        <v>470</v>
      </c>
      <c r="C192" s="123" t="s">
        <v>471</v>
      </c>
      <c r="D192" s="123" t="s">
        <v>492</v>
      </c>
      <c r="E192" s="123" t="s">
        <v>493</v>
      </c>
      <c r="F192" s="123" t="s">
        <v>697</v>
      </c>
      <c r="G192" s="123" t="s">
        <v>698</v>
      </c>
      <c r="H192" s="123" t="s">
        <v>699</v>
      </c>
      <c r="I192" s="123" t="s">
        <v>700</v>
      </c>
      <c r="J192" s="123" t="s">
        <v>108</v>
      </c>
      <c r="K192" s="123" t="s">
        <v>109</v>
      </c>
      <c r="L192" s="123" t="s">
        <v>108</v>
      </c>
      <c r="M192" s="123" t="s">
        <v>109</v>
      </c>
      <c r="N192" s="123" t="s">
        <v>477</v>
      </c>
      <c r="O192" s="123" t="s">
        <v>478</v>
      </c>
      <c r="P192" s="123" t="s">
        <v>1296</v>
      </c>
      <c r="Q192" s="123" t="s">
        <v>1297</v>
      </c>
      <c r="R192" s="123" t="s">
        <v>1298</v>
      </c>
      <c r="S192" s="123" t="s">
        <v>1090</v>
      </c>
    </row>
    <row r="193" spans="1:19" hidden="1" x14ac:dyDescent="0.2">
      <c r="A193" s="123" t="s">
        <v>1090</v>
      </c>
      <c r="B193" s="123" t="s">
        <v>470</v>
      </c>
      <c r="C193" s="123" t="s">
        <v>471</v>
      </c>
      <c r="D193" s="123" t="s">
        <v>482</v>
      </c>
      <c r="E193" s="123" t="s">
        <v>483</v>
      </c>
      <c r="F193" s="123" t="s">
        <v>531</v>
      </c>
      <c r="G193" s="123" t="s">
        <v>532</v>
      </c>
      <c r="H193" s="123" t="s">
        <v>1299</v>
      </c>
      <c r="I193" s="123" t="s">
        <v>1300</v>
      </c>
      <c r="J193" s="123" t="s">
        <v>1301</v>
      </c>
      <c r="K193" s="123" t="s">
        <v>426</v>
      </c>
      <c r="L193" s="123" t="s">
        <v>1301</v>
      </c>
      <c r="M193" s="123" t="s">
        <v>426</v>
      </c>
      <c r="N193" s="123" t="s">
        <v>477</v>
      </c>
      <c r="O193" s="123" t="s">
        <v>478</v>
      </c>
      <c r="P193" s="123" t="s">
        <v>1302</v>
      </c>
      <c r="Q193" s="123" t="s">
        <v>1303</v>
      </c>
      <c r="R193" s="123" t="s">
        <v>1304</v>
      </c>
      <c r="S193" s="123" t="s">
        <v>1090</v>
      </c>
    </row>
    <row r="194" spans="1:19" hidden="1" x14ac:dyDescent="0.2">
      <c r="A194" s="123" t="s">
        <v>1090</v>
      </c>
      <c r="B194" s="123" t="s">
        <v>470</v>
      </c>
      <c r="C194" s="123" t="s">
        <v>471</v>
      </c>
      <c r="D194" s="123" t="s">
        <v>552</v>
      </c>
      <c r="E194" s="123" t="s">
        <v>553</v>
      </c>
      <c r="F194" s="123" t="s">
        <v>554</v>
      </c>
      <c r="G194" s="123" t="s">
        <v>555</v>
      </c>
      <c r="H194" s="123" t="s">
        <v>709</v>
      </c>
      <c r="I194" s="123" t="s">
        <v>710</v>
      </c>
      <c r="J194" s="123" t="s">
        <v>711</v>
      </c>
      <c r="K194" s="123" t="s">
        <v>190</v>
      </c>
      <c r="L194" s="123" t="s">
        <v>711</v>
      </c>
      <c r="M194" s="123" t="s">
        <v>190</v>
      </c>
      <c r="N194" s="123" t="s">
        <v>477</v>
      </c>
      <c r="O194" s="123" t="s">
        <v>478</v>
      </c>
      <c r="P194" s="123" t="s">
        <v>1305</v>
      </c>
      <c r="Q194" s="123" t="s">
        <v>1306</v>
      </c>
      <c r="R194" s="123" t="s">
        <v>1291</v>
      </c>
      <c r="S194" s="123" t="s">
        <v>1090</v>
      </c>
    </row>
    <row r="195" spans="1:19" hidden="1" x14ac:dyDescent="0.2">
      <c r="A195" s="123" t="s">
        <v>1090</v>
      </c>
      <c r="B195" s="123" t="s">
        <v>470</v>
      </c>
      <c r="C195" s="123" t="s">
        <v>471</v>
      </c>
      <c r="D195" s="123" t="s">
        <v>470</v>
      </c>
      <c r="E195" s="123" t="s">
        <v>472</v>
      </c>
      <c r="F195" s="123" t="s">
        <v>953</v>
      </c>
      <c r="G195" s="123" t="s">
        <v>954</v>
      </c>
      <c r="H195" s="123" t="s">
        <v>1307</v>
      </c>
      <c r="I195" s="123" t="s">
        <v>1308</v>
      </c>
      <c r="J195" s="123" t="s">
        <v>1309</v>
      </c>
      <c r="K195" s="123" t="s">
        <v>425</v>
      </c>
      <c r="L195" s="123" t="s">
        <v>1309</v>
      </c>
      <c r="M195" s="123" t="s">
        <v>425</v>
      </c>
      <c r="N195" s="123" t="s">
        <v>477</v>
      </c>
      <c r="O195" s="123" t="s">
        <v>478</v>
      </c>
      <c r="P195" s="123" t="s">
        <v>1310</v>
      </c>
      <c r="Q195" s="123" t="s">
        <v>1311</v>
      </c>
      <c r="R195" s="123" t="s">
        <v>1312</v>
      </c>
      <c r="S195" s="123" t="s">
        <v>1090</v>
      </c>
    </row>
    <row r="196" spans="1:19" hidden="1" x14ac:dyDescent="0.2">
      <c r="A196" s="123" t="s">
        <v>1090</v>
      </c>
      <c r="B196" s="123" t="s">
        <v>470</v>
      </c>
      <c r="C196" s="123" t="s">
        <v>471</v>
      </c>
      <c r="D196" s="123" t="s">
        <v>552</v>
      </c>
      <c r="E196" s="123" t="s">
        <v>553</v>
      </c>
      <c r="F196" s="123" t="s">
        <v>569</v>
      </c>
      <c r="G196" s="123" t="s">
        <v>570</v>
      </c>
      <c r="H196" s="123" t="s">
        <v>715</v>
      </c>
      <c r="I196" s="123" t="s">
        <v>716</v>
      </c>
      <c r="J196" s="123" t="s">
        <v>717</v>
      </c>
      <c r="K196" s="123" t="s">
        <v>187</v>
      </c>
      <c r="L196" s="123" t="s">
        <v>717</v>
      </c>
      <c r="M196" s="123" t="s">
        <v>187</v>
      </c>
      <c r="N196" s="123" t="s">
        <v>477</v>
      </c>
      <c r="O196" s="123" t="s">
        <v>478</v>
      </c>
      <c r="P196" s="123" t="s">
        <v>973</v>
      </c>
      <c r="Q196" s="123" t="s">
        <v>974</v>
      </c>
      <c r="R196" s="123" t="s">
        <v>975</v>
      </c>
      <c r="S196" s="123" t="s">
        <v>1090</v>
      </c>
    </row>
    <row r="197" spans="1:19" hidden="1" x14ac:dyDescent="0.2">
      <c r="A197" s="123" t="s">
        <v>1090</v>
      </c>
      <c r="B197" s="123" t="s">
        <v>470</v>
      </c>
      <c r="C197" s="123" t="s">
        <v>471</v>
      </c>
      <c r="D197" s="123" t="s">
        <v>482</v>
      </c>
      <c r="E197" s="123" t="s">
        <v>483</v>
      </c>
      <c r="F197" s="123" t="s">
        <v>627</v>
      </c>
      <c r="G197" s="123" t="s">
        <v>628</v>
      </c>
      <c r="H197" s="123" t="s">
        <v>721</v>
      </c>
      <c r="I197" s="123" t="s">
        <v>722</v>
      </c>
      <c r="J197" s="123" t="s">
        <v>726</v>
      </c>
      <c r="K197" s="123" t="s">
        <v>176</v>
      </c>
      <c r="L197" s="123" t="s">
        <v>726</v>
      </c>
      <c r="M197" s="123" t="s">
        <v>176</v>
      </c>
      <c r="N197" s="123" t="s">
        <v>477</v>
      </c>
      <c r="O197" s="123" t="s">
        <v>478</v>
      </c>
      <c r="P197" s="123" t="s">
        <v>939</v>
      </c>
      <c r="Q197" s="123" t="s">
        <v>1313</v>
      </c>
      <c r="R197" s="123" t="s">
        <v>1314</v>
      </c>
      <c r="S197" s="123" t="s">
        <v>1090</v>
      </c>
    </row>
    <row r="198" spans="1:19" hidden="1" x14ac:dyDescent="0.2">
      <c r="A198" s="123" t="s">
        <v>1090</v>
      </c>
      <c r="B198" s="123" t="s">
        <v>470</v>
      </c>
      <c r="C198" s="123" t="s">
        <v>471</v>
      </c>
      <c r="D198" s="123" t="s">
        <v>482</v>
      </c>
      <c r="E198" s="123" t="s">
        <v>483</v>
      </c>
      <c r="F198" s="123" t="s">
        <v>627</v>
      </c>
      <c r="G198" s="123" t="s">
        <v>628</v>
      </c>
      <c r="H198" s="123" t="s">
        <v>721</v>
      </c>
      <c r="I198" s="123" t="s">
        <v>722</v>
      </c>
      <c r="J198" s="123" t="s">
        <v>135</v>
      </c>
      <c r="K198" s="123" t="s">
        <v>136</v>
      </c>
      <c r="L198" s="123" t="s">
        <v>135</v>
      </c>
      <c r="M198" s="123" t="s">
        <v>136</v>
      </c>
      <c r="N198" s="123" t="s">
        <v>477</v>
      </c>
      <c r="O198" s="123" t="s">
        <v>478</v>
      </c>
      <c r="P198" s="123" t="s">
        <v>1315</v>
      </c>
      <c r="Q198" s="123" t="s">
        <v>1316</v>
      </c>
      <c r="R198" s="123" t="s">
        <v>1317</v>
      </c>
      <c r="S198" s="123" t="s">
        <v>1090</v>
      </c>
    </row>
    <row r="199" spans="1:19" hidden="1" x14ac:dyDescent="0.2">
      <c r="A199" s="123" t="s">
        <v>1090</v>
      </c>
      <c r="B199" s="123" t="s">
        <v>470</v>
      </c>
      <c r="C199" s="123" t="s">
        <v>471</v>
      </c>
      <c r="D199" s="123" t="s">
        <v>552</v>
      </c>
      <c r="E199" s="123" t="s">
        <v>553</v>
      </c>
      <c r="F199" s="123" t="s">
        <v>762</v>
      </c>
      <c r="G199" s="123" t="s">
        <v>763</v>
      </c>
      <c r="H199" s="123" t="s">
        <v>1318</v>
      </c>
      <c r="I199" s="123" t="s">
        <v>1319</v>
      </c>
      <c r="J199" s="123" t="s">
        <v>1320</v>
      </c>
      <c r="K199" s="123" t="s">
        <v>439</v>
      </c>
      <c r="L199" s="123" t="s">
        <v>1320</v>
      </c>
      <c r="M199" s="123" t="s">
        <v>439</v>
      </c>
      <c r="N199" s="123" t="s">
        <v>477</v>
      </c>
      <c r="O199" s="123" t="s">
        <v>478</v>
      </c>
      <c r="P199" s="123" t="s">
        <v>1321</v>
      </c>
      <c r="Q199" s="123" t="s">
        <v>1322</v>
      </c>
      <c r="R199" s="123" t="s">
        <v>1323</v>
      </c>
      <c r="S199" s="123" t="s">
        <v>1090</v>
      </c>
    </row>
    <row r="200" spans="1:19" hidden="1" x14ac:dyDescent="0.2">
      <c r="A200" s="123" t="s">
        <v>1090</v>
      </c>
      <c r="B200" s="123" t="s">
        <v>470</v>
      </c>
      <c r="C200" s="123" t="s">
        <v>471</v>
      </c>
      <c r="D200" s="123" t="s">
        <v>552</v>
      </c>
      <c r="E200" s="123" t="s">
        <v>553</v>
      </c>
      <c r="F200" s="123" t="s">
        <v>730</v>
      </c>
      <c r="G200" s="123" t="s">
        <v>731</v>
      </c>
      <c r="H200" s="123" t="s">
        <v>732</v>
      </c>
      <c r="I200" s="123" t="s">
        <v>733</v>
      </c>
      <c r="J200" s="123" t="s">
        <v>110</v>
      </c>
      <c r="K200" s="123" t="s">
        <v>111</v>
      </c>
      <c r="L200" s="123" t="s">
        <v>110</v>
      </c>
      <c r="M200" s="123" t="s">
        <v>111</v>
      </c>
      <c r="N200" s="123" t="s">
        <v>477</v>
      </c>
      <c r="O200" s="123" t="s">
        <v>478</v>
      </c>
      <c r="P200" s="123" t="s">
        <v>1324</v>
      </c>
      <c r="Q200" s="123" t="s">
        <v>1325</v>
      </c>
      <c r="R200" s="123" t="s">
        <v>1326</v>
      </c>
      <c r="S200" s="123" t="s">
        <v>1090</v>
      </c>
    </row>
    <row r="201" spans="1:19" hidden="1" x14ac:dyDescent="0.2">
      <c r="A201" s="123" t="s">
        <v>1090</v>
      </c>
      <c r="B201" s="123" t="s">
        <v>470</v>
      </c>
      <c r="C201" s="123" t="s">
        <v>471</v>
      </c>
      <c r="D201" s="123" t="s">
        <v>552</v>
      </c>
      <c r="E201" s="123" t="s">
        <v>553</v>
      </c>
      <c r="F201" s="123" t="s">
        <v>730</v>
      </c>
      <c r="G201" s="123" t="s">
        <v>731</v>
      </c>
      <c r="H201" s="123" t="s">
        <v>732</v>
      </c>
      <c r="I201" s="123" t="s">
        <v>733</v>
      </c>
      <c r="J201" s="123" t="s">
        <v>139</v>
      </c>
      <c r="K201" s="123" t="s">
        <v>140</v>
      </c>
      <c r="L201" s="123" t="s">
        <v>139</v>
      </c>
      <c r="M201" s="123" t="s">
        <v>140</v>
      </c>
      <c r="N201" s="123" t="s">
        <v>477</v>
      </c>
      <c r="O201" s="123" t="s">
        <v>478</v>
      </c>
      <c r="P201" s="123" t="s">
        <v>1327</v>
      </c>
      <c r="Q201" s="123" t="s">
        <v>1328</v>
      </c>
      <c r="R201" s="123" t="s">
        <v>1329</v>
      </c>
      <c r="S201" s="123" t="s">
        <v>1090</v>
      </c>
    </row>
    <row r="202" spans="1:19" hidden="1" x14ac:dyDescent="0.2">
      <c r="A202" s="123" t="s">
        <v>1090</v>
      </c>
      <c r="B202" s="123" t="s">
        <v>470</v>
      </c>
      <c r="C202" s="123" t="s">
        <v>471</v>
      </c>
      <c r="D202" s="123" t="s">
        <v>482</v>
      </c>
      <c r="E202" s="123" t="s">
        <v>483</v>
      </c>
      <c r="F202" s="123" t="s">
        <v>627</v>
      </c>
      <c r="G202" s="123" t="s">
        <v>628</v>
      </c>
      <c r="H202" s="123" t="s">
        <v>740</v>
      </c>
      <c r="I202" s="123" t="s">
        <v>741</v>
      </c>
      <c r="J202" s="123" t="s">
        <v>742</v>
      </c>
      <c r="K202" s="123" t="s">
        <v>177</v>
      </c>
      <c r="L202" s="123" t="s">
        <v>742</v>
      </c>
      <c r="M202" s="123" t="s">
        <v>177</v>
      </c>
      <c r="N202" s="123" t="s">
        <v>477</v>
      </c>
      <c r="O202" s="123" t="s">
        <v>478</v>
      </c>
      <c r="P202" s="123" t="s">
        <v>1330</v>
      </c>
      <c r="Q202" s="123" t="s">
        <v>1331</v>
      </c>
      <c r="R202" s="123" t="s">
        <v>1332</v>
      </c>
      <c r="S202" s="123" t="s">
        <v>1090</v>
      </c>
    </row>
    <row r="203" spans="1:19" hidden="1" x14ac:dyDescent="0.2">
      <c r="A203" s="123" t="s">
        <v>1090</v>
      </c>
      <c r="B203" s="123" t="s">
        <v>470</v>
      </c>
      <c r="C203" s="123" t="s">
        <v>471</v>
      </c>
      <c r="D203" s="123" t="s">
        <v>482</v>
      </c>
      <c r="E203" s="123" t="s">
        <v>483</v>
      </c>
      <c r="F203" s="123" t="s">
        <v>531</v>
      </c>
      <c r="G203" s="123" t="s">
        <v>532</v>
      </c>
      <c r="H203" s="123" t="s">
        <v>746</v>
      </c>
      <c r="I203" s="123" t="s">
        <v>747</v>
      </c>
      <c r="J203" s="123" t="s">
        <v>80</v>
      </c>
      <c r="K203" s="123" t="s">
        <v>81</v>
      </c>
      <c r="L203" s="123" t="s">
        <v>80</v>
      </c>
      <c r="M203" s="123" t="s">
        <v>81</v>
      </c>
      <c r="N203" s="123" t="s">
        <v>477</v>
      </c>
      <c r="O203" s="123" t="s">
        <v>478</v>
      </c>
      <c r="P203" s="123" t="s">
        <v>1333</v>
      </c>
      <c r="Q203" s="123" t="s">
        <v>1334</v>
      </c>
      <c r="R203" s="123" t="s">
        <v>1335</v>
      </c>
      <c r="S203" s="123" t="s">
        <v>1090</v>
      </c>
    </row>
    <row r="204" spans="1:19" hidden="1" x14ac:dyDescent="0.2">
      <c r="A204" s="123" t="s">
        <v>1090</v>
      </c>
      <c r="B204" s="123" t="s">
        <v>470</v>
      </c>
      <c r="C204" s="123" t="s">
        <v>471</v>
      </c>
      <c r="D204" s="123" t="s">
        <v>492</v>
      </c>
      <c r="E204" s="123" t="s">
        <v>493</v>
      </c>
      <c r="F204" s="123" t="s">
        <v>494</v>
      </c>
      <c r="G204" s="123" t="s">
        <v>495</v>
      </c>
      <c r="H204" s="123" t="s">
        <v>751</v>
      </c>
      <c r="I204" s="123" t="s">
        <v>752</v>
      </c>
      <c r="J204" s="123" t="s">
        <v>753</v>
      </c>
      <c r="K204" s="123" t="s">
        <v>171</v>
      </c>
      <c r="L204" s="123" t="s">
        <v>753</v>
      </c>
      <c r="M204" s="123" t="s">
        <v>171</v>
      </c>
      <c r="N204" s="123" t="s">
        <v>477</v>
      </c>
      <c r="O204" s="123" t="s">
        <v>478</v>
      </c>
      <c r="P204" s="123" t="s">
        <v>1336</v>
      </c>
      <c r="Q204" s="123" t="s">
        <v>1337</v>
      </c>
      <c r="R204" s="123" t="s">
        <v>1338</v>
      </c>
      <c r="S204" s="123" t="s">
        <v>1090</v>
      </c>
    </row>
    <row r="205" spans="1:19" hidden="1" x14ac:dyDescent="0.2">
      <c r="A205" s="123" t="s">
        <v>1090</v>
      </c>
      <c r="B205" s="123" t="s">
        <v>470</v>
      </c>
      <c r="C205" s="123" t="s">
        <v>471</v>
      </c>
      <c r="D205" s="123" t="s">
        <v>482</v>
      </c>
      <c r="E205" s="123" t="s">
        <v>483</v>
      </c>
      <c r="F205" s="123" t="s">
        <v>1339</v>
      </c>
      <c r="G205" s="123" t="s">
        <v>1340</v>
      </c>
      <c r="H205" s="123" t="s">
        <v>1341</v>
      </c>
      <c r="I205" s="123" t="s">
        <v>1342</v>
      </c>
      <c r="J205" s="123" t="s">
        <v>1343</v>
      </c>
      <c r="K205" s="123" t="s">
        <v>429</v>
      </c>
      <c r="L205" s="123" t="s">
        <v>1343</v>
      </c>
      <c r="M205" s="123" t="s">
        <v>429</v>
      </c>
      <c r="N205" s="123" t="s">
        <v>477</v>
      </c>
      <c r="O205" s="123" t="s">
        <v>478</v>
      </c>
      <c r="P205" s="123" t="s">
        <v>1344</v>
      </c>
      <c r="Q205" s="123" t="s">
        <v>1345</v>
      </c>
      <c r="R205" s="123" t="s">
        <v>1346</v>
      </c>
      <c r="S205" s="123" t="s">
        <v>1090</v>
      </c>
    </row>
    <row r="206" spans="1:19" hidden="1" x14ac:dyDescent="0.2">
      <c r="A206" s="123" t="s">
        <v>1090</v>
      </c>
      <c r="B206" s="123" t="s">
        <v>470</v>
      </c>
      <c r="C206" s="123" t="s">
        <v>471</v>
      </c>
      <c r="D206" s="123" t="s">
        <v>482</v>
      </c>
      <c r="E206" s="123" t="s">
        <v>483</v>
      </c>
      <c r="F206" s="123" t="s">
        <v>531</v>
      </c>
      <c r="G206" s="123" t="s">
        <v>532</v>
      </c>
      <c r="H206" s="123" t="s">
        <v>757</v>
      </c>
      <c r="I206" s="123" t="s">
        <v>758</v>
      </c>
      <c r="J206" s="123" t="s">
        <v>141</v>
      </c>
      <c r="K206" s="123" t="s">
        <v>142</v>
      </c>
      <c r="L206" s="123" t="s">
        <v>141</v>
      </c>
      <c r="M206" s="123" t="s">
        <v>142</v>
      </c>
      <c r="N206" s="123" t="s">
        <v>477</v>
      </c>
      <c r="O206" s="123" t="s">
        <v>478</v>
      </c>
      <c r="P206" s="123" t="s">
        <v>1347</v>
      </c>
      <c r="Q206" s="123" t="s">
        <v>1348</v>
      </c>
      <c r="R206" s="123" t="s">
        <v>1349</v>
      </c>
      <c r="S206" s="123" t="s">
        <v>1090</v>
      </c>
    </row>
    <row r="207" spans="1:19" hidden="1" x14ac:dyDescent="0.2">
      <c r="A207" s="123" t="s">
        <v>1090</v>
      </c>
      <c r="B207" s="123" t="s">
        <v>470</v>
      </c>
      <c r="C207" s="123" t="s">
        <v>471</v>
      </c>
      <c r="D207" s="123" t="s">
        <v>492</v>
      </c>
      <c r="E207" s="123" t="s">
        <v>493</v>
      </c>
      <c r="F207" s="123" t="s">
        <v>501</v>
      </c>
      <c r="G207" s="123" t="s">
        <v>502</v>
      </c>
      <c r="H207" s="123" t="s">
        <v>1350</v>
      </c>
      <c r="I207" s="123" t="s">
        <v>1351</v>
      </c>
      <c r="J207" s="123" t="s">
        <v>1352</v>
      </c>
      <c r="K207" s="123" t="s">
        <v>433</v>
      </c>
      <c r="L207" s="123" t="s">
        <v>1352</v>
      </c>
      <c r="M207" s="123" t="s">
        <v>433</v>
      </c>
      <c r="N207" s="123" t="s">
        <v>477</v>
      </c>
      <c r="O207" s="123" t="s">
        <v>478</v>
      </c>
      <c r="P207" s="123" t="s">
        <v>1353</v>
      </c>
      <c r="Q207" s="123" t="s">
        <v>1354</v>
      </c>
      <c r="R207" s="123" t="s">
        <v>1355</v>
      </c>
      <c r="S207" s="123" t="s">
        <v>1090</v>
      </c>
    </row>
    <row r="208" spans="1:19" hidden="1" x14ac:dyDescent="0.2">
      <c r="A208" s="123" t="s">
        <v>1090</v>
      </c>
      <c r="B208" s="123" t="s">
        <v>470</v>
      </c>
      <c r="C208" s="123" t="s">
        <v>471</v>
      </c>
      <c r="D208" s="123" t="s">
        <v>482</v>
      </c>
      <c r="E208" s="123" t="s">
        <v>483</v>
      </c>
      <c r="F208" s="123" t="s">
        <v>597</v>
      </c>
      <c r="G208" s="123" t="s">
        <v>598</v>
      </c>
      <c r="H208" s="123" t="s">
        <v>1015</v>
      </c>
      <c r="I208" s="123" t="s">
        <v>1016</v>
      </c>
      <c r="J208" s="123" t="s">
        <v>1017</v>
      </c>
      <c r="K208" s="123" t="s">
        <v>390</v>
      </c>
      <c r="L208" s="123" t="s">
        <v>1017</v>
      </c>
      <c r="M208" s="123" t="s">
        <v>390</v>
      </c>
      <c r="N208" s="123" t="s">
        <v>477</v>
      </c>
      <c r="O208" s="123" t="s">
        <v>478</v>
      </c>
      <c r="P208" s="123" t="s">
        <v>1356</v>
      </c>
      <c r="Q208" s="123" t="s">
        <v>1357</v>
      </c>
      <c r="R208" s="123" t="s">
        <v>1358</v>
      </c>
      <c r="S208" s="123" t="s">
        <v>1090</v>
      </c>
    </row>
    <row r="209" spans="1:19" hidden="1" x14ac:dyDescent="0.2">
      <c r="A209" s="123" t="s">
        <v>1090</v>
      </c>
      <c r="B209" s="123" t="s">
        <v>470</v>
      </c>
      <c r="C209" s="123" t="s">
        <v>471</v>
      </c>
      <c r="D209" s="123" t="s">
        <v>470</v>
      </c>
      <c r="E209" s="123" t="s">
        <v>472</v>
      </c>
      <c r="F209" s="123" t="s">
        <v>1021</v>
      </c>
      <c r="G209" s="123" t="s">
        <v>1022</v>
      </c>
      <c r="H209" s="123" t="s">
        <v>1023</v>
      </c>
      <c r="I209" s="123" t="s">
        <v>1024</v>
      </c>
      <c r="J209" s="123" t="s">
        <v>1025</v>
      </c>
      <c r="K209" s="123" t="s">
        <v>389</v>
      </c>
      <c r="L209" s="123" t="s">
        <v>1025</v>
      </c>
      <c r="M209" s="123" t="s">
        <v>389</v>
      </c>
      <c r="N209" s="123" t="s">
        <v>477</v>
      </c>
      <c r="O209" s="123" t="s">
        <v>478</v>
      </c>
      <c r="P209" s="123" t="s">
        <v>1359</v>
      </c>
      <c r="Q209" s="123" t="s">
        <v>1360</v>
      </c>
      <c r="R209" s="123" t="s">
        <v>1361</v>
      </c>
      <c r="S209" s="123" t="s">
        <v>1090</v>
      </c>
    </row>
    <row r="210" spans="1:19" hidden="1" x14ac:dyDescent="0.2">
      <c r="A210" s="123" t="s">
        <v>1090</v>
      </c>
      <c r="B210" s="123" t="s">
        <v>470</v>
      </c>
      <c r="C210" s="123" t="s">
        <v>471</v>
      </c>
      <c r="D210" s="123" t="s">
        <v>552</v>
      </c>
      <c r="E210" s="123" t="s">
        <v>553</v>
      </c>
      <c r="F210" s="123" t="s">
        <v>762</v>
      </c>
      <c r="G210" s="123" t="s">
        <v>763</v>
      </c>
      <c r="H210" s="123" t="s">
        <v>764</v>
      </c>
      <c r="I210" s="123" t="s">
        <v>765</v>
      </c>
      <c r="J210" s="123" t="s">
        <v>766</v>
      </c>
      <c r="K210" s="123" t="s">
        <v>188</v>
      </c>
      <c r="L210" s="123" t="s">
        <v>766</v>
      </c>
      <c r="M210" s="123" t="s">
        <v>188</v>
      </c>
      <c r="N210" s="123" t="s">
        <v>477</v>
      </c>
      <c r="O210" s="123" t="s">
        <v>478</v>
      </c>
      <c r="P210" s="123" t="s">
        <v>1362</v>
      </c>
      <c r="Q210" s="123" t="s">
        <v>1363</v>
      </c>
      <c r="R210" s="123" t="s">
        <v>1364</v>
      </c>
      <c r="S210" s="123" t="s">
        <v>1090</v>
      </c>
    </row>
    <row r="211" spans="1:19" hidden="1" x14ac:dyDescent="0.2">
      <c r="A211" s="123" t="s">
        <v>1090</v>
      </c>
      <c r="B211" s="123" t="s">
        <v>470</v>
      </c>
      <c r="C211" s="123" t="s">
        <v>471</v>
      </c>
      <c r="D211" s="123" t="s">
        <v>492</v>
      </c>
      <c r="E211" s="123" t="s">
        <v>493</v>
      </c>
      <c r="F211" s="123" t="s">
        <v>770</v>
      </c>
      <c r="G211" s="123" t="s">
        <v>771</v>
      </c>
      <c r="H211" s="123" t="s">
        <v>772</v>
      </c>
      <c r="I211" s="123" t="s">
        <v>773</v>
      </c>
      <c r="J211" s="123" t="s">
        <v>143</v>
      </c>
      <c r="K211" s="123" t="s">
        <v>144</v>
      </c>
      <c r="L211" s="123" t="s">
        <v>143</v>
      </c>
      <c r="M211" s="123" t="s">
        <v>144</v>
      </c>
      <c r="N211" s="123" t="s">
        <v>477</v>
      </c>
      <c r="O211" s="123" t="s">
        <v>478</v>
      </c>
      <c r="P211" s="123" t="s">
        <v>1365</v>
      </c>
      <c r="Q211" s="123" t="s">
        <v>1366</v>
      </c>
      <c r="R211" s="123" t="s">
        <v>1367</v>
      </c>
      <c r="S211" s="123" t="s">
        <v>1090</v>
      </c>
    </row>
    <row r="212" spans="1:19" hidden="1" x14ac:dyDescent="0.2">
      <c r="A212" s="123" t="s">
        <v>1090</v>
      </c>
      <c r="B212" s="123" t="s">
        <v>470</v>
      </c>
      <c r="C212" s="123" t="s">
        <v>471</v>
      </c>
      <c r="D212" s="123" t="s">
        <v>470</v>
      </c>
      <c r="E212" s="123" t="s">
        <v>472</v>
      </c>
      <c r="F212" s="123" t="s">
        <v>777</v>
      </c>
      <c r="G212" s="123" t="s">
        <v>778</v>
      </c>
      <c r="H212" s="123" t="s">
        <v>779</v>
      </c>
      <c r="I212" s="123" t="s">
        <v>780</v>
      </c>
      <c r="J212" s="123" t="s">
        <v>145</v>
      </c>
      <c r="K212" s="123" t="s">
        <v>146</v>
      </c>
      <c r="L212" s="123" t="s">
        <v>145</v>
      </c>
      <c r="M212" s="123" t="s">
        <v>146</v>
      </c>
      <c r="N212" s="123" t="s">
        <v>477</v>
      </c>
      <c r="O212" s="123" t="s">
        <v>478</v>
      </c>
      <c r="P212" s="123" t="s">
        <v>1368</v>
      </c>
      <c r="Q212" s="123" t="s">
        <v>1369</v>
      </c>
      <c r="R212" s="123" t="s">
        <v>1370</v>
      </c>
      <c r="S212" s="123" t="s">
        <v>1090</v>
      </c>
    </row>
    <row r="213" spans="1:19" hidden="1" x14ac:dyDescent="0.2">
      <c r="A213" s="123" t="s">
        <v>1090</v>
      </c>
      <c r="B213" s="123" t="s">
        <v>470</v>
      </c>
      <c r="C213" s="123" t="s">
        <v>471</v>
      </c>
      <c r="D213" s="123" t="s">
        <v>492</v>
      </c>
      <c r="E213" s="123" t="s">
        <v>493</v>
      </c>
      <c r="F213" s="123" t="s">
        <v>658</v>
      </c>
      <c r="G213" s="123" t="s">
        <v>659</v>
      </c>
      <c r="H213" s="123" t="s">
        <v>784</v>
      </c>
      <c r="I213" s="123" t="s">
        <v>785</v>
      </c>
      <c r="J213" s="123" t="s">
        <v>129</v>
      </c>
      <c r="K213" s="123" t="s">
        <v>130</v>
      </c>
      <c r="L213" s="123" t="s">
        <v>129</v>
      </c>
      <c r="M213" s="123" t="s">
        <v>130</v>
      </c>
      <c r="N213" s="123" t="s">
        <v>477</v>
      </c>
      <c r="O213" s="123" t="s">
        <v>478</v>
      </c>
      <c r="P213" s="123" t="s">
        <v>1371</v>
      </c>
      <c r="Q213" s="123" t="s">
        <v>1372</v>
      </c>
      <c r="R213" s="123" t="s">
        <v>1373</v>
      </c>
      <c r="S213" s="123" t="s">
        <v>1090</v>
      </c>
    </row>
    <row r="214" spans="1:19" hidden="1" x14ac:dyDescent="0.2">
      <c r="A214" s="123" t="s">
        <v>1090</v>
      </c>
      <c r="B214" s="123" t="s">
        <v>470</v>
      </c>
      <c r="C214" s="123" t="s">
        <v>471</v>
      </c>
      <c r="D214" s="123" t="s">
        <v>552</v>
      </c>
      <c r="E214" s="123" t="s">
        <v>553</v>
      </c>
      <c r="F214" s="123" t="s">
        <v>789</v>
      </c>
      <c r="G214" s="123" t="s">
        <v>790</v>
      </c>
      <c r="H214" s="123" t="s">
        <v>791</v>
      </c>
      <c r="I214" s="123" t="s">
        <v>792</v>
      </c>
      <c r="J214" s="123" t="s">
        <v>112</v>
      </c>
      <c r="K214" s="123" t="s">
        <v>113</v>
      </c>
      <c r="L214" s="123" t="s">
        <v>112</v>
      </c>
      <c r="M214" s="123" t="s">
        <v>113</v>
      </c>
      <c r="N214" s="123" t="s">
        <v>477</v>
      </c>
      <c r="O214" s="123" t="s">
        <v>478</v>
      </c>
      <c r="P214" s="123" t="s">
        <v>1374</v>
      </c>
      <c r="Q214" s="123" t="s">
        <v>1375</v>
      </c>
      <c r="R214" s="123" t="s">
        <v>1376</v>
      </c>
      <c r="S214" s="123" t="s">
        <v>1090</v>
      </c>
    </row>
    <row r="215" spans="1:19" hidden="1" x14ac:dyDescent="0.2">
      <c r="A215" s="123" t="s">
        <v>1090</v>
      </c>
      <c r="B215" s="123" t="s">
        <v>470</v>
      </c>
      <c r="C215" s="123" t="s">
        <v>471</v>
      </c>
      <c r="D215" s="123" t="s">
        <v>552</v>
      </c>
      <c r="E215" s="123" t="s">
        <v>553</v>
      </c>
      <c r="F215" s="123" t="s">
        <v>796</v>
      </c>
      <c r="G215" s="123" t="s">
        <v>797</v>
      </c>
      <c r="H215" s="123" t="s">
        <v>798</v>
      </c>
      <c r="I215" s="123" t="s">
        <v>799</v>
      </c>
      <c r="J215" s="123" t="s">
        <v>1377</v>
      </c>
      <c r="K215" s="123" t="s">
        <v>435</v>
      </c>
      <c r="L215" s="123" t="s">
        <v>1377</v>
      </c>
      <c r="M215" s="123" t="s">
        <v>435</v>
      </c>
      <c r="N215" s="123" t="s">
        <v>477</v>
      </c>
      <c r="O215" s="123" t="s">
        <v>478</v>
      </c>
      <c r="P215" s="123" t="s">
        <v>1378</v>
      </c>
      <c r="Q215" s="123" t="s">
        <v>1379</v>
      </c>
      <c r="R215" s="123" t="s">
        <v>1380</v>
      </c>
      <c r="S215" s="123" t="s">
        <v>1090</v>
      </c>
    </row>
    <row r="216" spans="1:19" hidden="1" x14ac:dyDescent="0.2">
      <c r="A216" s="123" t="s">
        <v>1090</v>
      </c>
      <c r="B216" s="123" t="s">
        <v>470</v>
      </c>
      <c r="C216" s="123" t="s">
        <v>471</v>
      </c>
      <c r="D216" s="123" t="s">
        <v>552</v>
      </c>
      <c r="E216" s="123" t="s">
        <v>553</v>
      </c>
      <c r="F216" s="123" t="s">
        <v>796</v>
      </c>
      <c r="G216" s="123" t="s">
        <v>797</v>
      </c>
      <c r="H216" s="123" t="s">
        <v>798</v>
      </c>
      <c r="I216" s="123" t="s">
        <v>799</v>
      </c>
      <c r="J216" s="123" t="s">
        <v>800</v>
      </c>
      <c r="K216" s="123" t="s">
        <v>178</v>
      </c>
      <c r="L216" s="123" t="s">
        <v>800</v>
      </c>
      <c r="M216" s="123" t="s">
        <v>178</v>
      </c>
      <c r="N216" s="123" t="s">
        <v>477</v>
      </c>
      <c r="O216" s="123" t="s">
        <v>478</v>
      </c>
      <c r="P216" s="123" t="s">
        <v>1381</v>
      </c>
      <c r="Q216" s="123" t="s">
        <v>1382</v>
      </c>
      <c r="R216" s="123" t="s">
        <v>1383</v>
      </c>
      <c r="S216" s="123" t="s">
        <v>1090</v>
      </c>
    </row>
    <row r="217" spans="1:19" hidden="1" x14ac:dyDescent="0.2">
      <c r="A217" s="123" t="s">
        <v>1090</v>
      </c>
      <c r="B217" s="123" t="s">
        <v>470</v>
      </c>
      <c r="C217" s="123" t="s">
        <v>471</v>
      </c>
      <c r="D217" s="123" t="s">
        <v>552</v>
      </c>
      <c r="E217" s="123" t="s">
        <v>553</v>
      </c>
      <c r="F217" s="123" t="s">
        <v>569</v>
      </c>
      <c r="G217" s="123" t="s">
        <v>570</v>
      </c>
      <c r="H217" s="123" t="s">
        <v>804</v>
      </c>
      <c r="I217" s="123" t="s">
        <v>805</v>
      </c>
      <c r="J217" s="123" t="s">
        <v>82</v>
      </c>
      <c r="K217" s="123" t="s">
        <v>806</v>
      </c>
      <c r="L217" s="123" t="s">
        <v>82</v>
      </c>
      <c r="M217" s="123" t="s">
        <v>806</v>
      </c>
      <c r="N217" s="123" t="s">
        <v>477</v>
      </c>
      <c r="O217" s="123" t="s">
        <v>478</v>
      </c>
      <c r="P217" s="123" t="s">
        <v>1384</v>
      </c>
      <c r="Q217" s="123" t="s">
        <v>1385</v>
      </c>
      <c r="R217" s="123" t="s">
        <v>1386</v>
      </c>
      <c r="S217" s="123" t="s">
        <v>1090</v>
      </c>
    </row>
    <row r="218" spans="1:19" hidden="1" x14ac:dyDescent="0.2">
      <c r="A218" s="123" t="s">
        <v>1090</v>
      </c>
      <c r="B218" s="123" t="s">
        <v>470</v>
      </c>
      <c r="C218" s="123" t="s">
        <v>471</v>
      </c>
      <c r="D218" s="123" t="s">
        <v>552</v>
      </c>
      <c r="E218" s="123" t="s">
        <v>553</v>
      </c>
      <c r="F218" s="123" t="s">
        <v>789</v>
      </c>
      <c r="G218" s="123" t="s">
        <v>790</v>
      </c>
      <c r="H218" s="123" t="s">
        <v>810</v>
      </c>
      <c r="I218" s="123" t="s">
        <v>811</v>
      </c>
      <c r="J218" s="123" t="s">
        <v>114</v>
      </c>
      <c r="K218" s="123" t="s">
        <v>812</v>
      </c>
      <c r="L218" s="123" t="s">
        <v>114</v>
      </c>
      <c r="M218" s="123" t="s">
        <v>812</v>
      </c>
      <c r="N218" s="123" t="s">
        <v>477</v>
      </c>
      <c r="O218" s="123" t="s">
        <v>478</v>
      </c>
      <c r="P218" s="123" t="s">
        <v>1387</v>
      </c>
      <c r="Q218" s="123" t="s">
        <v>1388</v>
      </c>
      <c r="R218" s="123" t="s">
        <v>1389</v>
      </c>
      <c r="S218" s="123" t="s">
        <v>1090</v>
      </c>
    </row>
    <row r="219" spans="1:19" hidden="1" x14ac:dyDescent="0.2">
      <c r="A219" s="123" t="s">
        <v>1090</v>
      </c>
      <c r="B219" s="123" t="s">
        <v>470</v>
      </c>
      <c r="C219" s="123" t="s">
        <v>471</v>
      </c>
      <c r="D219" s="123" t="s">
        <v>470</v>
      </c>
      <c r="E219" s="123" t="s">
        <v>472</v>
      </c>
      <c r="F219" s="123" t="s">
        <v>777</v>
      </c>
      <c r="G219" s="123" t="s">
        <v>778</v>
      </c>
      <c r="H219" s="123" t="s">
        <v>816</v>
      </c>
      <c r="I219" s="123" t="s">
        <v>817</v>
      </c>
      <c r="J219" s="123" t="s">
        <v>65</v>
      </c>
      <c r="K219" s="123" t="s">
        <v>66</v>
      </c>
      <c r="L219" s="123" t="s">
        <v>65</v>
      </c>
      <c r="M219" s="123" t="s">
        <v>66</v>
      </c>
      <c r="N219" s="123" t="s">
        <v>477</v>
      </c>
      <c r="O219" s="123" t="s">
        <v>478</v>
      </c>
      <c r="P219" s="123" t="s">
        <v>1390</v>
      </c>
      <c r="Q219" s="123" t="s">
        <v>1391</v>
      </c>
      <c r="R219" s="123" t="s">
        <v>1392</v>
      </c>
      <c r="S219" s="123" t="s">
        <v>1090</v>
      </c>
    </row>
    <row r="220" spans="1:19" hidden="1" x14ac:dyDescent="0.2">
      <c r="A220" s="123" t="s">
        <v>1090</v>
      </c>
      <c r="B220" s="123" t="s">
        <v>470</v>
      </c>
      <c r="C220" s="123" t="s">
        <v>471</v>
      </c>
      <c r="D220" s="123" t="s">
        <v>470</v>
      </c>
      <c r="E220" s="123" t="s">
        <v>472</v>
      </c>
      <c r="F220" s="123" t="s">
        <v>777</v>
      </c>
      <c r="G220" s="123" t="s">
        <v>778</v>
      </c>
      <c r="H220" s="123" t="s">
        <v>816</v>
      </c>
      <c r="I220" s="123" t="s">
        <v>817</v>
      </c>
      <c r="J220" s="123" t="s">
        <v>1393</v>
      </c>
      <c r="K220" s="123" t="s">
        <v>440</v>
      </c>
      <c r="L220" s="123" t="s">
        <v>1393</v>
      </c>
      <c r="M220" s="123" t="s">
        <v>440</v>
      </c>
      <c r="N220" s="123" t="s">
        <v>477</v>
      </c>
      <c r="O220" s="123" t="s">
        <v>478</v>
      </c>
      <c r="P220" s="123" t="s">
        <v>1394</v>
      </c>
      <c r="Q220" s="123" t="s">
        <v>1395</v>
      </c>
      <c r="R220" s="123" t="s">
        <v>1396</v>
      </c>
      <c r="S220" s="123" t="s">
        <v>1090</v>
      </c>
    </row>
    <row r="221" spans="1:19" hidden="1" x14ac:dyDescent="0.2">
      <c r="A221" s="123" t="s">
        <v>1090</v>
      </c>
      <c r="B221" s="123" t="s">
        <v>470</v>
      </c>
      <c r="C221" s="123" t="s">
        <v>471</v>
      </c>
      <c r="D221" s="123" t="s">
        <v>470</v>
      </c>
      <c r="E221" s="123" t="s">
        <v>472</v>
      </c>
      <c r="F221" s="123" t="s">
        <v>685</v>
      </c>
      <c r="G221" s="123" t="s">
        <v>686</v>
      </c>
      <c r="H221" s="123" t="s">
        <v>1056</v>
      </c>
      <c r="I221" s="123" t="s">
        <v>1057</v>
      </c>
      <c r="J221" s="123" t="s">
        <v>1058</v>
      </c>
      <c r="K221" s="123" t="s">
        <v>388</v>
      </c>
      <c r="L221" s="123" t="s">
        <v>1058</v>
      </c>
      <c r="M221" s="123" t="s">
        <v>388</v>
      </c>
      <c r="N221" s="123" t="s">
        <v>477</v>
      </c>
      <c r="O221" s="123" t="s">
        <v>478</v>
      </c>
      <c r="P221" s="123" t="s">
        <v>1397</v>
      </c>
      <c r="Q221" s="123" t="s">
        <v>1398</v>
      </c>
      <c r="R221" s="123" t="s">
        <v>1399</v>
      </c>
      <c r="S221" s="123" t="s">
        <v>1090</v>
      </c>
    </row>
    <row r="222" spans="1:19" hidden="1" x14ac:dyDescent="0.2">
      <c r="A222" s="123" t="s">
        <v>1090</v>
      </c>
      <c r="B222" s="123" t="s">
        <v>470</v>
      </c>
      <c r="C222" s="123" t="s">
        <v>471</v>
      </c>
      <c r="D222" s="123" t="s">
        <v>470</v>
      </c>
      <c r="E222" s="123" t="s">
        <v>472</v>
      </c>
      <c r="F222" s="123" t="s">
        <v>685</v>
      </c>
      <c r="G222" s="123" t="s">
        <v>686</v>
      </c>
      <c r="H222" s="123" t="s">
        <v>821</v>
      </c>
      <c r="I222" s="123" t="s">
        <v>822</v>
      </c>
      <c r="J222" s="123" t="s">
        <v>147</v>
      </c>
      <c r="K222" s="123" t="s">
        <v>148</v>
      </c>
      <c r="L222" s="123" t="s">
        <v>147</v>
      </c>
      <c r="M222" s="123" t="s">
        <v>148</v>
      </c>
      <c r="N222" s="123" t="s">
        <v>477</v>
      </c>
      <c r="O222" s="123" t="s">
        <v>478</v>
      </c>
      <c r="P222" s="123" t="s">
        <v>1400</v>
      </c>
      <c r="Q222" s="123" t="s">
        <v>1401</v>
      </c>
      <c r="R222" s="123" t="s">
        <v>1402</v>
      </c>
      <c r="S222" s="123" t="s">
        <v>1090</v>
      </c>
    </row>
    <row r="223" spans="1:19" hidden="1" x14ac:dyDescent="0.2">
      <c r="A223" s="123" t="s">
        <v>1090</v>
      </c>
      <c r="B223" s="123" t="s">
        <v>470</v>
      </c>
      <c r="C223" s="123" t="s">
        <v>471</v>
      </c>
      <c r="D223" s="123" t="s">
        <v>482</v>
      </c>
      <c r="E223" s="123" t="s">
        <v>483</v>
      </c>
      <c r="F223" s="123" t="s">
        <v>1339</v>
      </c>
      <c r="G223" s="123" t="s">
        <v>1340</v>
      </c>
      <c r="H223" s="123" t="s">
        <v>1403</v>
      </c>
      <c r="I223" s="123" t="s">
        <v>1404</v>
      </c>
      <c r="J223" s="123" t="s">
        <v>1405</v>
      </c>
      <c r="K223" s="123" t="s">
        <v>427</v>
      </c>
      <c r="L223" s="123" t="s">
        <v>1405</v>
      </c>
      <c r="M223" s="123" t="s">
        <v>427</v>
      </c>
      <c r="N223" s="123" t="s">
        <v>477</v>
      </c>
      <c r="O223" s="123" t="s">
        <v>478</v>
      </c>
      <c r="P223" s="123" t="s">
        <v>1406</v>
      </c>
      <c r="Q223" s="123" t="s">
        <v>1407</v>
      </c>
      <c r="R223" s="123" t="s">
        <v>1408</v>
      </c>
      <c r="S223" s="123" t="s">
        <v>1090</v>
      </c>
    </row>
    <row r="224" spans="1:19" hidden="1" x14ac:dyDescent="0.2">
      <c r="A224" s="123" t="s">
        <v>1090</v>
      </c>
      <c r="B224" s="123" t="s">
        <v>470</v>
      </c>
      <c r="C224" s="123" t="s">
        <v>471</v>
      </c>
      <c r="D224" s="123" t="s">
        <v>552</v>
      </c>
      <c r="E224" s="123" t="s">
        <v>553</v>
      </c>
      <c r="F224" s="123" t="s">
        <v>730</v>
      </c>
      <c r="G224" s="123" t="s">
        <v>731</v>
      </c>
      <c r="H224" s="123" t="s">
        <v>1409</v>
      </c>
      <c r="I224" s="123" t="s">
        <v>1410</v>
      </c>
      <c r="J224" s="123" t="s">
        <v>1411</v>
      </c>
      <c r="K224" s="123" t="s">
        <v>438</v>
      </c>
      <c r="L224" s="123" t="s">
        <v>1411</v>
      </c>
      <c r="M224" s="123" t="s">
        <v>438</v>
      </c>
      <c r="N224" s="123" t="s">
        <v>477</v>
      </c>
      <c r="O224" s="123" t="s">
        <v>478</v>
      </c>
      <c r="P224" s="123" t="s">
        <v>1412</v>
      </c>
      <c r="Q224" s="123" t="s">
        <v>1413</v>
      </c>
      <c r="R224" s="123" t="s">
        <v>1414</v>
      </c>
      <c r="S224" s="123" t="s">
        <v>1090</v>
      </c>
    </row>
    <row r="225" spans="1:21" hidden="1" x14ac:dyDescent="0.2">
      <c r="A225" s="123" t="s">
        <v>1090</v>
      </c>
      <c r="B225" s="123" t="s">
        <v>492</v>
      </c>
      <c r="C225" s="123" t="s">
        <v>1065</v>
      </c>
      <c r="D225" s="123" t="s">
        <v>1066</v>
      </c>
      <c r="E225" s="123" t="s">
        <v>1067</v>
      </c>
      <c r="F225" s="123" t="s">
        <v>1068</v>
      </c>
      <c r="G225" s="123" t="s">
        <v>1069</v>
      </c>
      <c r="H225" s="123" t="s">
        <v>1070</v>
      </c>
      <c r="I225" s="123" t="s">
        <v>1071</v>
      </c>
      <c r="J225" s="123" t="s">
        <v>174</v>
      </c>
      <c r="K225" s="123" t="s">
        <v>175</v>
      </c>
      <c r="L225" s="123" t="s">
        <v>174</v>
      </c>
      <c r="M225" s="123" t="s">
        <v>175</v>
      </c>
      <c r="N225" s="123" t="s">
        <v>477</v>
      </c>
      <c r="O225" s="123" t="s">
        <v>478</v>
      </c>
      <c r="P225" s="123" t="s">
        <v>1415</v>
      </c>
      <c r="Q225" s="123" t="s">
        <v>1416</v>
      </c>
      <c r="R225" s="123" t="s">
        <v>1417</v>
      </c>
      <c r="S225" s="123" t="s">
        <v>1090</v>
      </c>
    </row>
    <row r="226" spans="1:21" hidden="1" x14ac:dyDescent="0.2">
      <c r="A226" s="123" t="s">
        <v>1090</v>
      </c>
      <c r="B226" s="123" t="s">
        <v>470</v>
      </c>
      <c r="C226" s="123" t="s">
        <v>471</v>
      </c>
      <c r="D226" s="123" t="s">
        <v>492</v>
      </c>
      <c r="E226" s="123" t="s">
        <v>493</v>
      </c>
      <c r="F226" s="123" t="s">
        <v>697</v>
      </c>
      <c r="G226" s="123" t="s">
        <v>698</v>
      </c>
      <c r="H226" s="123" t="s">
        <v>826</v>
      </c>
      <c r="I226" s="123" t="s">
        <v>827</v>
      </c>
      <c r="J226" s="123" t="s">
        <v>151</v>
      </c>
      <c r="K226" s="123" t="s">
        <v>152</v>
      </c>
      <c r="L226" s="123" t="s">
        <v>151</v>
      </c>
      <c r="M226" s="123" t="s">
        <v>152</v>
      </c>
      <c r="N226" s="123" t="s">
        <v>477</v>
      </c>
      <c r="O226" s="123" t="s">
        <v>478</v>
      </c>
      <c r="P226" s="123" t="s">
        <v>1418</v>
      </c>
      <c r="Q226" s="123" t="s">
        <v>1419</v>
      </c>
      <c r="R226" s="123" t="s">
        <v>1420</v>
      </c>
      <c r="S226" s="123" t="s">
        <v>1090</v>
      </c>
    </row>
    <row r="227" spans="1:21" hidden="1" x14ac:dyDescent="0.2">
      <c r="A227" s="123" t="s">
        <v>1090</v>
      </c>
      <c r="B227" s="123" t="s">
        <v>470</v>
      </c>
      <c r="C227" s="123" t="s">
        <v>471</v>
      </c>
      <c r="D227" s="123" t="s">
        <v>492</v>
      </c>
      <c r="E227" s="123" t="s">
        <v>493</v>
      </c>
      <c r="F227" s="123" t="s">
        <v>697</v>
      </c>
      <c r="G227" s="123" t="s">
        <v>698</v>
      </c>
      <c r="H227" s="123" t="s">
        <v>826</v>
      </c>
      <c r="I227" s="123" t="s">
        <v>827</v>
      </c>
      <c r="J227" s="123" t="s">
        <v>95</v>
      </c>
      <c r="K227" s="123" t="s">
        <v>96</v>
      </c>
      <c r="L227" s="123" t="s">
        <v>95</v>
      </c>
      <c r="M227" s="123" t="s">
        <v>96</v>
      </c>
      <c r="N227" s="123" t="s">
        <v>477</v>
      </c>
      <c r="O227" s="123" t="s">
        <v>478</v>
      </c>
      <c r="P227" s="123" t="s">
        <v>1421</v>
      </c>
      <c r="Q227" s="123" t="s">
        <v>1422</v>
      </c>
      <c r="R227" s="123" t="s">
        <v>1423</v>
      </c>
      <c r="S227" s="123" t="s">
        <v>1090</v>
      </c>
    </row>
    <row r="228" spans="1:21" hidden="1" x14ac:dyDescent="0.2">
      <c r="A228" s="123" t="s">
        <v>1090</v>
      </c>
      <c r="B228" s="123" t="s">
        <v>470</v>
      </c>
      <c r="C228" s="123" t="s">
        <v>471</v>
      </c>
      <c r="D228" s="123" t="s">
        <v>492</v>
      </c>
      <c r="E228" s="123" t="s">
        <v>493</v>
      </c>
      <c r="F228" s="123" t="s">
        <v>697</v>
      </c>
      <c r="G228" s="123" t="s">
        <v>698</v>
      </c>
      <c r="H228" s="123" t="s">
        <v>826</v>
      </c>
      <c r="I228" s="123" t="s">
        <v>827</v>
      </c>
      <c r="J228" s="123" t="s">
        <v>828</v>
      </c>
      <c r="K228" s="123" t="s">
        <v>168</v>
      </c>
      <c r="L228" s="123" t="s">
        <v>828</v>
      </c>
      <c r="M228" s="123" t="s">
        <v>168</v>
      </c>
      <c r="N228" s="123" t="s">
        <v>477</v>
      </c>
      <c r="O228" s="123" t="s">
        <v>478</v>
      </c>
      <c r="P228" s="123" t="s">
        <v>1424</v>
      </c>
      <c r="Q228" s="123" t="s">
        <v>1425</v>
      </c>
      <c r="R228" s="123" t="s">
        <v>1426</v>
      </c>
      <c r="S228" s="123" t="s">
        <v>1090</v>
      </c>
    </row>
    <row r="229" spans="1:21" hidden="1" x14ac:dyDescent="0.2">
      <c r="A229" s="123" t="s">
        <v>1090</v>
      </c>
      <c r="B229" s="123" t="s">
        <v>470</v>
      </c>
      <c r="C229" s="123" t="s">
        <v>471</v>
      </c>
      <c r="D229" s="123" t="s">
        <v>552</v>
      </c>
      <c r="E229" s="123" t="s">
        <v>553</v>
      </c>
      <c r="F229" s="123" t="s">
        <v>554</v>
      </c>
      <c r="G229" s="123" t="s">
        <v>555</v>
      </c>
      <c r="H229" s="123" t="s">
        <v>1081</v>
      </c>
      <c r="I229" s="123" t="s">
        <v>1082</v>
      </c>
      <c r="J229" s="123" t="s">
        <v>1083</v>
      </c>
      <c r="K229" s="123" t="s">
        <v>186</v>
      </c>
      <c r="L229" s="123" t="s">
        <v>1083</v>
      </c>
      <c r="M229" s="123" t="s">
        <v>186</v>
      </c>
      <c r="N229" s="123" t="s">
        <v>477</v>
      </c>
      <c r="O229" s="123" t="s">
        <v>478</v>
      </c>
      <c r="P229" s="123" t="s">
        <v>1427</v>
      </c>
      <c r="Q229" s="123" t="s">
        <v>1428</v>
      </c>
      <c r="R229" s="123" t="s">
        <v>1429</v>
      </c>
      <c r="S229" s="123" t="s">
        <v>1090</v>
      </c>
    </row>
    <row r="230" spans="1:21" hidden="1" x14ac:dyDescent="0.2">
      <c r="A230" s="123" t="s">
        <v>1090</v>
      </c>
      <c r="B230" s="123" t="s">
        <v>470</v>
      </c>
      <c r="C230" s="123" t="s">
        <v>471</v>
      </c>
      <c r="D230" s="123" t="s">
        <v>552</v>
      </c>
      <c r="E230" s="123" t="s">
        <v>553</v>
      </c>
      <c r="F230" s="123" t="s">
        <v>762</v>
      </c>
      <c r="G230" s="123" t="s">
        <v>763</v>
      </c>
      <c r="H230" s="123" t="s">
        <v>835</v>
      </c>
      <c r="I230" s="123" t="s">
        <v>836</v>
      </c>
      <c r="J230" s="123" t="s">
        <v>155</v>
      </c>
      <c r="K230" s="123" t="s">
        <v>156</v>
      </c>
      <c r="L230" s="123" t="s">
        <v>155</v>
      </c>
      <c r="M230" s="123" t="s">
        <v>156</v>
      </c>
      <c r="N230" s="123" t="s">
        <v>477</v>
      </c>
      <c r="O230" s="123" t="s">
        <v>478</v>
      </c>
      <c r="P230" s="123" t="s">
        <v>1430</v>
      </c>
      <c r="Q230" s="123" t="s">
        <v>1431</v>
      </c>
      <c r="R230" s="123" t="s">
        <v>1432</v>
      </c>
      <c r="S230" s="123" t="s">
        <v>1090</v>
      </c>
    </row>
    <row r="231" spans="1:21" x14ac:dyDescent="0.2">
      <c r="A231" s="123" t="s">
        <v>1433</v>
      </c>
      <c r="B231" s="123" t="s">
        <v>470</v>
      </c>
      <c r="C231" s="123" t="s">
        <v>471</v>
      </c>
      <c r="D231" s="123" t="s">
        <v>470</v>
      </c>
      <c r="E231" s="123" t="s">
        <v>472</v>
      </c>
      <c r="F231" s="123" t="s">
        <v>473</v>
      </c>
      <c r="G231" s="123" t="s">
        <v>474</v>
      </c>
      <c r="H231" s="123" t="s">
        <v>475</v>
      </c>
      <c r="I231" s="123" t="s">
        <v>476</v>
      </c>
      <c r="J231" s="123" t="s">
        <v>1091</v>
      </c>
      <c r="K231" s="123" t="s">
        <v>430</v>
      </c>
      <c r="L231" s="123" t="s">
        <v>1091</v>
      </c>
      <c r="M231" s="123" t="s">
        <v>430</v>
      </c>
      <c r="N231" s="123" t="s">
        <v>477</v>
      </c>
      <c r="O231" s="123" t="s">
        <v>478</v>
      </c>
      <c r="P231" s="123">
        <v>2400909</v>
      </c>
      <c r="Q231" s="123">
        <v>240091</v>
      </c>
      <c r="R231" s="123">
        <v>2641000</v>
      </c>
      <c r="S231" s="123" t="s">
        <v>1433</v>
      </c>
    </row>
    <row r="232" spans="1:21" x14ac:dyDescent="0.2">
      <c r="A232" s="123" t="s">
        <v>1433</v>
      </c>
      <c r="B232" s="123" t="s">
        <v>470</v>
      </c>
      <c r="C232" s="123" t="s">
        <v>471</v>
      </c>
      <c r="D232" s="123" t="s">
        <v>492</v>
      </c>
      <c r="E232" s="123" t="s">
        <v>493</v>
      </c>
      <c r="F232" s="123" t="s">
        <v>494</v>
      </c>
      <c r="G232" s="123" t="s">
        <v>495</v>
      </c>
      <c r="H232" s="123" t="s">
        <v>496</v>
      </c>
      <c r="I232" s="123" t="s">
        <v>497</v>
      </c>
      <c r="J232" s="123" t="s">
        <v>100</v>
      </c>
      <c r="K232" s="123" t="s">
        <v>101</v>
      </c>
      <c r="L232" s="123" t="s">
        <v>100</v>
      </c>
      <c r="M232" s="123" t="s">
        <v>101</v>
      </c>
      <c r="N232" s="123" t="s">
        <v>477</v>
      </c>
      <c r="O232" s="123" t="s">
        <v>478</v>
      </c>
      <c r="P232" s="123">
        <v>10340909</v>
      </c>
      <c r="Q232" s="123">
        <v>1034091</v>
      </c>
      <c r="R232" s="123">
        <v>11375000</v>
      </c>
      <c r="S232" s="123" t="s">
        <v>1433</v>
      </c>
    </row>
    <row r="233" spans="1:21" x14ac:dyDescent="0.2">
      <c r="A233" s="123" t="s">
        <v>1433</v>
      </c>
      <c r="B233" s="123" t="s">
        <v>470</v>
      </c>
      <c r="C233" s="123" t="s">
        <v>471</v>
      </c>
      <c r="D233" s="123" t="s">
        <v>492</v>
      </c>
      <c r="E233" s="123" t="s">
        <v>493</v>
      </c>
      <c r="F233" s="123" t="s">
        <v>501</v>
      </c>
      <c r="G233" s="123" t="s">
        <v>502</v>
      </c>
      <c r="H233" s="123" t="s">
        <v>503</v>
      </c>
      <c r="I233" s="123" t="s">
        <v>504</v>
      </c>
      <c r="J233" s="123" t="s">
        <v>119</v>
      </c>
      <c r="K233" s="123" t="s">
        <v>120</v>
      </c>
      <c r="L233" s="123" t="s">
        <v>119</v>
      </c>
      <c r="M233" s="123" t="s">
        <v>120</v>
      </c>
      <c r="N233" s="123" t="s">
        <v>477</v>
      </c>
      <c r="O233" s="123" t="s">
        <v>478</v>
      </c>
      <c r="P233" s="123">
        <v>9396364</v>
      </c>
      <c r="Q233" s="123">
        <v>939636</v>
      </c>
      <c r="R233" s="123">
        <v>10336000</v>
      </c>
      <c r="S233" s="123" t="s">
        <v>1433</v>
      </c>
    </row>
    <row r="234" spans="1:21" x14ac:dyDescent="0.2">
      <c r="A234" s="123" t="s">
        <v>1433</v>
      </c>
      <c r="B234" s="123" t="s">
        <v>470</v>
      </c>
      <c r="C234" s="123" t="s">
        <v>471</v>
      </c>
      <c r="D234" s="123" t="s">
        <v>492</v>
      </c>
      <c r="E234" s="123" t="s">
        <v>493</v>
      </c>
      <c r="F234" s="123" t="s">
        <v>501</v>
      </c>
      <c r="G234" s="123" t="s">
        <v>502</v>
      </c>
      <c r="H234" s="123" t="s">
        <v>503</v>
      </c>
      <c r="I234" s="123" t="s">
        <v>504</v>
      </c>
      <c r="J234" s="123" t="s">
        <v>508</v>
      </c>
      <c r="K234" s="123" t="s">
        <v>163</v>
      </c>
      <c r="L234" s="123" t="s">
        <v>508</v>
      </c>
      <c r="M234" s="123" t="s">
        <v>163</v>
      </c>
      <c r="N234" s="123" t="s">
        <v>477</v>
      </c>
      <c r="O234" s="123" t="s">
        <v>478</v>
      </c>
      <c r="P234" s="123">
        <v>37847273</v>
      </c>
      <c r="Q234" s="123">
        <v>3784727</v>
      </c>
      <c r="R234" s="123">
        <v>41632000</v>
      </c>
      <c r="S234" s="123" t="s">
        <v>1433</v>
      </c>
    </row>
    <row r="235" spans="1:21" x14ac:dyDescent="0.2">
      <c r="A235" s="123" t="s">
        <v>1433</v>
      </c>
      <c r="B235" s="123" t="s">
        <v>470</v>
      </c>
      <c r="C235" s="123" t="s">
        <v>471</v>
      </c>
      <c r="D235" s="123" t="s">
        <v>482</v>
      </c>
      <c r="E235" s="123" t="s">
        <v>483</v>
      </c>
      <c r="F235" s="123" t="s">
        <v>484</v>
      </c>
      <c r="G235" s="123" t="s">
        <v>485</v>
      </c>
      <c r="H235" s="123" t="s">
        <v>512</v>
      </c>
      <c r="I235" s="123" t="s">
        <v>513</v>
      </c>
      <c r="J235" s="123" t="s">
        <v>514</v>
      </c>
      <c r="K235" s="123" t="s">
        <v>181</v>
      </c>
      <c r="L235" s="123" t="s">
        <v>514</v>
      </c>
      <c r="M235" s="123" t="s">
        <v>181</v>
      </c>
      <c r="N235" s="123" t="s">
        <v>477</v>
      </c>
      <c r="O235" s="123" t="s">
        <v>478</v>
      </c>
      <c r="P235" s="123">
        <v>5556364</v>
      </c>
      <c r="Q235" s="123">
        <v>555636</v>
      </c>
      <c r="R235" s="123">
        <v>6112000</v>
      </c>
      <c r="S235" s="123" t="s">
        <v>1433</v>
      </c>
      <c r="U235">
        <v>1</v>
      </c>
    </row>
    <row r="236" spans="1:21" x14ac:dyDescent="0.2">
      <c r="A236" s="123" t="s">
        <v>1433</v>
      </c>
      <c r="B236" s="123" t="s">
        <v>470</v>
      </c>
      <c r="C236" s="123" t="s">
        <v>471</v>
      </c>
      <c r="D236" s="123" t="s">
        <v>470</v>
      </c>
      <c r="E236" s="123" t="s">
        <v>472</v>
      </c>
      <c r="F236" s="123" t="s">
        <v>473</v>
      </c>
      <c r="G236" s="123" t="s">
        <v>474</v>
      </c>
      <c r="H236" s="123" t="s">
        <v>518</v>
      </c>
      <c r="I236" s="123" t="s">
        <v>519</v>
      </c>
      <c r="J236" s="123" t="s">
        <v>527</v>
      </c>
      <c r="K236" s="123" t="s">
        <v>172</v>
      </c>
      <c r="L236" s="123" t="s">
        <v>527</v>
      </c>
      <c r="M236" s="123" t="s">
        <v>172</v>
      </c>
      <c r="N236" s="123" t="s">
        <v>477</v>
      </c>
      <c r="O236" s="123" t="s">
        <v>478</v>
      </c>
      <c r="P236" s="123">
        <v>17127273</v>
      </c>
      <c r="Q236" s="123">
        <v>1712727</v>
      </c>
      <c r="R236" s="123">
        <v>18840000</v>
      </c>
      <c r="S236" s="123" t="s">
        <v>1433</v>
      </c>
    </row>
    <row r="237" spans="1:21" x14ac:dyDescent="0.2">
      <c r="A237" s="123" t="s">
        <v>1433</v>
      </c>
      <c r="B237" s="123" t="s">
        <v>470</v>
      </c>
      <c r="C237" s="123" t="s">
        <v>471</v>
      </c>
      <c r="D237" s="123" t="s">
        <v>470</v>
      </c>
      <c r="E237" s="123" t="s">
        <v>472</v>
      </c>
      <c r="F237" s="123" t="s">
        <v>473</v>
      </c>
      <c r="G237" s="123" t="s">
        <v>474</v>
      </c>
      <c r="H237" s="123" t="s">
        <v>518</v>
      </c>
      <c r="I237" s="123" t="s">
        <v>519</v>
      </c>
      <c r="J237" s="123" t="s">
        <v>1116</v>
      </c>
      <c r="K237" s="123" t="s">
        <v>420</v>
      </c>
      <c r="L237" s="123" t="s">
        <v>1116</v>
      </c>
      <c r="M237" s="123" t="s">
        <v>420</v>
      </c>
      <c r="N237" s="123" t="s">
        <v>477</v>
      </c>
      <c r="O237" s="123" t="s">
        <v>478</v>
      </c>
      <c r="P237" s="123">
        <v>2052727</v>
      </c>
      <c r="Q237" s="123">
        <v>205273</v>
      </c>
      <c r="R237" s="123">
        <v>2258000</v>
      </c>
      <c r="S237" s="123" t="s">
        <v>1433</v>
      </c>
    </row>
    <row r="238" spans="1:21" x14ac:dyDescent="0.2">
      <c r="A238" s="123" t="s">
        <v>1433</v>
      </c>
      <c r="B238" s="123" t="s">
        <v>470</v>
      </c>
      <c r="C238" s="123" t="s">
        <v>471</v>
      </c>
      <c r="D238" s="123" t="s">
        <v>470</v>
      </c>
      <c r="E238" s="123" t="s">
        <v>472</v>
      </c>
      <c r="F238" s="123" t="s">
        <v>473</v>
      </c>
      <c r="G238" s="123" t="s">
        <v>474</v>
      </c>
      <c r="H238" s="123" t="s">
        <v>518</v>
      </c>
      <c r="I238" s="123" t="s">
        <v>519</v>
      </c>
      <c r="J238" s="123" t="s">
        <v>102</v>
      </c>
      <c r="K238" s="123" t="s">
        <v>103</v>
      </c>
      <c r="L238" s="123" t="s">
        <v>102</v>
      </c>
      <c r="M238" s="123" t="s">
        <v>103</v>
      </c>
      <c r="N238" s="123" t="s">
        <v>477</v>
      </c>
      <c r="O238" s="123" t="s">
        <v>478</v>
      </c>
      <c r="P238" s="123">
        <v>4689091</v>
      </c>
      <c r="Q238" s="123">
        <v>468909</v>
      </c>
      <c r="R238" s="123">
        <v>5158000</v>
      </c>
      <c r="S238" s="123" t="s">
        <v>1433</v>
      </c>
    </row>
    <row r="239" spans="1:21" x14ac:dyDescent="0.2">
      <c r="A239" s="123" t="s">
        <v>1433</v>
      </c>
      <c r="B239" s="123" t="s">
        <v>470</v>
      </c>
      <c r="C239" s="123" t="s">
        <v>471</v>
      </c>
      <c r="D239" s="123" t="s">
        <v>470</v>
      </c>
      <c r="E239" s="123" t="s">
        <v>472</v>
      </c>
      <c r="F239" s="123" t="s">
        <v>473</v>
      </c>
      <c r="G239" s="123" t="s">
        <v>474</v>
      </c>
      <c r="H239" s="123" t="s">
        <v>518</v>
      </c>
      <c r="I239" s="123" t="s">
        <v>519</v>
      </c>
      <c r="J239" s="123" t="s">
        <v>523</v>
      </c>
      <c r="K239" s="123" t="s">
        <v>164</v>
      </c>
      <c r="L239" s="123" t="s">
        <v>523</v>
      </c>
      <c r="M239" s="123" t="s">
        <v>164</v>
      </c>
      <c r="N239" s="123" t="s">
        <v>477</v>
      </c>
      <c r="O239" s="123" t="s">
        <v>478</v>
      </c>
      <c r="P239" s="123">
        <v>1585455</v>
      </c>
      <c r="Q239" s="123">
        <v>158545</v>
      </c>
      <c r="R239" s="123">
        <v>1744000</v>
      </c>
      <c r="S239" s="123" t="s">
        <v>1433</v>
      </c>
    </row>
    <row r="240" spans="1:21" x14ac:dyDescent="0.2">
      <c r="A240" s="123" t="s">
        <v>1433</v>
      </c>
      <c r="B240" s="123" t="s">
        <v>470</v>
      </c>
      <c r="C240" s="123" t="s">
        <v>471</v>
      </c>
      <c r="D240" s="123" t="s">
        <v>482</v>
      </c>
      <c r="E240" s="123" t="s">
        <v>483</v>
      </c>
      <c r="F240" s="123" t="s">
        <v>531</v>
      </c>
      <c r="G240" s="123" t="s">
        <v>532</v>
      </c>
      <c r="H240" s="123" t="s">
        <v>1129</v>
      </c>
      <c r="I240" s="123" t="s">
        <v>1130</v>
      </c>
      <c r="J240" s="123" t="s">
        <v>1131</v>
      </c>
      <c r="K240" s="123" t="s">
        <v>432</v>
      </c>
      <c r="L240" s="123" t="s">
        <v>1131</v>
      </c>
      <c r="M240" s="123" t="s">
        <v>432</v>
      </c>
      <c r="N240" s="123" t="s">
        <v>477</v>
      </c>
      <c r="O240" s="123" t="s">
        <v>478</v>
      </c>
      <c r="P240" s="123">
        <v>4951818</v>
      </c>
      <c r="Q240" s="123">
        <v>495182</v>
      </c>
      <c r="R240" s="123">
        <v>5447000</v>
      </c>
      <c r="S240" s="123" t="s">
        <v>1433</v>
      </c>
    </row>
    <row r="241" spans="1:19" x14ac:dyDescent="0.2">
      <c r="A241" s="123" t="s">
        <v>1433</v>
      </c>
      <c r="B241" s="123" t="s">
        <v>492</v>
      </c>
      <c r="C241" s="123" t="s">
        <v>1065</v>
      </c>
      <c r="D241" s="123" t="s">
        <v>1066</v>
      </c>
      <c r="E241" s="123" t="s">
        <v>1067</v>
      </c>
      <c r="F241" s="123" t="s">
        <v>1135</v>
      </c>
      <c r="G241" s="123" t="s">
        <v>1136</v>
      </c>
      <c r="H241" s="123" t="s">
        <v>1137</v>
      </c>
      <c r="I241" s="123" t="s">
        <v>1138</v>
      </c>
      <c r="J241" s="123" t="s">
        <v>1139</v>
      </c>
      <c r="K241" s="123" t="s">
        <v>437</v>
      </c>
      <c r="L241" s="123" t="s">
        <v>1139</v>
      </c>
      <c r="M241" s="123" t="s">
        <v>437</v>
      </c>
      <c r="N241" s="123" t="s">
        <v>477</v>
      </c>
      <c r="O241" s="123" t="s">
        <v>478</v>
      </c>
      <c r="P241" s="123">
        <v>2618182</v>
      </c>
      <c r="Q241" s="123">
        <v>261818</v>
      </c>
      <c r="R241" s="123">
        <v>2880000</v>
      </c>
      <c r="S241" s="123" t="s">
        <v>1433</v>
      </c>
    </row>
    <row r="242" spans="1:19" x14ac:dyDescent="0.2">
      <c r="A242" s="123" t="s">
        <v>1433</v>
      </c>
      <c r="B242" s="123" t="s">
        <v>470</v>
      </c>
      <c r="C242" s="123" t="s">
        <v>471</v>
      </c>
      <c r="D242" s="123" t="s">
        <v>482</v>
      </c>
      <c r="E242" s="123" t="s">
        <v>483</v>
      </c>
      <c r="F242" s="123" t="s">
        <v>531</v>
      </c>
      <c r="G242" s="123" t="s">
        <v>532</v>
      </c>
      <c r="H242" s="123" t="s">
        <v>533</v>
      </c>
      <c r="I242" s="123" t="s">
        <v>534</v>
      </c>
      <c r="J242" s="123" t="s">
        <v>535</v>
      </c>
      <c r="K242" s="123" t="s">
        <v>173</v>
      </c>
      <c r="L242" s="123" t="s">
        <v>535</v>
      </c>
      <c r="M242" s="123" t="s">
        <v>173</v>
      </c>
      <c r="N242" s="123" t="s">
        <v>477</v>
      </c>
      <c r="O242" s="123" t="s">
        <v>478</v>
      </c>
      <c r="P242" s="123">
        <v>14311818</v>
      </c>
      <c r="Q242" s="123">
        <v>1431182</v>
      </c>
      <c r="R242" s="123">
        <v>15743000</v>
      </c>
      <c r="S242" s="123" t="s">
        <v>1433</v>
      </c>
    </row>
    <row r="243" spans="1:19" x14ac:dyDescent="0.2">
      <c r="A243" s="123" t="s">
        <v>1433</v>
      </c>
      <c r="B243" s="123" t="s">
        <v>470</v>
      </c>
      <c r="C243" s="123" t="s">
        <v>471</v>
      </c>
      <c r="D243" s="123" t="s">
        <v>492</v>
      </c>
      <c r="E243" s="123" t="s">
        <v>493</v>
      </c>
      <c r="F243" s="123" t="s">
        <v>501</v>
      </c>
      <c r="G243" s="123" t="s">
        <v>502</v>
      </c>
      <c r="H243" s="123" t="s">
        <v>547</v>
      </c>
      <c r="I243" s="123" t="s">
        <v>548</v>
      </c>
      <c r="J243" s="123" t="s">
        <v>1149</v>
      </c>
      <c r="K243" s="123" t="s">
        <v>434</v>
      </c>
      <c r="L243" s="123" t="s">
        <v>1149</v>
      </c>
      <c r="M243" s="123" t="s">
        <v>434</v>
      </c>
      <c r="N243" s="123" t="s">
        <v>477</v>
      </c>
      <c r="O243" s="123" t="s">
        <v>478</v>
      </c>
      <c r="P243" s="123">
        <v>15214545</v>
      </c>
      <c r="Q243" s="123">
        <v>1521455</v>
      </c>
      <c r="R243" s="123">
        <v>16736000</v>
      </c>
      <c r="S243" s="123" t="s">
        <v>1433</v>
      </c>
    </row>
    <row r="244" spans="1:19" x14ac:dyDescent="0.2">
      <c r="A244" s="123" t="s">
        <v>1433</v>
      </c>
      <c r="B244" s="123" t="s">
        <v>470</v>
      </c>
      <c r="C244" s="123" t="s">
        <v>471</v>
      </c>
      <c r="D244" s="123" t="s">
        <v>470</v>
      </c>
      <c r="E244" s="123" t="s">
        <v>472</v>
      </c>
      <c r="F244" s="123" t="s">
        <v>562</v>
      </c>
      <c r="G244" s="123" t="s">
        <v>563</v>
      </c>
      <c r="H244" s="123" t="s">
        <v>564</v>
      </c>
      <c r="I244" s="123" t="s">
        <v>565</v>
      </c>
      <c r="J244" s="123" t="s">
        <v>68</v>
      </c>
      <c r="K244" s="123" t="s">
        <v>69</v>
      </c>
      <c r="L244" s="123" t="s">
        <v>68</v>
      </c>
      <c r="M244" s="123" t="s">
        <v>69</v>
      </c>
      <c r="N244" s="123" t="s">
        <v>477</v>
      </c>
      <c r="O244" s="123" t="s">
        <v>478</v>
      </c>
      <c r="P244" s="123">
        <v>2252727</v>
      </c>
      <c r="Q244" s="123">
        <v>225273</v>
      </c>
      <c r="R244" s="123">
        <v>2478000</v>
      </c>
      <c r="S244" s="123" t="s">
        <v>1433</v>
      </c>
    </row>
    <row r="245" spans="1:19" x14ac:dyDescent="0.2">
      <c r="A245" s="123" t="s">
        <v>1433</v>
      </c>
      <c r="B245" s="123" t="s">
        <v>470</v>
      </c>
      <c r="C245" s="123" t="s">
        <v>471</v>
      </c>
      <c r="D245" s="123" t="s">
        <v>482</v>
      </c>
      <c r="E245" s="123" t="s">
        <v>483</v>
      </c>
      <c r="F245" s="123" t="s">
        <v>597</v>
      </c>
      <c r="G245" s="123" t="s">
        <v>598</v>
      </c>
      <c r="H245" s="123" t="s">
        <v>1159</v>
      </c>
      <c r="I245" s="123" t="s">
        <v>1160</v>
      </c>
      <c r="J245" s="123" t="s">
        <v>1161</v>
      </c>
      <c r="K245" s="123" t="s">
        <v>421</v>
      </c>
      <c r="L245" s="123" t="s">
        <v>1161</v>
      </c>
      <c r="M245" s="123" t="s">
        <v>421</v>
      </c>
      <c r="N245" s="123" t="s">
        <v>477</v>
      </c>
      <c r="O245" s="123" t="s">
        <v>478</v>
      </c>
      <c r="P245" s="123">
        <v>9978182</v>
      </c>
      <c r="Q245" s="123">
        <v>997818</v>
      </c>
      <c r="R245" s="123">
        <v>10976000</v>
      </c>
      <c r="S245" s="123" t="s">
        <v>1433</v>
      </c>
    </row>
    <row r="246" spans="1:19" x14ac:dyDescent="0.2">
      <c r="A246" s="123" t="s">
        <v>1433</v>
      </c>
      <c r="B246" s="123" t="s">
        <v>470</v>
      </c>
      <c r="C246" s="123" t="s">
        <v>471</v>
      </c>
      <c r="D246" s="123" t="s">
        <v>552</v>
      </c>
      <c r="E246" s="123" t="s">
        <v>553</v>
      </c>
      <c r="F246" s="123" t="s">
        <v>569</v>
      </c>
      <c r="G246" s="123" t="s">
        <v>570</v>
      </c>
      <c r="H246" s="123" t="s">
        <v>571</v>
      </c>
      <c r="I246" s="123" t="s">
        <v>572</v>
      </c>
      <c r="J246" s="123" t="s">
        <v>72</v>
      </c>
      <c r="K246" s="123" t="s">
        <v>73</v>
      </c>
      <c r="L246" s="123" t="s">
        <v>72</v>
      </c>
      <c r="M246" s="123" t="s">
        <v>73</v>
      </c>
      <c r="N246" s="123" t="s">
        <v>477</v>
      </c>
      <c r="O246" s="123" t="s">
        <v>478</v>
      </c>
      <c r="P246" s="123">
        <v>45112727</v>
      </c>
      <c r="Q246" s="123">
        <v>4511273</v>
      </c>
      <c r="R246" s="123">
        <v>49624000</v>
      </c>
      <c r="S246" s="123" t="s">
        <v>1433</v>
      </c>
    </row>
    <row r="247" spans="1:19" x14ac:dyDescent="0.2">
      <c r="A247" s="123" t="s">
        <v>1433</v>
      </c>
      <c r="B247" s="123" t="s">
        <v>470</v>
      </c>
      <c r="C247" s="123" t="s">
        <v>471</v>
      </c>
      <c r="D247" s="123" t="s">
        <v>552</v>
      </c>
      <c r="E247" s="123" t="s">
        <v>553</v>
      </c>
      <c r="F247" s="123" t="s">
        <v>569</v>
      </c>
      <c r="G247" s="123" t="s">
        <v>570</v>
      </c>
      <c r="H247" s="123" t="s">
        <v>571</v>
      </c>
      <c r="I247" s="123" t="s">
        <v>572</v>
      </c>
      <c r="J247" s="123" t="s">
        <v>87</v>
      </c>
      <c r="K247" s="123" t="s">
        <v>88</v>
      </c>
      <c r="L247" s="123" t="s">
        <v>87</v>
      </c>
      <c r="M247" s="123" t="s">
        <v>88</v>
      </c>
      <c r="N247" s="123" t="s">
        <v>477</v>
      </c>
      <c r="O247" s="123" t="s">
        <v>478</v>
      </c>
      <c r="P247" s="123">
        <v>9895455</v>
      </c>
      <c r="Q247" s="123">
        <v>989545</v>
      </c>
      <c r="R247" s="123">
        <v>10885000</v>
      </c>
      <c r="S247" s="123" t="s">
        <v>1433</v>
      </c>
    </row>
    <row r="248" spans="1:19" x14ac:dyDescent="0.2">
      <c r="A248" s="123" t="s">
        <v>1433</v>
      </c>
      <c r="B248" s="123" t="s">
        <v>470</v>
      </c>
      <c r="C248" s="123" t="s">
        <v>471</v>
      </c>
      <c r="D248" s="123" t="s">
        <v>552</v>
      </c>
      <c r="E248" s="123" t="s">
        <v>553</v>
      </c>
      <c r="F248" s="123" t="s">
        <v>569</v>
      </c>
      <c r="G248" s="123" t="s">
        <v>570</v>
      </c>
      <c r="H248" s="123" t="s">
        <v>571</v>
      </c>
      <c r="I248" s="123" t="s">
        <v>572</v>
      </c>
      <c r="J248" s="123" t="s">
        <v>29</v>
      </c>
      <c r="K248" s="123" t="s">
        <v>30</v>
      </c>
      <c r="L248" s="123" t="s">
        <v>29</v>
      </c>
      <c r="M248" s="123" t="s">
        <v>30</v>
      </c>
      <c r="N248" s="123" t="s">
        <v>477</v>
      </c>
      <c r="O248" s="123" t="s">
        <v>478</v>
      </c>
      <c r="P248" s="123">
        <v>2659091</v>
      </c>
      <c r="Q248" s="123">
        <v>265909</v>
      </c>
      <c r="R248" s="123">
        <v>2925000</v>
      </c>
      <c r="S248" s="123" t="s">
        <v>1433</v>
      </c>
    </row>
    <row r="249" spans="1:19" x14ac:dyDescent="0.2">
      <c r="A249" s="123" t="s">
        <v>1433</v>
      </c>
      <c r="B249" s="123" t="s">
        <v>470</v>
      </c>
      <c r="C249" s="123" t="s">
        <v>471</v>
      </c>
      <c r="D249" s="123" t="s">
        <v>552</v>
      </c>
      <c r="E249" s="123" t="s">
        <v>553</v>
      </c>
      <c r="F249" s="123" t="s">
        <v>569</v>
      </c>
      <c r="G249" s="123" t="s">
        <v>570</v>
      </c>
      <c r="H249" s="123" t="s">
        <v>892</v>
      </c>
      <c r="I249" s="123" t="s">
        <v>893</v>
      </c>
      <c r="J249" s="123" t="s">
        <v>894</v>
      </c>
      <c r="K249" s="123" t="s">
        <v>185</v>
      </c>
      <c r="L249" s="123" t="s">
        <v>894</v>
      </c>
      <c r="M249" s="123" t="s">
        <v>185</v>
      </c>
      <c r="N249" s="123" t="s">
        <v>477</v>
      </c>
      <c r="O249" s="123" t="s">
        <v>478</v>
      </c>
      <c r="P249" s="123">
        <v>13214545</v>
      </c>
      <c r="Q249" s="123">
        <v>1321455</v>
      </c>
      <c r="R249" s="123">
        <v>14536000</v>
      </c>
      <c r="S249" s="123" t="s">
        <v>1433</v>
      </c>
    </row>
    <row r="250" spans="1:19" x14ac:dyDescent="0.2">
      <c r="A250" s="123" t="s">
        <v>1433</v>
      </c>
      <c r="B250" s="123" t="s">
        <v>470</v>
      </c>
      <c r="C250" s="123" t="s">
        <v>471</v>
      </c>
      <c r="D250" s="123" t="s">
        <v>492</v>
      </c>
      <c r="E250" s="123" t="s">
        <v>493</v>
      </c>
      <c r="F250" s="123" t="s">
        <v>770</v>
      </c>
      <c r="G250" s="123" t="s">
        <v>771</v>
      </c>
      <c r="H250" s="123" t="s">
        <v>898</v>
      </c>
      <c r="I250" s="123" t="s">
        <v>899</v>
      </c>
      <c r="J250" s="123" t="s">
        <v>42</v>
      </c>
      <c r="K250" s="123" t="s">
        <v>43</v>
      </c>
      <c r="L250" s="123" t="s">
        <v>42</v>
      </c>
      <c r="M250" s="123" t="s">
        <v>43</v>
      </c>
      <c r="N250" s="123" t="s">
        <v>477</v>
      </c>
      <c r="O250" s="123" t="s">
        <v>478</v>
      </c>
      <c r="P250" s="123">
        <v>4313636</v>
      </c>
      <c r="Q250" s="123">
        <v>431364</v>
      </c>
      <c r="R250" s="123">
        <v>4745000</v>
      </c>
      <c r="S250" s="123" t="s">
        <v>1433</v>
      </c>
    </row>
    <row r="251" spans="1:19" x14ac:dyDescent="0.2">
      <c r="A251" s="123" t="s">
        <v>1433</v>
      </c>
      <c r="B251" s="123" t="s">
        <v>470</v>
      </c>
      <c r="C251" s="123" t="s">
        <v>471</v>
      </c>
      <c r="D251" s="123" t="s">
        <v>482</v>
      </c>
      <c r="E251" s="123" t="s">
        <v>483</v>
      </c>
      <c r="F251" s="123" t="s">
        <v>484</v>
      </c>
      <c r="G251" s="123" t="s">
        <v>485</v>
      </c>
      <c r="H251" s="123" t="s">
        <v>587</v>
      </c>
      <c r="I251" s="123" t="s">
        <v>588</v>
      </c>
      <c r="J251" s="123" t="s">
        <v>121</v>
      </c>
      <c r="K251" s="123" t="s">
        <v>122</v>
      </c>
      <c r="L251" s="123" t="s">
        <v>121</v>
      </c>
      <c r="M251" s="123" t="s">
        <v>122</v>
      </c>
      <c r="N251" s="123" t="s">
        <v>477</v>
      </c>
      <c r="O251" s="123" t="s">
        <v>478</v>
      </c>
      <c r="P251" s="123">
        <v>5410909</v>
      </c>
      <c r="Q251" s="123">
        <v>541091</v>
      </c>
      <c r="R251" s="123">
        <v>5952000</v>
      </c>
      <c r="S251" s="123" t="s">
        <v>1433</v>
      </c>
    </row>
    <row r="252" spans="1:19" x14ac:dyDescent="0.2">
      <c r="A252" s="123" t="s">
        <v>1433</v>
      </c>
      <c r="B252" s="123" t="s">
        <v>470</v>
      </c>
      <c r="C252" s="123" t="s">
        <v>471</v>
      </c>
      <c r="D252" s="123" t="s">
        <v>482</v>
      </c>
      <c r="E252" s="123" t="s">
        <v>483</v>
      </c>
      <c r="F252" s="123" t="s">
        <v>484</v>
      </c>
      <c r="G252" s="123" t="s">
        <v>485</v>
      </c>
      <c r="H252" s="123" t="s">
        <v>587</v>
      </c>
      <c r="I252" s="123" t="s">
        <v>588</v>
      </c>
      <c r="J252" s="123" t="s">
        <v>913</v>
      </c>
      <c r="K252" s="123" t="s">
        <v>180</v>
      </c>
      <c r="L252" s="123" t="s">
        <v>913</v>
      </c>
      <c r="M252" s="123" t="s">
        <v>180</v>
      </c>
      <c r="N252" s="123" t="s">
        <v>477</v>
      </c>
      <c r="O252" s="123" t="s">
        <v>478</v>
      </c>
      <c r="P252" s="123">
        <v>22647273</v>
      </c>
      <c r="Q252" s="123">
        <v>2264727</v>
      </c>
      <c r="R252" s="123">
        <v>24912000</v>
      </c>
      <c r="S252" s="123" t="s">
        <v>1433</v>
      </c>
    </row>
    <row r="253" spans="1:19" x14ac:dyDescent="0.2">
      <c r="A253" s="123" t="s">
        <v>1433</v>
      </c>
      <c r="B253" s="123" t="s">
        <v>470</v>
      </c>
      <c r="C253" s="123" t="s">
        <v>471</v>
      </c>
      <c r="D253" s="123" t="s">
        <v>482</v>
      </c>
      <c r="E253" s="123" t="s">
        <v>483</v>
      </c>
      <c r="F253" s="123" t="s">
        <v>484</v>
      </c>
      <c r="G253" s="123" t="s">
        <v>485</v>
      </c>
      <c r="H253" s="123" t="s">
        <v>587</v>
      </c>
      <c r="I253" s="123" t="s">
        <v>588</v>
      </c>
      <c r="J253" s="123" t="s">
        <v>906</v>
      </c>
      <c r="K253" s="123" t="s">
        <v>179</v>
      </c>
      <c r="L253" s="123" t="s">
        <v>906</v>
      </c>
      <c r="M253" s="123" t="s">
        <v>179</v>
      </c>
      <c r="N253" s="123" t="s">
        <v>477</v>
      </c>
      <c r="O253" s="123" t="s">
        <v>478</v>
      </c>
      <c r="P253" s="123">
        <v>22036364</v>
      </c>
      <c r="Q253" s="123">
        <v>2203636</v>
      </c>
      <c r="R253" s="123">
        <v>24240000</v>
      </c>
      <c r="S253" s="123" t="s">
        <v>1433</v>
      </c>
    </row>
    <row r="254" spans="1:19" x14ac:dyDescent="0.2">
      <c r="A254" s="123" t="s">
        <v>1433</v>
      </c>
      <c r="B254" s="123" t="s">
        <v>470</v>
      </c>
      <c r="C254" s="123" t="s">
        <v>471</v>
      </c>
      <c r="D254" s="123" t="s">
        <v>552</v>
      </c>
      <c r="E254" s="123" t="s">
        <v>553</v>
      </c>
      <c r="F254" s="123" t="s">
        <v>789</v>
      </c>
      <c r="G254" s="123" t="s">
        <v>790</v>
      </c>
      <c r="H254" s="123" t="s">
        <v>1197</v>
      </c>
      <c r="I254" s="123" t="s">
        <v>1198</v>
      </c>
      <c r="J254" s="123" t="s">
        <v>1199</v>
      </c>
      <c r="K254" s="123" t="s">
        <v>419</v>
      </c>
      <c r="L254" s="123" t="s">
        <v>1199</v>
      </c>
      <c r="M254" s="123" t="s">
        <v>419</v>
      </c>
      <c r="N254" s="123" t="s">
        <v>477</v>
      </c>
      <c r="O254" s="123" t="s">
        <v>478</v>
      </c>
      <c r="P254" s="123">
        <v>14666364</v>
      </c>
      <c r="Q254" s="123">
        <v>1466636</v>
      </c>
      <c r="R254" s="123">
        <v>16133000</v>
      </c>
      <c r="S254" s="123" t="s">
        <v>1433</v>
      </c>
    </row>
    <row r="255" spans="1:19" x14ac:dyDescent="0.2">
      <c r="A255" s="123" t="s">
        <v>1433</v>
      </c>
      <c r="B255" s="123" t="s">
        <v>470</v>
      </c>
      <c r="C255" s="123" t="s">
        <v>471</v>
      </c>
      <c r="D255" s="123" t="s">
        <v>492</v>
      </c>
      <c r="E255" s="123" t="s">
        <v>493</v>
      </c>
      <c r="F255" s="123" t="s">
        <v>494</v>
      </c>
      <c r="G255" s="123" t="s">
        <v>495</v>
      </c>
      <c r="H255" s="123" t="s">
        <v>592</v>
      </c>
      <c r="I255" s="123" t="s">
        <v>593</v>
      </c>
      <c r="J255" s="123" t="s">
        <v>123</v>
      </c>
      <c r="K255" s="123" t="s">
        <v>124</v>
      </c>
      <c r="L255" s="123" t="s">
        <v>123</v>
      </c>
      <c r="M255" s="123" t="s">
        <v>124</v>
      </c>
      <c r="N255" s="123" t="s">
        <v>477</v>
      </c>
      <c r="O255" s="123" t="s">
        <v>478</v>
      </c>
      <c r="P255" s="123">
        <v>11743636</v>
      </c>
      <c r="Q255" s="123">
        <v>1174364</v>
      </c>
      <c r="R255" s="123">
        <v>12918000</v>
      </c>
      <c r="S255" s="123" t="s">
        <v>1433</v>
      </c>
    </row>
    <row r="256" spans="1:19" x14ac:dyDescent="0.2">
      <c r="A256" s="123" t="s">
        <v>1433</v>
      </c>
      <c r="B256" s="123" t="s">
        <v>470</v>
      </c>
      <c r="C256" s="123" t="s">
        <v>471</v>
      </c>
      <c r="D256" s="123" t="s">
        <v>470</v>
      </c>
      <c r="E256" s="123" t="s">
        <v>472</v>
      </c>
      <c r="F256" s="123" t="s">
        <v>562</v>
      </c>
      <c r="G256" s="123" t="s">
        <v>563</v>
      </c>
      <c r="H256" s="123" t="s">
        <v>1434</v>
      </c>
      <c r="I256" s="123" t="s">
        <v>1435</v>
      </c>
      <c r="J256" s="123" t="s">
        <v>1436</v>
      </c>
      <c r="K256" s="123" t="s">
        <v>1437</v>
      </c>
      <c r="L256" s="123" t="s">
        <v>1436</v>
      </c>
      <c r="M256" s="123" t="s">
        <v>1437</v>
      </c>
      <c r="N256" s="123" t="s">
        <v>477</v>
      </c>
      <c r="O256" s="123" t="s">
        <v>478</v>
      </c>
      <c r="P256" s="123">
        <v>4710909</v>
      </c>
      <c r="Q256" s="123">
        <v>471091</v>
      </c>
      <c r="R256" s="123">
        <v>5182000</v>
      </c>
      <c r="S256" s="123" t="s">
        <v>1433</v>
      </c>
    </row>
    <row r="257" spans="1:19" x14ac:dyDescent="0.2">
      <c r="A257" s="123" t="s">
        <v>1433</v>
      </c>
      <c r="B257" s="123" t="s">
        <v>470</v>
      </c>
      <c r="C257" s="123" t="s">
        <v>471</v>
      </c>
      <c r="D257" s="123" t="s">
        <v>470</v>
      </c>
      <c r="E257" s="123" t="s">
        <v>472</v>
      </c>
      <c r="F257" s="123" t="s">
        <v>605</v>
      </c>
      <c r="G257" s="123" t="s">
        <v>606</v>
      </c>
      <c r="H257" s="123" t="s">
        <v>1438</v>
      </c>
      <c r="I257" s="123" t="s">
        <v>1439</v>
      </c>
      <c r="J257" s="123" t="s">
        <v>1289</v>
      </c>
      <c r="K257" s="123" t="s">
        <v>423</v>
      </c>
      <c r="L257" s="123" t="s">
        <v>1289</v>
      </c>
      <c r="M257" s="123" t="s">
        <v>423</v>
      </c>
      <c r="N257" s="123" t="s">
        <v>477</v>
      </c>
      <c r="O257" s="123" t="s">
        <v>478</v>
      </c>
      <c r="P257" s="123">
        <v>15709091</v>
      </c>
      <c r="Q257" s="123">
        <v>1570909</v>
      </c>
      <c r="R257" s="123">
        <v>17280000</v>
      </c>
      <c r="S257" s="123" t="s">
        <v>1433</v>
      </c>
    </row>
    <row r="258" spans="1:19" x14ac:dyDescent="0.2">
      <c r="A258" s="123" t="s">
        <v>1433</v>
      </c>
      <c r="B258" s="123" t="s">
        <v>470</v>
      </c>
      <c r="C258" s="123" t="s">
        <v>471</v>
      </c>
      <c r="D258" s="123" t="s">
        <v>482</v>
      </c>
      <c r="E258" s="123" t="s">
        <v>483</v>
      </c>
      <c r="F258" s="123" t="s">
        <v>597</v>
      </c>
      <c r="G258" s="123" t="s">
        <v>598</v>
      </c>
      <c r="H258" s="123" t="s">
        <v>599</v>
      </c>
      <c r="I258" s="123" t="s">
        <v>600</v>
      </c>
      <c r="J258" s="123" t="s">
        <v>1440</v>
      </c>
      <c r="K258" s="123" t="s">
        <v>1441</v>
      </c>
      <c r="L258" s="123" t="s">
        <v>1440</v>
      </c>
      <c r="M258" s="123" t="s">
        <v>1441</v>
      </c>
      <c r="N258" s="123" t="s">
        <v>477</v>
      </c>
      <c r="O258" s="123" t="s">
        <v>478</v>
      </c>
      <c r="P258" s="123">
        <v>3636364</v>
      </c>
      <c r="Q258" s="123">
        <v>363636</v>
      </c>
      <c r="R258" s="123">
        <v>4000000</v>
      </c>
      <c r="S258" s="123" t="s">
        <v>1433</v>
      </c>
    </row>
    <row r="259" spans="1:19" x14ac:dyDescent="0.2">
      <c r="A259" s="123" t="s">
        <v>1433</v>
      </c>
      <c r="B259" s="123" t="s">
        <v>470</v>
      </c>
      <c r="C259" s="123" t="s">
        <v>471</v>
      </c>
      <c r="D259" s="123" t="s">
        <v>482</v>
      </c>
      <c r="E259" s="123" t="s">
        <v>483</v>
      </c>
      <c r="F259" s="123" t="s">
        <v>597</v>
      </c>
      <c r="G259" s="123" t="s">
        <v>598</v>
      </c>
      <c r="H259" s="123" t="s">
        <v>599</v>
      </c>
      <c r="I259" s="123" t="s">
        <v>600</v>
      </c>
      <c r="J259" s="123" t="s">
        <v>1215</v>
      </c>
      <c r="K259" s="123" t="s">
        <v>428</v>
      </c>
      <c r="L259" s="123" t="s">
        <v>1215</v>
      </c>
      <c r="M259" s="123" t="s">
        <v>428</v>
      </c>
      <c r="N259" s="123" t="s">
        <v>477</v>
      </c>
      <c r="O259" s="123" t="s">
        <v>478</v>
      </c>
      <c r="P259" s="123">
        <v>5185455</v>
      </c>
      <c r="Q259" s="123">
        <v>518545</v>
      </c>
      <c r="R259" s="123">
        <v>5704000</v>
      </c>
      <c r="S259" s="123" t="s">
        <v>1433</v>
      </c>
    </row>
    <row r="260" spans="1:19" x14ac:dyDescent="0.2">
      <c r="A260" s="123" t="s">
        <v>1433</v>
      </c>
      <c r="B260" s="123" t="s">
        <v>470</v>
      </c>
      <c r="C260" s="123" t="s">
        <v>471</v>
      </c>
      <c r="D260" s="123" t="s">
        <v>492</v>
      </c>
      <c r="E260" s="123" t="s">
        <v>493</v>
      </c>
      <c r="F260" s="123" t="s">
        <v>619</v>
      </c>
      <c r="G260" s="123" t="s">
        <v>620</v>
      </c>
      <c r="H260" s="123" t="s">
        <v>621</v>
      </c>
      <c r="I260" s="123" t="s">
        <v>622</v>
      </c>
      <c r="J260" s="123" t="s">
        <v>1225</v>
      </c>
      <c r="K260" s="123" t="s">
        <v>424</v>
      </c>
      <c r="L260" s="123" t="s">
        <v>1225</v>
      </c>
      <c r="M260" s="123" t="s">
        <v>424</v>
      </c>
      <c r="N260" s="123" t="s">
        <v>477</v>
      </c>
      <c r="O260" s="123" t="s">
        <v>478</v>
      </c>
      <c r="P260" s="123">
        <v>13614545</v>
      </c>
      <c r="Q260" s="123">
        <v>1361455</v>
      </c>
      <c r="R260" s="123">
        <v>14976000</v>
      </c>
      <c r="S260" s="123" t="s">
        <v>1433</v>
      </c>
    </row>
    <row r="261" spans="1:19" x14ac:dyDescent="0.2">
      <c r="A261" s="123" t="s">
        <v>1433</v>
      </c>
      <c r="B261" s="123" t="s">
        <v>470</v>
      </c>
      <c r="C261" s="123" t="s">
        <v>471</v>
      </c>
      <c r="D261" s="123" t="s">
        <v>492</v>
      </c>
      <c r="E261" s="123" t="s">
        <v>493</v>
      </c>
      <c r="F261" s="123" t="s">
        <v>619</v>
      </c>
      <c r="G261" s="123" t="s">
        <v>620</v>
      </c>
      <c r="H261" s="123" t="s">
        <v>621</v>
      </c>
      <c r="I261" s="123" t="s">
        <v>622</v>
      </c>
      <c r="J261" s="123" t="s">
        <v>623</v>
      </c>
      <c r="K261" s="123" t="s">
        <v>382</v>
      </c>
      <c r="L261" s="123" t="s">
        <v>623</v>
      </c>
      <c r="M261" s="123" t="s">
        <v>382</v>
      </c>
      <c r="N261" s="123" t="s">
        <v>477</v>
      </c>
      <c r="O261" s="123" t="s">
        <v>478</v>
      </c>
      <c r="P261" s="123">
        <v>34092000</v>
      </c>
      <c r="Q261" s="123">
        <v>3409200</v>
      </c>
      <c r="R261" s="123">
        <v>37501200</v>
      </c>
      <c r="S261" s="123" t="s">
        <v>1433</v>
      </c>
    </row>
    <row r="262" spans="1:19" x14ac:dyDescent="0.2">
      <c r="A262" s="123" t="s">
        <v>1433</v>
      </c>
      <c r="B262" s="123" t="s">
        <v>470</v>
      </c>
      <c r="C262" s="123" t="s">
        <v>471</v>
      </c>
      <c r="D262" s="123" t="s">
        <v>492</v>
      </c>
      <c r="E262" s="123" t="s">
        <v>493</v>
      </c>
      <c r="F262" s="123" t="s">
        <v>658</v>
      </c>
      <c r="G262" s="123" t="s">
        <v>659</v>
      </c>
      <c r="H262" s="123" t="s">
        <v>1232</v>
      </c>
      <c r="I262" s="123" t="s">
        <v>1233</v>
      </c>
      <c r="J262" s="123" t="s">
        <v>169</v>
      </c>
      <c r="K262" s="123" t="s">
        <v>170</v>
      </c>
      <c r="L262" s="123" t="s">
        <v>169</v>
      </c>
      <c r="M262" s="123" t="s">
        <v>170</v>
      </c>
      <c r="N262" s="123" t="s">
        <v>477</v>
      </c>
      <c r="O262" s="123" t="s">
        <v>478</v>
      </c>
      <c r="P262" s="123">
        <v>1950000</v>
      </c>
      <c r="Q262" s="123">
        <v>195000</v>
      </c>
      <c r="R262" s="123">
        <v>2145000</v>
      </c>
      <c r="S262" s="123" t="s">
        <v>1433</v>
      </c>
    </row>
    <row r="263" spans="1:19" x14ac:dyDescent="0.2">
      <c r="A263" s="123" t="s">
        <v>1433</v>
      </c>
      <c r="B263" s="123" t="s">
        <v>470</v>
      </c>
      <c r="C263" s="123" t="s">
        <v>471</v>
      </c>
      <c r="D263" s="123" t="s">
        <v>482</v>
      </c>
      <c r="E263" s="123" t="s">
        <v>483</v>
      </c>
      <c r="F263" s="123" t="s">
        <v>627</v>
      </c>
      <c r="G263" s="123" t="s">
        <v>628</v>
      </c>
      <c r="H263" s="123" t="s">
        <v>629</v>
      </c>
      <c r="I263" s="123" t="s">
        <v>630</v>
      </c>
      <c r="J263" s="123" t="s">
        <v>57</v>
      </c>
      <c r="K263" s="123" t="s">
        <v>58</v>
      </c>
      <c r="L263" s="123" t="s">
        <v>57</v>
      </c>
      <c r="M263" s="123" t="s">
        <v>58</v>
      </c>
      <c r="N263" s="123" t="s">
        <v>477</v>
      </c>
      <c r="O263" s="123" t="s">
        <v>478</v>
      </c>
      <c r="P263" s="123">
        <v>7958182</v>
      </c>
      <c r="Q263" s="123">
        <v>795818</v>
      </c>
      <c r="R263" s="123">
        <v>8754000</v>
      </c>
      <c r="S263" s="123" t="s">
        <v>1433</v>
      </c>
    </row>
    <row r="264" spans="1:19" x14ac:dyDescent="0.2">
      <c r="A264" s="123" t="s">
        <v>1433</v>
      </c>
      <c r="B264" s="123" t="s">
        <v>470</v>
      </c>
      <c r="C264" s="123" t="s">
        <v>471</v>
      </c>
      <c r="D264" s="123" t="s">
        <v>482</v>
      </c>
      <c r="E264" s="123" t="s">
        <v>483</v>
      </c>
      <c r="F264" s="123" t="s">
        <v>627</v>
      </c>
      <c r="G264" s="123" t="s">
        <v>628</v>
      </c>
      <c r="H264" s="123" t="s">
        <v>629</v>
      </c>
      <c r="I264" s="123" t="s">
        <v>630</v>
      </c>
      <c r="J264" s="123" t="s">
        <v>74</v>
      </c>
      <c r="K264" s="123" t="s">
        <v>75</v>
      </c>
      <c r="L264" s="123" t="s">
        <v>74</v>
      </c>
      <c r="M264" s="123" t="s">
        <v>75</v>
      </c>
      <c r="N264" s="123" t="s">
        <v>477</v>
      </c>
      <c r="O264" s="123" t="s">
        <v>478</v>
      </c>
      <c r="P264" s="123">
        <v>15518182</v>
      </c>
      <c r="Q264" s="123">
        <v>1551818</v>
      </c>
      <c r="R264" s="123">
        <v>17070000</v>
      </c>
      <c r="S264" s="123" t="s">
        <v>1433</v>
      </c>
    </row>
    <row r="265" spans="1:19" x14ac:dyDescent="0.2">
      <c r="A265" s="123" t="s">
        <v>1433</v>
      </c>
      <c r="B265" s="123" t="s">
        <v>470</v>
      </c>
      <c r="C265" s="123" t="s">
        <v>471</v>
      </c>
      <c r="D265" s="123" t="s">
        <v>552</v>
      </c>
      <c r="E265" s="123" t="s">
        <v>553</v>
      </c>
      <c r="F265" s="123" t="s">
        <v>796</v>
      </c>
      <c r="G265" s="123" t="s">
        <v>797</v>
      </c>
      <c r="H265" s="123" t="s">
        <v>1243</v>
      </c>
      <c r="I265" s="123" t="s">
        <v>1244</v>
      </c>
      <c r="J265" s="123" t="s">
        <v>1245</v>
      </c>
      <c r="K265" s="123" t="s">
        <v>436</v>
      </c>
      <c r="L265" s="123" t="s">
        <v>1245</v>
      </c>
      <c r="M265" s="123" t="s">
        <v>436</v>
      </c>
      <c r="N265" s="123" t="s">
        <v>477</v>
      </c>
      <c r="O265" s="123" t="s">
        <v>478</v>
      </c>
      <c r="P265" s="123">
        <v>12944545</v>
      </c>
      <c r="Q265" s="123">
        <v>1294455</v>
      </c>
      <c r="R265" s="123">
        <v>14239000</v>
      </c>
      <c r="S265" s="123" t="s">
        <v>1433</v>
      </c>
    </row>
    <row r="266" spans="1:19" x14ac:dyDescent="0.2">
      <c r="A266" s="123" t="s">
        <v>1433</v>
      </c>
      <c r="B266" s="123" t="s">
        <v>470</v>
      </c>
      <c r="C266" s="123" t="s">
        <v>471</v>
      </c>
      <c r="D266" s="123" t="s">
        <v>492</v>
      </c>
      <c r="E266" s="123" t="s">
        <v>493</v>
      </c>
      <c r="F266" s="123" t="s">
        <v>637</v>
      </c>
      <c r="G266" s="123" t="s">
        <v>638</v>
      </c>
      <c r="H266" s="123" t="s">
        <v>639</v>
      </c>
      <c r="I266" s="123" t="s">
        <v>640</v>
      </c>
      <c r="J266" s="123" t="s">
        <v>91</v>
      </c>
      <c r="K266" s="123" t="s">
        <v>92</v>
      </c>
      <c r="L266" s="123" t="s">
        <v>91</v>
      </c>
      <c r="M266" s="123" t="s">
        <v>92</v>
      </c>
      <c r="N266" s="123" t="s">
        <v>477</v>
      </c>
      <c r="O266" s="123" t="s">
        <v>478</v>
      </c>
      <c r="P266" s="123">
        <v>26570000</v>
      </c>
      <c r="Q266" s="123">
        <v>2657000</v>
      </c>
      <c r="R266" s="123">
        <v>29227000</v>
      </c>
      <c r="S266" s="123" t="s">
        <v>1433</v>
      </c>
    </row>
    <row r="267" spans="1:19" x14ac:dyDescent="0.2">
      <c r="A267" s="123" t="s">
        <v>1433</v>
      </c>
      <c r="B267" s="123" t="s">
        <v>470</v>
      </c>
      <c r="C267" s="123" t="s">
        <v>471</v>
      </c>
      <c r="D267" s="123" t="s">
        <v>492</v>
      </c>
      <c r="E267" s="123" t="s">
        <v>493</v>
      </c>
      <c r="F267" s="123" t="s">
        <v>637</v>
      </c>
      <c r="G267" s="123" t="s">
        <v>638</v>
      </c>
      <c r="H267" s="123" t="s">
        <v>639</v>
      </c>
      <c r="I267" s="123" t="s">
        <v>640</v>
      </c>
      <c r="J267" s="123" t="s">
        <v>125</v>
      </c>
      <c r="K267" s="123" t="s">
        <v>641</v>
      </c>
      <c r="L267" s="123" t="s">
        <v>125</v>
      </c>
      <c r="M267" s="123" t="s">
        <v>641</v>
      </c>
      <c r="N267" s="123" t="s">
        <v>477</v>
      </c>
      <c r="O267" s="123" t="s">
        <v>478</v>
      </c>
      <c r="P267" s="123">
        <v>25707273</v>
      </c>
      <c r="Q267" s="123">
        <v>2570727</v>
      </c>
      <c r="R267" s="123">
        <v>28278000</v>
      </c>
      <c r="S267" s="123" t="s">
        <v>1433</v>
      </c>
    </row>
    <row r="268" spans="1:19" x14ac:dyDescent="0.2">
      <c r="A268" s="123" t="s">
        <v>1433</v>
      </c>
      <c r="B268" s="123" t="s">
        <v>470</v>
      </c>
      <c r="C268" s="123" t="s">
        <v>471</v>
      </c>
      <c r="D268" s="123" t="s">
        <v>552</v>
      </c>
      <c r="E268" s="123" t="s">
        <v>553</v>
      </c>
      <c r="F268" s="123" t="s">
        <v>789</v>
      </c>
      <c r="G268" s="123" t="s">
        <v>790</v>
      </c>
      <c r="H268" s="123" t="s">
        <v>1258</v>
      </c>
      <c r="I268" s="123" t="s">
        <v>1259</v>
      </c>
      <c r="J268" s="123" t="s">
        <v>1260</v>
      </c>
      <c r="K268" s="123" t="s">
        <v>422</v>
      </c>
      <c r="L268" s="123" t="s">
        <v>1260</v>
      </c>
      <c r="M268" s="123" t="s">
        <v>422</v>
      </c>
      <c r="N268" s="123" t="s">
        <v>477</v>
      </c>
      <c r="O268" s="123" t="s">
        <v>478</v>
      </c>
      <c r="P268" s="123">
        <v>10778182</v>
      </c>
      <c r="Q268" s="123">
        <v>1077818</v>
      </c>
      <c r="R268" s="123">
        <v>11856000</v>
      </c>
      <c r="S268" s="123" t="s">
        <v>1433</v>
      </c>
    </row>
    <row r="269" spans="1:19" x14ac:dyDescent="0.2">
      <c r="A269" s="123" t="s">
        <v>1433</v>
      </c>
      <c r="B269" s="123" t="s">
        <v>470</v>
      </c>
      <c r="C269" s="123" t="s">
        <v>471</v>
      </c>
      <c r="D269" s="123" t="s">
        <v>482</v>
      </c>
      <c r="E269" s="123" t="s">
        <v>483</v>
      </c>
      <c r="F269" s="123" t="s">
        <v>597</v>
      </c>
      <c r="G269" s="123" t="s">
        <v>598</v>
      </c>
      <c r="H269" s="123" t="s">
        <v>653</v>
      </c>
      <c r="I269" s="123" t="s">
        <v>654</v>
      </c>
      <c r="J269" s="123" t="s">
        <v>93</v>
      </c>
      <c r="K269" s="123" t="s">
        <v>94</v>
      </c>
      <c r="L269" s="123" t="s">
        <v>93</v>
      </c>
      <c r="M269" s="123" t="s">
        <v>94</v>
      </c>
      <c r="N269" s="123" t="s">
        <v>477</v>
      </c>
      <c r="O269" s="123" t="s">
        <v>478</v>
      </c>
      <c r="P269" s="123">
        <v>33157273</v>
      </c>
      <c r="Q269" s="123">
        <v>3315727</v>
      </c>
      <c r="R269" s="123">
        <v>36473000</v>
      </c>
      <c r="S269" s="123" t="s">
        <v>1433</v>
      </c>
    </row>
    <row r="270" spans="1:19" x14ac:dyDescent="0.2">
      <c r="A270" s="123" t="s">
        <v>1433</v>
      </c>
      <c r="B270" s="123" t="s">
        <v>470</v>
      </c>
      <c r="C270" s="123" t="s">
        <v>471</v>
      </c>
      <c r="D270" s="123" t="s">
        <v>492</v>
      </c>
      <c r="E270" s="123" t="s">
        <v>493</v>
      </c>
      <c r="F270" s="123" t="s">
        <v>658</v>
      </c>
      <c r="G270" s="123" t="s">
        <v>659</v>
      </c>
      <c r="H270" s="123" t="s">
        <v>660</v>
      </c>
      <c r="I270" s="123" t="s">
        <v>661</v>
      </c>
      <c r="J270" s="123" t="s">
        <v>5</v>
      </c>
      <c r="K270" s="123" t="s">
        <v>6</v>
      </c>
      <c r="L270" s="123" t="s">
        <v>5</v>
      </c>
      <c r="M270" s="123" t="s">
        <v>6</v>
      </c>
      <c r="N270" s="123" t="s">
        <v>477</v>
      </c>
      <c r="O270" s="123" t="s">
        <v>478</v>
      </c>
      <c r="P270" s="123">
        <v>16346364</v>
      </c>
      <c r="Q270" s="123">
        <v>1634636</v>
      </c>
      <c r="R270" s="123">
        <v>17981000</v>
      </c>
      <c r="S270" s="123" t="s">
        <v>1433</v>
      </c>
    </row>
    <row r="271" spans="1:19" x14ac:dyDescent="0.2">
      <c r="A271" s="123" t="s">
        <v>1433</v>
      </c>
      <c r="B271" s="123" t="s">
        <v>470</v>
      </c>
      <c r="C271" s="123" t="s">
        <v>471</v>
      </c>
      <c r="D271" s="123" t="s">
        <v>470</v>
      </c>
      <c r="E271" s="123" t="s">
        <v>472</v>
      </c>
      <c r="F271" s="123" t="s">
        <v>953</v>
      </c>
      <c r="G271" s="123" t="s">
        <v>954</v>
      </c>
      <c r="H271" s="123" t="s">
        <v>955</v>
      </c>
      <c r="I271" s="123" t="s">
        <v>956</v>
      </c>
      <c r="J271" s="123" t="s">
        <v>957</v>
      </c>
      <c r="K271" s="123" t="s">
        <v>165</v>
      </c>
      <c r="L271" s="123" t="s">
        <v>957</v>
      </c>
      <c r="M271" s="123" t="s">
        <v>165</v>
      </c>
      <c r="N271" s="123" t="s">
        <v>477</v>
      </c>
      <c r="O271" s="123" t="s">
        <v>478</v>
      </c>
      <c r="P271" s="123">
        <v>6788182</v>
      </c>
      <c r="Q271" s="123">
        <v>678818</v>
      </c>
      <c r="R271" s="123">
        <v>7467000</v>
      </c>
      <c r="S271" s="123" t="s">
        <v>1433</v>
      </c>
    </row>
    <row r="272" spans="1:19" x14ac:dyDescent="0.2">
      <c r="A272" s="123" t="s">
        <v>1433</v>
      </c>
      <c r="B272" s="123" t="s">
        <v>470</v>
      </c>
      <c r="C272" s="123" t="s">
        <v>471</v>
      </c>
      <c r="D272" s="123" t="s">
        <v>492</v>
      </c>
      <c r="E272" s="123" t="s">
        <v>493</v>
      </c>
      <c r="F272" s="123" t="s">
        <v>501</v>
      </c>
      <c r="G272" s="123" t="s">
        <v>502</v>
      </c>
      <c r="H272" s="123" t="s">
        <v>665</v>
      </c>
      <c r="I272" s="123" t="s">
        <v>666</v>
      </c>
      <c r="J272" s="123" t="s">
        <v>667</v>
      </c>
      <c r="K272" s="123" t="s">
        <v>166</v>
      </c>
      <c r="L272" s="123" t="s">
        <v>667</v>
      </c>
      <c r="M272" s="123" t="s">
        <v>166</v>
      </c>
      <c r="N272" s="123" t="s">
        <v>477</v>
      </c>
      <c r="O272" s="123" t="s">
        <v>478</v>
      </c>
      <c r="P272" s="123">
        <v>4545455</v>
      </c>
      <c r="Q272" s="123">
        <v>454545</v>
      </c>
      <c r="R272" s="123">
        <v>5000000</v>
      </c>
      <c r="S272" s="123" t="s">
        <v>1433</v>
      </c>
    </row>
    <row r="273" spans="1:19" x14ac:dyDescent="0.2">
      <c r="A273" s="123" t="s">
        <v>1433</v>
      </c>
      <c r="B273" s="123" t="s">
        <v>470</v>
      </c>
      <c r="C273" s="123" t="s">
        <v>471</v>
      </c>
      <c r="D273" s="123" t="s">
        <v>492</v>
      </c>
      <c r="E273" s="123" t="s">
        <v>493</v>
      </c>
      <c r="F273" s="123" t="s">
        <v>671</v>
      </c>
      <c r="G273" s="123" t="s">
        <v>672</v>
      </c>
      <c r="H273" s="123" t="s">
        <v>673</v>
      </c>
      <c r="I273" s="123" t="s">
        <v>674</v>
      </c>
      <c r="J273" s="123" t="s">
        <v>131</v>
      </c>
      <c r="K273" s="123" t="s">
        <v>132</v>
      </c>
      <c r="L273" s="123" t="s">
        <v>131</v>
      </c>
      <c r="M273" s="123" t="s">
        <v>132</v>
      </c>
      <c r="N273" s="123" t="s">
        <v>477</v>
      </c>
      <c r="O273" s="123" t="s">
        <v>478</v>
      </c>
      <c r="P273" s="123">
        <v>6411982</v>
      </c>
      <c r="Q273" s="123">
        <v>641198</v>
      </c>
      <c r="R273" s="123">
        <v>7053180</v>
      </c>
      <c r="S273" s="123" t="s">
        <v>1433</v>
      </c>
    </row>
    <row r="274" spans="1:19" x14ac:dyDescent="0.2">
      <c r="A274" s="123" t="s">
        <v>1433</v>
      </c>
      <c r="B274" s="123" t="s">
        <v>470</v>
      </c>
      <c r="C274" s="123" t="s">
        <v>471</v>
      </c>
      <c r="D274" s="123" t="s">
        <v>470</v>
      </c>
      <c r="E274" s="123" t="s">
        <v>472</v>
      </c>
      <c r="F274" s="123" t="s">
        <v>685</v>
      </c>
      <c r="G274" s="123" t="s">
        <v>686</v>
      </c>
      <c r="H274" s="123" t="s">
        <v>687</v>
      </c>
      <c r="I274" s="123" t="s">
        <v>688</v>
      </c>
      <c r="J274" s="123" t="s">
        <v>133</v>
      </c>
      <c r="K274" s="123" t="s">
        <v>134</v>
      </c>
      <c r="L274" s="123" t="s">
        <v>133</v>
      </c>
      <c r="M274" s="123" t="s">
        <v>134</v>
      </c>
      <c r="N274" s="123" t="s">
        <v>477</v>
      </c>
      <c r="O274" s="123" t="s">
        <v>478</v>
      </c>
      <c r="P274" s="123">
        <v>9163636</v>
      </c>
      <c r="Q274" s="123">
        <v>916364</v>
      </c>
      <c r="R274" s="123">
        <v>10080000</v>
      </c>
      <c r="S274" s="123" t="s">
        <v>1433</v>
      </c>
    </row>
    <row r="275" spans="1:19" x14ac:dyDescent="0.2">
      <c r="A275" s="123" t="s">
        <v>1433</v>
      </c>
      <c r="B275" s="123" t="s">
        <v>470</v>
      </c>
      <c r="C275" s="123" t="s">
        <v>471</v>
      </c>
      <c r="D275" s="123" t="s">
        <v>482</v>
      </c>
      <c r="E275" s="123" t="s">
        <v>483</v>
      </c>
      <c r="F275" s="123" t="s">
        <v>597</v>
      </c>
      <c r="G275" s="123" t="s">
        <v>598</v>
      </c>
      <c r="H275" s="123" t="s">
        <v>1442</v>
      </c>
      <c r="I275" s="123" t="s">
        <v>1443</v>
      </c>
      <c r="J275" s="123" t="s">
        <v>1444</v>
      </c>
      <c r="K275" s="123" t="s">
        <v>1445</v>
      </c>
      <c r="L275" s="123" t="s">
        <v>1444</v>
      </c>
      <c r="M275" s="123" t="s">
        <v>1445</v>
      </c>
      <c r="N275" s="123" t="s">
        <v>477</v>
      </c>
      <c r="O275" s="123" t="s">
        <v>478</v>
      </c>
      <c r="P275" s="123">
        <v>5672727</v>
      </c>
      <c r="Q275" s="123">
        <v>567273</v>
      </c>
      <c r="R275" s="123">
        <v>6240000</v>
      </c>
      <c r="S275" s="123" t="s">
        <v>1433</v>
      </c>
    </row>
    <row r="276" spans="1:19" x14ac:dyDescent="0.2">
      <c r="A276" s="123" t="s">
        <v>1433</v>
      </c>
      <c r="B276" s="123" t="s">
        <v>470</v>
      </c>
      <c r="C276" s="123" t="s">
        <v>471</v>
      </c>
      <c r="D276" s="123" t="s">
        <v>492</v>
      </c>
      <c r="E276" s="123" t="s">
        <v>493</v>
      </c>
      <c r="F276" s="123" t="s">
        <v>494</v>
      </c>
      <c r="G276" s="123" t="s">
        <v>495</v>
      </c>
      <c r="H276" s="123" t="s">
        <v>692</v>
      </c>
      <c r="I276" s="123" t="s">
        <v>693</v>
      </c>
      <c r="J276" s="123" t="s">
        <v>76</v>
      </c>
      <c r="K276" s="123" t="s">
        <v>77</v>
      </c>
      <c r="L276" s="123" t="s">
        <v>76</v>
      </c>
      <c r="M276" s="123" t="s">
        <v>77</v>
      </c>
      <c r="N276" s="123" t="s">
        <v>477</v>
      </c>
      <c r="O276" s="123" t="s">
        <v>478</v>
      </c>
      <c r="P276" s="123">
        <v>34822727</v>
      </c>
      <c r="Q276" s="123">
        <v>3482273</v>
      </c>
      <c r="R276" s="123">
        <v>38305000</v>
      </c>
      <c r="S276" s="123" t="s">
        <v>1433</v>
      </c>
    </row>
    <row r="277" spans="1:19" x14ac:dyDescent="0.2">
      <c r="A277" s="123" t="s">
        <v>1433</v>
      </c>
      <c r="B277" s="123" t="s">
        <v>470</v>
      </c>
      <c r="C277" s="123" t="s">
        <v>471</v>
      </c>
      <c r="D277" s="123" t="s">
        <v>492</v>
      </c>
      <c r="E277" s="123" t="s">
        <v>493</v>
      </c>
      <c r="F277" s="123" t="s">
        <v>697</v>
      </c>
      <c r="G277" s="123" t="s">
        <v>698</v>
      </c>
      <c r="H277" s="123" t="s">
        <v>699</v>
      </c>
      <c r="I277" s="123" t="s">
        <v>700</v>
      </c>
      <c r="J277" s="123" t="s">
        <v>108</v>
      </c>
      <c r="K277" s="123" t="s">
        <v>109</v>
      </c>
      <c r="L277" s="123" t="s">
        <v>108</v>
      </c>
      <c r="M277" s="123" t="s">
        <v>109</v>
      </c>
      <c r="N277" s="123" t="s">
        <v>477</v>
      </c>
      <c r="O277" s="123" t="s">
        <v>478</v>
      </c>
      <c r="P277" s="123">
        <v>7796364</v>
      </c>
      <c r="Q277" s="123">
        <v>779636</v>
      </c>
      <c r="R277" s="123">
        <v>8576000</v>
      </c>
      <c r="S277" s="123" t="s">
        <v>1433</v>
      </c>
    </row>
    <row r="278" spans="1:19" x14ac:dyDescent="0.2">
      <c r="A278" s="123" t="s">
        <v>1433</v>
      </c>
      <c r="B278" s="123" t="s">
        <v>470</v>
      </c>
      <c r="C278" s="123" t="s">
        <v>471</v>
      </c>
      <c r="D278" s="123" t="s">
        <v>482</v>
      </c>
      <c r="E278" s="123" t="s">
        <v>483</v>
      </c>
      <c r="F278" s="123" t="s">
        <v>531</v>
      </c>
      <c r="G278" s="123" t="s">
        <v>532</v>
      </c>
      <c r="H278" s="123" t="s">
        <v>1299</v>
      </c>
      <c r="I278" s="123" t="s">
        <v>1300</v>
      </c>
      <c r="J278" s="123" t="s">
        <v>1301</v>
      </c>
      <c r="K278" s="123" t="s">
        <v>426</v>
      </c>
      <c r="L278" s="123" t="s">
        <v>1301</v>
      </c>
      <c r="M278" s="123" t="s">
        <v>426</v>
      </c>
      <c r="N278" s="123" t="s">
        <v>477</v>
      </c>
      <c r="O278" s="123" t="s">
        <v>478</v>
      </c>
      <c r="P278" s="123">
        <v>12272727</v>
      </c>
      <c r="Q278" s="123">
        <v>1227273</v>
      </c>
      <c r="R278" s="123">
        <v>13500000</v>
      </c>
      <c r="S278" s="123" t="s">
        <v>1433</v>
      </c>
    </row>
    <row r="279" spans="1:19" x14ac:dyDescent="0.2">
      <c r="A279" s="123" t="s">
        <v>1433</v>
      </c>
      <c r="B279" s="123" t="s">
        <v>470</v>
      </c>
      <c r="C279" s="123" t="s">
        <v>471</v>
      </c>
      <c r="D279" s="123" t="s">
        <v>552</v>
      </c>
      <c r="E279" s="123" t="s">
        <v>553</v>
      </c>
      <c r="F279" s="123" t="s">
        <v>554</v>
      </c>
      <c r="G279" s="123" t="s">
        <v>555</v>
      </c>
      <c r="H279" s="123" t="s">
        <v>709</v>
      </c>
      <c r="I279" s="123" t="s">
        <v>710</v>
      </c>
      <c r="J279" s="123" t="s">
        <v>711</v>
      </c>
      <c r="K279" s="123" t="s">
        <v>190</v>
      </c>
      <c r="L279" s="123" t="s">
        <v>711</v>
      </c>
      <c r="M279" s="123" t="s">
        <v>190</v>
      </c>
      <c r="N279" s="123" t="s">
        <v>477</v>
      </c>
      <c r="O279" s="123" t="s">
        <v>478</v>
      </c>
      <c r="P279" s="123">
        <v>1105455</v>
      </c>
      <c r="Q279" s="123">
        <v>110545</v>
      </c>
      <c r="R279" s="123">
        <v>1216000</v>
      </c>
      <c r="S279" s="123" t="s">
        <v>1433</v>
      </c>
    </row>
    <row r="280" spans="1:19" x14ac:dyDescent="0.2">
      <c r="A280" s="123" t="s">
        <v>1433</v>
      </c>
      <c r="B280" s="123" t="s">
        <v>470</v>
      </c>
      <c r="C280" s="123" t="s">
        <v>471</v>
      </c>
      <c r="D280" s="123" t="s">
        <v>470</v>
      </c>
      <c r="E280" s="123" t="s">
        <v>472</v>
      </c>
      <c r="F280" s="123" t="s">
        <v>953</v>
      </c>
      <c r="G280" s="123" t="s">
        <v>954</v>
      </c>
      <c r="H280" s="123" t="s">
        <v>1307</v>
      </c>
      <c r="I280" s="123" t="s">
        <v>1308</v>
      </c>
      <c r="J280" s="123" t="s">
        <v>1309</v>
      </c>
      <c r="K280" s="123" t="s">
        <v>425</v>
      </c>
      <c r="L280" s="123" t="s">
        <v>1309</v>
      </c>
      <c r="M280" s="123" t="s">
        <v>425</v>
      </c>
      <c r="N280" s="123" t="s">
        <v>477</v>
      </c>
      <c r="O280" s="123" t="s">
        <v>478</v>
      </c>
      <c r="P280" s="123">
        <v>23204545</v>
      </c>
      <c r="Q280" s="123">
        <v>2320455</v>
      </c>
      <c r="R280" s="123">
        <v>25525000</v>
      </c>
      <c r="S280" s="123" t="s">
        <v>1433</v>
      </c>
    </row>
    <row r="281" spans="1:19" x14ac:dyDescent="0.2">
      <c r="A281" s="123" t="s">
        <v>1433</v>
      </c>
      <c r="B281" s="123" t="s">
        <v>470</v>
      </c>
      <c r="C281" s="123" t="s">
        <v>471</v>
      </c>
      <c r="D281" s="123" t="s">
        <v>552</v>
      </c>
      <c r="E281" s="123" t="s">
        <v>553</v>
      </c>
      <c r="F281" s="123" t="s">
        <v>569</v>
      </c>
      <c r="G281" s="123" t="s">
        <v>570</v>
      </c>
      <c r="H281" s="123" t="s">
        <v>715</v>
      </c>
      <c r="I281" s="123" t="s">
        <v>716</v>
      </c>
      <c r="J281" s="123" t="s">
        <v>717</v>
      </c>
      <c r="K281" s="123" t="s">
        <v>187</v>
      </c>
      <c r="L281" s="123" t="s">
        <v>717</v>
      </c>
      <c r="M281" s="123" t="s">
        <v>187</v>
      </c>
      <c r="N281" s="123" t="s">
        <v>477</v>
      </c>
      <c r="O281" s="123" t="s">
        <v>478</v>
      </c>
      <c r="P281" s="123">
        <v>9323636</v>
      </c>
      <c r="Q281" s="123">
        <v>932364</v>
      </c>
      <c r="R281" s="123">
        <v>10256000</v>
      </c>
      <c r="S281" s="123" t="s">
        <v>1433</v>
      </c>
    </row>
    <row r="282" spans="1:19" x14ac:dyDescent="0.2">
      <c r="A282" s="123" t="s">
        <v>1433</v>
      </c>
      <c r="B282" s="123" t="s">
        <v>470</v>
      </c>
      <c r="C282" s="123" t="s">
        <v>471</v>
      </c>
      <c r="D282" s="123" t="s">
        <v>482</v>
      </c>
      <c r="E282" s="123" t="s">
        <v>483</v>
      </c>
      <c r="F282" s="123" t="s">
        <v>627</v>
      </c>
      <c r="G282" s="123" t="s">
        <v>628</v>
      </c>
      <c r="H282" s="123" t="s">
        <v>721</v>
      </c>
      <c r="I282" s="123" t="s">
        <v>722</v>
      </c>
      <c r="J282" s="123" t="s">
        <v>726</v>
      </c>
      <c r="K282" s="123" t="s">
        <v>176</v>
      </c>
      <c r="L282" s="123" t="s">
        <v>726</v>
      </c>
      <c r="M282" s="123" t="s">
        <v>176</v>
      </c>
      <c r="N282" s="123" t="s">
        <v>477</v>
      </c>
      <c r="O282" s="123" t="s">
        <v>478</v>
      </c>
      <c r="P282" s="123">
        <v>4290000</v>
      </c>
      <c r="Q282" s="123">
        <v>429000</v>
      </c>
      <c r="R282" s="123">
        <v>4719000</v>
      </c>
      <c r="S282" s="123" t="s">
        <v>1433</v>
      </c>
    </row>
    <row r="283" spans="1:19" x14ac:dyDescent="0.2">
      <c r="A283" s="123" t="s">
        <v>1433</v>
      </c>
      <c r="B283" s="123" t="s">
        <v>470</v>
      </c>
      <c r="C283" s="123" t="s">
        <v>471</v>
      </c>
      <c r="D283" s="123" t="s">
        <v>482</v>
      </c>
      <c r="E283" s="123" t="s">
        <v>483</v>
      </c>
      <c r="F283" s="123" t="s">
        <v>627</v>
      </c>
      <c r="G283" s="123" t="s">
        <v>628</v>
      </c>
      <c r="H283" s="123" t="s">
        <v>721</v>
      </c>
      <c r="I283" s="123" t="s">
        <v>722</v>
      </c>
      <c r="J283" s="123" t="s">
        <v>135</v>
      </c>
      <c r="K283" s="123" t="s">
        <v>136</v>
      </c>
      <c r="L283" s="123" t="s">
        <v>135</v>
      </c>
      <c r="M283" s="123" t="s">
        <v>136</v>
      </c>
      <c r="N283" s="123" t="s">
        <v>477</v>
      </c>
      <c r="O283" s="123" t="s">
        <v>478</v>
      </c>
      <c r="P283" s="123">
        <v>11144545</v>
      </c>
      <c r="Q283" s="123">
        <v>1114455</v>
      </c>
      <c r="R283" s="123">
        <v>12259000</v>
      </c>
      <c r="S283" s="123" t="s">
        <v>1433</v>
      </c>
    </row>
    <row r="284" spans="1:19" x14ac:dyDescent="0.2">
      <c r="A284" s="123" t="s">
        <v>1433</v>
      </c>
      <c r="B284" s="123" t="s">
        <v>470</v>
      </c>
      <c r="C284" s="123" t="s">
        <v>471</v>
      </c>
      <c r="D284" s="123" t="s">
        <v>552</v>
      </c>
      <c r="E284" s="123" t="s">
        <v>553</v>
      </c>
      <c r="F284" s="123" t="s">
        <v>762</v>
      </c>
      <c r="G284" s="123" t="s">
        <v>763</v>
      </c>
      <c r="H284" s="123" t="s">
        <v>1318</v>
      </c>
      <c r="I284" s="123" t="s">
        <v>1319</v>
      </c>
      <c r="J284" s="123" t="s">
        <v>1320</v>
      </c>
      <c r="K284" s="123" t="s">
        <v>439</v>
      </c>
      <c r="L284" s="123" t="s">
        <v>1320</v>
      </c>
      <c r="M284" s="123" t="s">
        <v>439</v>
      </c>
      <c r="N284" s="123" t="s">
        <v>477</v>
      </c>
      <c r="O284" s="123" t="s">
        <v>478</v>
      </c>
      <c r="P284" s="123">
        <v>17867273</v>
      </c>
      <c r="Q284" s="123">
        <v>1786727</v>
      </c>
      <c r="R284" s="123">
        <v>19654000</v>
      </c>
      <c r="S284" s="123" t="s">
        <v>1433</v>
      </c>
    </row>
    <row r="285" spans="1:19" x14ac:dyDescent="0.2">
      <c r="A285" s="123" t="s">
        <v>1433</v>
      </c>
      <c r="B285" s="123" t="s">
        <v>470</v>
      </c>
      <c r="C285" s="123" t="s">
        <v>471</v>
      </c>
      <c r="D285" s="123" t="s">
        <v>552</v>
      </c>
      <c r="E285" s="123" t="s">
        <v>553</v>
      </c>
      <c r="F285" s="123" t="s">
        <v>730</v>
      </c>
      <c r="G285" s="123" t="s">
        <v>731</v>
      </c>
      <c r="H285" s="123" t="s">
        <v>732</v>
      </c>
      <c r="I285" s="123" t="s">
        <v>733</v>
      </c>
      <c r="J285" s="123" t="s">
        <v>139</v>
      </c>
      <c r="K285" s="123" t="s">
        <v>140</v>
      </c>
      <c r="L285" s="123" t="s">
        <v>139</v>
      </c>
      <c r="M285" s="123" t="s">
        <v>140</v>
      </c>
      <c r="N285" s="123" t="s">
        <v>477</v>
      </c>
      <c r="O285" s="123" t="s">
        <v>478</v>
      </c>
      <c r="P285" s="123">
        <v>4602727</v>
      </c>
      <c r="Q285" s="123">
        <v>460273</v>
      </c>
      <c r="R285" s="123">
        <v>5063000</v>
      </c>
      <c r="S285" s="123" t="s">
        <v>1433</v>
      </c>
    </row>
    <row r="286" spans="1:19" x14ac:dyDescent="0.2">
      <c r="A286" s="123" t="s">
        <v>1433</v>
      </c>
      <c r="B286" s="123" t="s">
        <v>470</v>
      </c>
      <c r="C286" s="123" t="s">
        <v>471</v>
      </c>
      <c r="D286" s="123" t="s">
        <v>552</v>
      </c>
      <c r="E286" s="123" t="s">
        <v>553</v>
      </c>
      <c r="F286" s="123" t="s">
        <v>730</v>
      </c>
      <c r="G286" s="123" t="s">
        <v>731</v>
      </c>
      <c r="H286" s="123" t="s">
        <v>732</v>
      </c>
      <c r="I286" s="123" t="s">
        <v>733</v>
      </c>
      <c r="J286" s="123" t="s">
        <v>110</v>
      </c>
      <c r="K286" s="123" t="s">
        <v>111</v>
      </c>
      <c r="L286" s="123" t="s">
        <v>110</v>
      </c>
      <c r="M286" s="123" t="s">
        <v>111</v>
      </c>
      <c r="N286" s="123" t="s">
        <v>477</v>
      </c>
      <c r="O286" s="123" t="s">
        <v>478</v>
      </c>
      <c r="P286" s="123">
        <v>20962727</v>
      </c>
      <c r="Q286" s="123">
        <v>2096273</v>
      </c>
      <c r="R286" s="123">
        <v>23059000</v>
      </c>
      <c r="S286" s="123" t="s">
        <v>1433</v>
      </c>
    </row>
    <row r="287" spans="1:19" x14ac:dyDescent="0.2">
      <c r="A287" s="123" t="s">
        <v>1433</v>
      </c>
      <c r="B287" s="123" t="s">
        <v>470</v>
      </c>
      <c r="C287" s="123" t="s">
        <v>471</v>
      </c>
      <c r="D287" s="123" t="s">
        <v>482</v>
      </c>
      <c r="E287" s="123" t="s">
        <v>483</v>
      </c>
      <c r="F287" s="123" t="s">
        <v>627</v>
      </c>
      <c r="G287" s="123" t="s">
        <v>628</v>
      </c>
      <c r="H287" s="123" t="s">
        <v>740</v>
      </c>
      <c r="I287" s="123" t="s">
        <v>741</v>
      </c>
      <c r="J287" s="123" t="s">
        <v>742</v>
      </c>
      <c r="K287" s="123" t="s">
        <v>177</v>
      </c>
      <c r="L287" s="123" t="s">
        <v>742</v>
      </c>
      <c r="M287" s="123" t="s">
        <v>177</v>
      </c>
      <c r="N287" s="123" t="s">
        <v>477</v>
      </c>
      <c r="O287" s="123" t="s">
        <v>478</v>
      </c>
      <c r="P287" s="123">
        <v>53710909</v>
      </c>
      <c r="Q287" s="123">
        <v>5371091</v>
      </c>
      <c r="R287" s="123">
        <v>59082000</v>
      </c>
      <c r="S287" s="123" t="s">
        <v>1433</v>
      </c>
    </row>
    <row r="288" spans="1:19" x14ac:dyDescent="0.2">
      <c r="A288" s="123" t="s">
        <v>1433</v>
      </c>
      <c r="B288" s="123" t="s">
        <v>470</v>
      </c>
      <c r="C288" s="123" t="s">
        <v>471</v>
      </c>
      <c r="D288" s="123" t="s">
        <v>482</v>
      </c>
      <c r="E288" s="123" t="s">
        <v>483</v>
      </c>
      <c r="F288" s="123" t="s">
        <v>531</v>
      </c>
      <c r="G288" s="123" t="s">
        <v>532</v>
      </c>
      <c r="H288" s="123" t="s">
        <v>746</v>
      </c>
      <c r="I288" s="123" t="s">
        <v>747</v>
      </c>
      <c r="J288" s="123" t="s">
        <v>80</v>
      </c>
      <c r="K288" s="123" t="s">
        <v>81</v>
      </c>
      <c r="L288" s="123" t="s">
        <v>80</v>
      </c>
      <c r="M288" s="123" t="s">
        <v>81</v>
      </c>
      <c r="N288" s="123" t="s">
        <v>477</v>
      </c>
      <c r="O288" s="123" t="s">
        <v>478</v>
      </c>
      <c r="P288" s="123">
        <v>11349091</v>
      </c>
      <c r="Q288" s="123">
        <v>1134909</v>
      </c>
      <c r="R288" s="123">
        <v>12484000</v>
      </c>
      <c r="S288" s="123" t="s">
        <v>1433</v>
      </c>
    </row>
    <row r="289" spans="1:19" x14ac:dyDescent="0.2">
      <c r="A289" s="123" t="s">
        <v>1433</v>
      </c>
      <c r="B289" s="123" t="s">
        <v>470</v>
      </c>
      <c r="C289" s="123" t="s">
        <v>471</v>
      </c>
      <c r="D289" s="123" t="s">
        <v>492</v>
      </c>
      <c r="E289" s="123" t="s">
        <v>493</v>
      </c>
      <c r="F289" s="123" t="s">
        <v>494</v>
      </c>
      <c r="G289" s="123" t="s">
        <v>495</v>
      </c>
      <c r="H289" s="123" t="s">
        <v>751</v>
      </c>
      <c r="I289" s="123" t="s">
        <v>752</v>
      </c>
      <c r="J289" s="123" t="s">
        <v>753</v>
      </c>
      <c r="K289" s="123" t="s">
        <v>171</v>
      </c>
      <c r="L289" s="123" t="s">
        <v>753</v>
      </c>
      <c r="M289" s="123" t="s">
        <v>171</v>
      </c>
      <c r="N289" s="123" t="s">
        <v>477</v>
      </c>
      <c r="O289" s="123" t="s">
        <v>478</v>
      </c>
      <c r="P289" s="123">
        <v>8230000</v>
      </c>
      <c r="Q289" s="123">
        <v>823000</v>
      </c>
      <c r="R289" s="123">
        <v>9053000</v>
      </c>
      <c r="S289" s="123" t="s">
        <v>1433</v>
      </c>
    </row>
    <row r="290" spans="1:19" x14ac:dyDescent="0.2">
      <c r="A290" s="123" t="s">
        <v>1433</v>
      </c>
      <c r="B290" s="123" t="s">
        <v>470</v>
      </c>
      <c r="C290" s="123" t="s">
        <v>471</v>
      </c>
      <c r="D290" s="123" t="s">
        <v>482</v>
      </c>
      <c r="E290" s="123" t="s">
        <v>483</v>
      </c>
      <c r="F290" s="123" t="s">
        <v>1339</v>
      </c>
      <c r="G290" s="123" t="s">
        <v>1340</v>
      </c>
      <c r="H290" s="123" t="s">
        <v>1341</v>
      </c>
      <c r="I290" s="123" t="s">
        <v>1342</v>
      </c>
      <c r="J290" s="123" t="s">
        <v>1343</v>
      </c>
      <c r="K290" s="123" t="s">
        <v>429</v>
      </c>
      <c r="L290" s="123" t="s">
        <v>1343</v>
      </c>
      <c r="M290" s="123" t="s">
        <v>429</v>
      </c>
      <c r="N290" s="123" t="s">
        <v>477</v>
      </c>
      <c r="O290" s="123" t="s">
        <v>478</v>
      </c>
      <c r="P290" s="123">
        <v>11079091</v>
      </c>
      <c r="Q290" s="123">
        <v>1107909</v>
      </c>
      <c r="R290" s="123">
        <v>12187000</v>
      </c>
      <c r="S290" s="123" t="s">
        <v>1433</v>
      </c>
    </row>
    <row r="291" spans="1:19" x14ac:dyDescent="0.2">
      <c r="A291" s="123" t="s">
        <v>1433</v>
      </c>
      <c r="B291" s="123" t="s">
        <v>470</v>
      </c>
      <c r="C291" s="123" t="s">
        <v>471</v>
      </c>
      <c r="D291" s="123" t="s">
        <v>492</v>
      </c>
      <c r="E291" s="123" t="s">
        <v>493</v>
      </c>
      <c r="F291" s="123" t="s">
        <v>501</v>
      </c>
      <c r="G291" s="123" t="s">
        <v>502</v>
      </c>
      <c r="H291" s="123" t="s">
        <v>1350</v>
      </c>
      <c r="I291" s="123" t="s">
        <v>1351</v>
      </c>
      <c r="J291" s="123" t="s">
        <v>1352</v>
      </c>
      <c r="K291" s="123" t="s">
        <v>433</v>
      </c>
      <c r="L291" s="123" t="s">
        <v>1352</v>
      </c>
      <c r="M291" s="123" t="s">
        <v>433</v>
      </c>
      <c r="N291" s="123" t="s">
        <v>477</v>
      </c>
      <c r="O291" s="123" t="s">
        <v>478</v>
      </c>
      <c r="P291" s="123">
        <v>10861818</v>
      </c>
      <c r="Q291" s="123">
        <v>1086182</v>
      </c>
      <c r="R291" s="123">
        <v>11948000</v>
      </c>
      <c r="S291" s="123" t="s">
        <v>1433</v>
      </c>
    </row>
    <row r="292" spans="1:19" x14ac:dyDescent="0.2">
      <c r="A292" s="123" t="s">
        <v>1433</v>
      </c>
      <c r="B292" s="123" t="s">
        <v>470</v>
      </c>
      <c r="C292" s="123" t="s">
        <v>471</v>
      </c>
      <c r="D292" s="123" t="s">
        <v>552</v>
      </c>
      <c r="E292" s="123" t="s">
        <v>553</v>
      </c>
      <c r="F292" s="123" t="s">
        <v>762</v>
      </c>
      <c r="G292" s="123" t="s">
        <v>763</v>
      </c>
      <c r="H292" s="123" t="s">
        <v>764</v>
      </c>
      <c r="I292" s="123" t="s">
        <v>765</v>
      </c>
      <c r="J292" s="123" t="s">
        <v>766</v>
      </c>
      <c r="K292" s="123" t="s">
        <v>188</v>
      </c>
      <c r="L292" s="123" t="s">
        <v>766</v>
      </c>
      <c r="M292" s="123" t="s">
        <v>188</v>
      </c>
      <c r="N292" s="123" t="s">
        <v>477</v>
      </c>
      <c r="O292" s="123" t="s">
        <v>478</v>
      </c>
      <c r="P292" s="123">
        <v>7523636</v>
      </c>
      <c r="Q292" s="123">
        <v>752364</v>
      </c>
      <c r="R292" s="123">
        <v>8276000</v>
      </c>
      <c r="S292" s="123" t="s">
        <v>1433</v>
      </c>
    </row>
    <row r="293" spans="1:19" x14ac:dyDescent="0.2">
      <c r="A293" s="123" t="s">
        <v>1433</v>
      </c>
      <c r="B293" s="123" t="s">
        <v>470</v>
      </c>
      <c r="C293" s="123" t="s">
        <v>471</v>
      </c>
      <c r="D293" s="123" t="s">
        <v>470</v>
      </c>
      <c r="E293" s="123" t="s">
        <v>472</v>
      </c>
      <c r="F293" s="123" t="s">
        <v>605</v>
      </c>
      <c r="G293" s="123" t="s">
        <v>606</v>
      </c>
      <c r="H293" s="123" t="s">
        <v>1446</v>
      </c>
      <c r="I293" s="123" t="s">
        <v>1447</v>
      </c>
      <c r="J293" s="123" t="s">
        <v>1448</v>
      </c>
      <c r="K293" s="123" t="s">
        <v>1449</v>
      </c>
      <c r="L293" s="123" t="s">
        <v>1448</v>
      </c>
      <c r="M293" s="123" t="s">
        <v>1449</v>
      </c>
      <c r="N293" s="123" t="s">
        <v>477</v>
      </c>
      <c r="O293" s="123" t="s">
        <v>478</v>
      </c>
      <c r="P293" s="123">
        <v>2298182</v>
      </c>
      <c r="Q293" s="123">
        <v>229818</v>
      </c>
      <c r="R293" s="123">
        <v>2528000</v>
      </c>
      <c r="S293" s="123" t="s">
        <v>1433</v>
      </c>
    </row>
    <row r="294" spans="1:19" x14ac:dyDescent="0.2">
      <c r="A294" s="123" t="s">
        <v>1433</v>
      </c>
      <c r="B294" s="123" t="s">
        <v>470</v>
      </c>
      <c r="C294" s="123" t="s">
        <v>471</v>
      </c>
      <c r="D294" s="123" t="s">
        <v>470</v>
      </c>
      <c r="E294" s="123" t="s">
        <v>472</v>
      </c>
      <c r="F294" s="123" t="s">
        <v>605</v>
      </c>
      <c r="G294" s="123" t="s">
        <v>606</v>
      </c>
      <c r="H294" s="123" t="s">
        <v>1446</v>
      </c>
      <c r="I294" s="123" t="s">
        <v>1447</v>
      </c>
      <c r="J294" s="123" t="s">
        <v>1450</v>
      </c>
      <c r="K294" s="123" t="s">
        <v>1451</v>
      </c>
      <c r="L294" s="123" t="s">
        <v>1450</v>
      </c>
      <c r="M294" s="123" t="s">
        <v>1451</v>
      </c>
      <c r="N294" s="123" t="s">
        <v>477</v>
      </c>
      <c r="O294" s="123" t="s">
        <v>478</v>
      </c>
      <c r="P294" s="123">
        <v>320000</v>
      </c>
      <c r="Q294" s="123">
        <v>32000</v>
      </c>
      <c r="R294" s="123">
        <v>352000</v>
      </c>
      <c r="S294" s="123" t="s">
        <v>1433</v>
      </c>
    </row>
    <row r="295" spans="1:19" x14ac:dyDescent="0.2">
      <c r="A295" s="123" t="s">
        <v>1433</v>
      </c>
      <c r="B295" s="123" t="s">
        <v>470</v>
      </c>
      <c r="C295" s="123" t="s">
        <v>471</v>
      </c>
      <c r="D295" s="123" t="s">
        <v>492</v>
      </c>
      <c r="E295" s="123" t="s">
        <v>493</v>
      </c>
      <c r="F295" s="123" t="s">
        <v>658</v>
      </c>
      <c r="G295" s="123" t="s">
        <v>659</v>
      </c>
      <c r="H295" s="123" t="s">
        <v>784</v>
      </c>
      <c r="I295" s="123" t="s">
        <v>785</v>
      </c>
      <c r="J295" s="123" t="s">
        <v>129</v>
      </c>
      <c r="K295" s="123" t="s">
        <v>130</v>
      </c>
      <c r="L295" s="123" t="s">
        <v>129</v>
      </c>
      <c r="M295" s="123" t="s">
        <v>130</v>
      </c>
      <c r="N295" s="123" t="s">
        <v>477</v>
      </c>
      <c r="O295" s="123" t="s">
        <v>478</v>
      </c>
      <c r="P295" s="123">
        <v>7595455</v>
      </c>
      <c r="Q295" s="123">
        <v>759545</v>
      </c>
      <c r="R295" s="123">
        <v>8355000</v>
      </c>
      <c r="S295" s="123" t="s">
        <v>1433</v>
      </c>
    </row>
    <row r="296" spans="1:19" x14ac:dyDescent="0.2">
      <c r="A296" s="123" t="s">
        <v>1433</v>
      </c>
      <c r="B296" s="123" t="s">
        <v>470</v>
      </c>
      <c r="C296" s="123" t="s">
        <v>471</v>
      </c>
      <c r="D296" s="123" t="s">
        <v>552</v>
      </c>
      <c r="E296" s="123" t="s">
        <v>553</v>
      </c>
      <c r="F296" s="123" t="s">
        <v>789</v>
      </c>
      <c r="G296" s="123" t="s">
        <v>790</v>
      </c>
      <c r="H296" s="123" t="s">
        <v>791</v>
      </c>
      <c r="I296" s="123" t="s">
        <v>792</v>
      </c>
      <c r="J296" s="123" t="s">
        <v>112</v>
      </c>
      <c r="K296" s="123" t="s">
        <v>113</v>
      </c>
      <c r="L296" s="123" t="s">
        <v>112</v>
      </c>
      <c r="M296" s="123" t="s">
        <v>113</v>
      </c>
      <c r="N296" s="123" t="s">
        <v>477</v>
      </c>
      <c r="O296" s="123" t="s">
        <v>478</v>
      </c>
      <c r="P296" s="123">
        <v>4178182</v>
      </c>
      <c r="Q296" s="123">
        <v>417818</v>
      </c>
      <c r="R296" s="123">
        <v>4596000</v>
      </c>
      <c r="S296" s="123" t="s">
        <v>1433</v>
      </c>
    </row>
    <row r="297" spans="1:19" x14ac:dyDescent="0.2">
      <c r="A297" s="123" t="s">
        <v>1433</v>
      </c>
      <c r="B297" s="123" t="s">
        <v>470</v>
      </c>
      <c r="C297" s="123" t="s">
        <v>471</v>
      </c>
      <c r="D297" s="123" t="s">
        <v>552</v>
      </c>
      <c r="E297" s="123" t="s">
        <v>553</v>
      </c>
      <c r="F297" s="123" t="s">
        <v>796</v>
      </c>
      <c r="G297" s="123" t="s">
        <v>797</v>
      </c>
      <c r="H297" s="123" t="s">
        <v>798</v>
      </c>
      <c r="I297" s="123" t="s">
        <v>799</v>
      </c>
      <c r="J297" s="123" t="s">
        <v>1377</v>
      </c>
      <c r="K297" s="123" t="s">
        <v>435</v>
      </c>
      <c r="L297" s="123" t="s">
        <v>1377</v>
      </c>
      <c r="M297" s="123" t="s">
        <v>435</v>
      </c>
      <c r="N297" s="123" t="s">
        <v>477</v>
      </c>
      <c r="O297" s="123" t="s">
        <v>478</v>
      </c>
      <c r="P297" s="123">
        <v>5060000</v>
      </c>
      <c r="Q297" s="123">
        <v>506000</v>
      </c>
      <c r="R297" s="123">
        <v>5566000</v>
      </c>
      <c r="S297" s="123" t="s">
        <v>1433</v>
      </c>
    </row>
    <row r="298" spans="1:19" x14ac:dyDescent="0.2">
      <c r="A298" s="123" t="s">
        <v>1433</v>
      </c>
      <c r="B298" s="123" t="s">
        <v>470</v>
      </c>
      <c r="C298" s="123" t="s">
        <v>471</v>
      </c>
      <c r="D298" s="123" t="s">
        <v>552</v>
      </c>
      <c r="E298" s="123" t="s">
        <v>553</v>
      </c>
      <c r="F298" s="123" t="s">
        <v>796</v>
      </c>
      <c r="G298" s="123" t="s">
        <v>797</v>
      </c>
      <c r="H298" s="123" t="s">
        <v>798</v>
      </c>
      <c r="I298" s="123" t="s">
        <v>799</v>
      </c>
      <c r="J298" s="123" t="s">
        <v>800</v>
      </c>
      <c r="K298" s="123" t="s">
        <v>178</v>
      </c>
      <c r="L298" s="123" t="s">
        <v>800</v>
      </c>
      <c r="M298" s="123" t="s">
        <v>178</v>
      </c>
      <c r="N298" s="123" t="s">
        <v>477</v>
      </c>
      <c r="O298" s="123" t="s">
        <v>478</v>
      </c>
      <c r="P298" s="123">
        <v>19700909</v>
      </c>
      <c r="Q298" s="123">
        <v>1970091</v>
      </c>
      <c r="R298" s="123">
        <v>21671000</v>
      </c>
      <c r="S298" s="123" t="s">
        <v>1433</v>
      </c>
    </row>
    <row r="299" spans="1:19" x14ac:dyDescent="0.2">
      <c r="A299" s="123" t="s">
        <v>1433</v>
      </c>
      <c r="B299" s="123" t="s">
        <v>470</v>
      </c>
      <c r="C299" s="123" t="s">
        <v>471</v>
      </c>
      <c r="D299" s="123" t="s">
        <v>552</v>
      </c>
      <c r="E299" s="123" t="s">
        <v>553</v>
      </c>
      <c r="F299" s="123" t="s">
        <v>569</v>
      </c>
      <c r="G299" s="123" t="s">
        <v>570</v>
      </c>
      <c r="H299" s="123" t="s">
        <v>804</v>
      </c>
      <c r="I299" s="123" t="s">
        <v>805</v>
      </c>
      <c r="J299" s="123" t="s">
        <v>82</v>
      </c>
      <c r="K299" s="123" t="s">
        <v>806</v>
      </c>
      <c r="L299" s="123" t="s">
        <v>82</v>
      </c>
      <c r="M299" s="123" t="s">
        <v>806</v>
      </c>
      <c r="N299" s="123" t="s">
        <v>477</v>
      </c>
      <c r="O299" s="123" t="s">
        <v>478</v>
      </c>
      <c r="P299" s="123">
        <v>29905455</v>
      </c>
      <c r="Q299" s="123">
        <v>2990545</v>
      </c>
      <c r="R299" s="123">
        <v>32896000</v>
      </c>
      <c r="S299" s="123" t="s">
        <v>1433</v>
      </c>
    </row>
    <row r="300" spans="1:19" x14ac:dyDescent="0.2">
      <c r="A300" s="123" t="s">
        <v>1433</v>
      </c>
      <c r="B300" s="123" t="s">
        <v>470</v>
      </c>
      <c r="C300" s="123" t="s">
        <v>471</v>
      </c>
      <c r="D300" s="123" t="s">
        <v>470</v>
      </c>
      <c r="E300" s="123" t="s">
        <v>472</v>
      </c>
      <c r="F300" s="123" t="s">
        <v>777</v>
      </c>
      <c r="G300" s="123" t="s">
        <v>778</v>
      </c>
      <c r="H300" s="123" t="s">
        <v>816</v>
      </c>
      <c r="I300" s="123" t="s">
        <v>817</v>
      </c>
      <c r="J300" s="123" t="s">
        <v>1452</v>
      </c>
      <c r="K300" s="123" t="s">
        <v>1453</v>
      </c>
      <c r="L300" s="123" t="s">
        <v>1452</v>
      </c>
      <c r="M300" s="123" t="s">
        <v>1453</v>
      </c>
      <c r="N300" s="123" t="s">
        <v>477</v>
      </c>
      <c r="O300" s="123" t="s">
        <v>478</v>
      </c>
      <c r="P300" s="123">
        <v>46009091</v>
      </c>
      <c r="Q300" s="123">
        <v>4600909</v>
      </c>
      <c r="R300" s="123">
        <v>50610000</v>
      </c>
      <c r="S300" s="123" t="s">
        <v>1433</v>
      </c>
    </row>
    <row r="301" spans="1:19" x14ac:dyDescent="0.2">
      <c r="A301" s="123" t="s">
        <v>1433</v>
      </c>
      <c r="B301" s="123" t="s">
        <v>470</v>
      </c>
      <c r="C301" s="123" t="s">
        <v>471</v>
      </c>
      <c r="D301" s="123" t="s">
        <v>482</v>
      </c>
      <c r="E301" s="123" t="s">
        <v>483</v>
      </c>
      <c r="F301" s="123" t="s">
        <v>1339</v>
      </c>
      <c r="G301" s="123" t="s">
        <v>1340</v>
      </c>
      <c r="H301" s="123" t="s">
        <v>1454</v>
      </c>
      <c r="I301" s="123" t="s">
        <v>1455</v>
      </c>
      <c r="J301" s="123" t="s">
        <v>1456</v>
      </c>
      <c r="K301" s="123" t="s">
        <v>1457</v>
      </c>
      <c r="L301" s="123" t="s">
        <v>1456</v>
      </c>
      <c r="M301" s="123" t="s">
        <v>1457</v>
      </c>
      <c r="N301" s="123" t="s">
        <v>477</v>
      </c>
      <c r="O301" s="123" t="s">
        <v>478</v>
      </c>
      <c r="P301" s="123">
        <v>25371818</v>
      </c>
      <c r="Q301" s="123">
        <v>2537182</v>
      </c>
      <c r="R301" s="123">
        <v>27909000</v>
      </c>
      <c r="S301" s="123" t="s">
        <v>1433</v>
      </c>
    </row>
    <row r="302" spans="1:19" x14ac:dyDescent="0.2">
      <c r="A302" s="123" t="s">
        <v>1433</v>
      </c>
      <c r="B302" s="123" t="s">
        <v>470</v>
      </c>
      <c r="C302" s="123" t="s">
        <v>471</v>
      </c>
      <c r="D302" s="123" t="s">
        <v>470</v>
      </c>
      <c r="E302" s="123" t="s">
        <v>472</v>
      </c>
      <c r="F302" s="123" t="s">
        <v>777</v>
      </c>
      <c r="G302" s="123" t="s">
        <v>778</v>
      </c>
      <c r="H302" s="123" t="s">
        <v>1458</v>
      </c>
      <c r="I302" s="123" t="s">
        <v>1459</v>
      </c>
      <c r="J302" s="123" t="s">
        <v>65</v>
      </c>
      <c r="K302" s="123" t="s">
        <v>66</v>
      </c>
      <c r="L302" s="123" t="s">
        <v>65</v>
      </c>
      <c r="M302" s="123" t="s">
        <v>66</v>
      </c>
      <c r="N302" s="123" t="s">
        <v>477</v>
      </c>
      <c r="O302" s="123" t="s">
        <v>478</v>
      </c>
      <c r="P302" s="123">
        <v>25948000</v>
      </c>
      <c r="Q302" s="123">
        <v>2594800</v>
      </c>
      <c r="R302" s="123">
        <v>28542800</v>
      </c>
      <c r="S302" s="123" t="s">
        <v>1433</v>
      </c>
    </row>
    <row r="303" spans="1:19" x14ac:dyDescent="0.2">
      <c r="A303" s="123" t="s">
        <v>1433</v>
      </c>
      <c r="B303" s="123" t="s">
        <v>470</v>
      </c>
      <c r="C303" s="123" t="s">
        <v>471</v>
      </c>
      <c r="D303" s="123" t="s">
        <v>552</v>
      </c>
      <c r="E303" s="123" t="s">
        <v>553</v>
      </c>
      <c r="F303" s="123" t="s">
        <v>762</v>
      </c>
      <c r="G303" s="123" t="s">
        <v>763</v>
      </c>
      <c r="H303" s="123" t="s">
        <v>1460</v>
      </c>
      <c r="I303" s="123" t="s">
        <v>1461</v>
      </c>
      <c r="J303" s="123" t="s">
        <v>849</v>
      </c>
      <c r="K303" s="123" t="s">
        <v>387</v>
      </c>
      <c r="L303" s="123" t="s">
        <v>849</v>
      </c>
      <c r="M303" s="123" t="s">
        <v>387</v>
      </c>
      <c r="N303" s="123" t="s">
        <v>477</v>
      </c>
      <c r="O303" s="123" t="s">
        <v>478</v>
      </c>
      <c r="P303" s="123">
        <v>26002727</v>
      </c>
      <c r="Q303" s="123">
        <v>2600273</v>
      </c>
      <c r="R303" s="123">
        <v>28603000</v>
      </c>
      <c r="S303" s="123" t="s">
        <v>1433</v>
      </c>
    </row>
    <row r="304" spans="1:19" x14ac:dyDescent="0.2">
      <c r="A304" s="123" t="s">
        <v>1433</v>
      </c>
      <c r="B304" s="123" t="s">
        <v>470</v>
      </c>
      <c r="C304" s="123" t="s">
        <v>471</v>
      </c>
      <c r="D304" s="123" t="s">
        <v>492</v>
      </c>
      <c r="E304" s="123" t="s">
        <v>493</v>
      </c>
      <c r="F304" s="123" t="s">
        <v>671</v>
      </c>
      <c r="G304" s="123" t="s">
        <v>672</v>
      </c>
      <c r="H304" s="123" t="s">
        <v>1462</v>
      </c>
      <c r="I304" s="123" t="s">
        <v>1463</v>
      </c>
      <c r="J304" s="123" t="s">
        <v>1208</v>
      </c>
      <c r="K304" s="123" t="s">
        <v>431</v>
      </c>
      <c r="L304" s="123" t="s">
        <v>1208</v>
      </c>
      <c r="M304" s="123" t="s">
        <v>431</v>
      </c>
      <c r="N304" s="123" t="s">
        <v>477</v>
      </c>
      <c r="O304" s="123" t="s">
        <v>478</v>
      </c>
      <c r="P304" s="123">
        <v>1363636</v>
      </c>
      <c r="Q304" s="123">
        <v>136364</v>
      </c>
      <c r="R304" s="123">
        <v>1500000</v>
      </c>
      <c r="S304" s="123" t="s">
        <v>1433</v>
      </c>
    </row>
    <row r="305" spans="1:19" x14ac:dyDescent="0.2">
      <c r="A305" s="123" t="s">
        <v>1433</v>
      </c>
      <c r="B305" s="123" t="s">
        <v>470</v>
      </c>
      <c r="C305" s="123" t="s">
        <v>471</v>
      </c>
      <c r="D305" s="123" t="s">
        <v>470</v>
      </c>
      <c r="E305" s="123" t="s">
        <v>472</v>
      </c>
      <c r="F305" s="123" t="s">
        <v>685</v>
      </c>
      <c r="G305" s="123" t="s">
        <v>686</v>
      </c>
      <c r="H305" s="123" t="s">
        <v>821</v>
      </c>
      <c r="I305" s="123" t="s">
        <v>822</v>
      </c>
      <c r="J305" s="123" t="s">
        <v>147</v>
      </c>
      <c r="K305" s="123" t="s">
        <v>148</v>
      </c>
      <c r="L305" s="123" t="s">
        <v>147</v>
      </c>
      <c r="M305" s="123" t="s">
        <v>148</v>
      </c>
      <c r="N305" s="123" t="s">
        <v>477</v>
      </c>
      <c r="O305" s="123" t="s">
        <v>478</v>
      </c>
      <c r="P305" s="123">
        <v>5675455</v>
      </c>
      <c r="Q305" s="123">
        <v>567545</v>
      </c>
      <c r="R305" s="123">
        <v>6243000</v>
      </c>
      <c r="S305" s="123" t="s">
        <v>1433</v>
      </c>
    </row>
    <row r="306" spans="1:19" x14ac:dyDescent="0.2">
      <c r="A306" s="123" t="s">
        <v>1433</v>
      </c>
      <c r="B306" s="123" t="s">
        <v>470</v>
      </c>
      <c r="C306" s="123" t="s">
        <v>471</v>
      </c>
      <c r="D306" s="123" t="s">
        <v>482</v>
      </c>
      <c r="E306" s="123" t="s">
        <v>483</v>
      </c>
      <c r="F306" s="123" t="s">
        <v>1339</v>
      </c>
      <c r="G306" s="123" t="s">
        <v>1340</v>
      </c>
      <c r="H306" s="123" t="s">
        <v>1403</v>
      </c>
      <c r="I306" s="123" t="s">
        <v>1404</v>
      </c>
      <c r="J306" s="123" t="s">
        <v>1405</v>
      </c>
      <c r="K306" s="123" t="s">
        <v>427</v>
      </c>
      <c r="L306" s="123" t="s">
        <v>1405</v>
      </c>
      <c r="M306" s="123" t="s">
        <v>427</v>
      </c>
      <c r="N306" s="123" t="s">
        <v>477</v>
      </c>
      <c r="O306" s="123" t="s">
        <v>478</v>
      </c>
      <c r="P306" s="123">
        <v>33463636</v>
      </c>
      <c r="Q306" s="123">
        <v>3346364</v>
      </c>
      <c r="R306" s="123">
        <v>36810000</v>
      </c>
      <c r="S306" s="123" t="s">
        <v>1433</v>
      </c>
    </row>
    <row r="307" spans="1:19" x14ac:dyDescent="0.2">
      <c r="A307" s="123" t="s">
        <v>1433</v>
      </c>
      <c r="B307" s="123" t="s">
        <v>470</v>
      </c>
      <c r="C307" s="123" t="s">
        <v>471</v>
      </c>
      <c r="D307" s="123" t="s">
        <v>552</v>
      </c>
      <c r="E307" s="123" t="s">
        <v>553</v>
      </c>
      <c r="F307" s="123" t="s">
        <v>730</v>
      </c>
      <c r="G307" s="123" t="s">
        <v>731</v>
      </c>
      <c r="H307" s="123" t="s">
        <v>1409</v>
      </c>
      <c r="I307" s="123" t="s">
        <v>1410</v>
      </c>
      <c r="J307" s="123" t="s">
        <v>1411</v>
      </c>
      <c r="K307" s="123" t="s">
        <v>438</v>
      </c>
      <c r="L307" s="123" t="s">
        <v>1411</v>
      </c>
      <c r="M307" s="123" t="s">
        <v>438</v>
      </c>
      <c r="N307" s="123" t="s">
        <v>477</v>
      </c>
      <c r="O307" s="123" t="s">
        <v>478</v>
      </c>
      <c r="P307" s="123">
        <v>6779091</v>
      </c>
      <c r="Q307" s="123">
        <v>677909</v>
      </c>
      <c r="R307" s="123">
        <v>7457000</v>
      </c>
      <c r="S307" s="123" t="s">
        <v>1433</v>
      </c>
    </row>
    <row r="308" spans="1:19" x14ac:dyDescent="0.2">
      <c r="A308" s="123" t="s">
        <v>1433</v>
      </c>
      <c r="B308" s="123" t="s">
        <v>492</v>
      </c>
      <c r="C308" s="123" t="s">
        <v>1065</v>
      </c>
      <c r="D308" s="123" t="s">
        <v>1066</v>
      </c>
      <c r="E308" s="123" t="s">
        <v>1067</v>
      </c>
      <c r="F308" s="123" t="s">
        <v>1068</v>
      </c>
      <c r="G308" s="123" t="s">
        <v>1069</v>
      </c>
      <c r="H308" s="123" t="s">
        <v>1070</v>
      </c>
      <c r="I308" s="123" t="s">
        <v>1071</v>
      </c>
      <c r="J308" s="123" t="s">
        <v>174</v>
      </c>
      <c r="K308" s="123" t="s">
        <v>175</v>
      </c>
      <c r="L308" s="123" t="s">
        <v>174</v>
      </c>
      <c r="M308" s="123" t="s">
        <v>175</v>
      </c>
      <c r="N308" s="123" t="s">
        <v>477</v>
      </c>
      <c r="O308" s="123" t="s">
        <v>478</v>
      </c>
      <c r="P308" s="123">
        <v>3994545</v>
      </c>
      <c r="Q308" s="123">
        <v>399455</v>
      </c>
      <c r="R308" s="123">
        <v>4394000</v>
      </c>
      <c r="S308" s="123" t="s">
        <v>1433</v>
      </c>
    </row>
    <row r="309" spans="1:19" x14ac:dyDescent="0.2">
      <c r="A309" s="123" t="s">
        <v>1433</v>
      </c>
      <c r="B309" s="123" t="s">
        <v>470</v>
      </c>
      <c r="C309" s="123" t="s">
        <v>471</v>
      </c>
      <c r="D309" s="123" t="s">
        <v>492</v>
      </c>
      <c r="E309" s="123" t="s">
        <v>493</v>
      </c>
      <c r="F309" s="123" t="s">
        <v>697</v>
      </c>
      <c r="G309" s="123" t="s">
        <v>698</v>
      </c>
      <c r="H309" s="123" t="s">
        <v>826</v>
      </c>
      <c r="I309" s="123" t="s">
        <v>827</v>
      </c>
      <c r="J309" s="123" t="s">
        <v>828</v>
      </c>
      <c r="K309" s="123" t="s">
        <v>168</v>
      </c>
      <c r="L309" s="123" t="s">
        <v>828</v>
      </c>
      <c r="M309" s="123" t="s">
        <v>168</v>
      </c>
      <c r="N309" s="123" t="s">
        <v>477</v>
      </c>
      <c r="O309" s="123" t="s">
        <v>478</v>
      </c>
      <c r="P309" s="123">
        <v>-6829091</v>
      </c>
      <c r="Q309" s="123">
        <v>-682909</v>
      </c>
      <c r="R309" s="123">
        <v>-7512000</v>
      </c>
      <c r="S309" s="123" t="s">
        <v>1433</v>
      </c>
    </row>
    <row r="310" spans="1:19" x14ac:dyDescent="0.2">
      <c r="A310" s="123" t="s">
        <v>1433</v>
      </c>
      <c r="B310" s="123" t="s">
        <v>470</v>
      </c>
      <c r="C310" s="123" t="s">
        <v>471</v>
      </c>
      <c r="D310" s="123" t="s">
        <v>492</v>
      </c>
      <c r="E310" s="123" t="s">
        <v>493</v>
      </c>
      <c r="F310" s="123" t="s">
        <v>697</v>
      </c>
      <c r="G310" s="123" t="s">
        <v>698</v>
      </c>
      <c r="H310" s="123" t="s">
        <v>826</v>
      </c>
      <c r="I310" s="123" t="s">
        <v>827</v>
      </c>
      <c r="J310" s="123" t="s">
        <v>95</v>
      </c>
      <c r="K310" s="123" t="s">
        <v>96</v>
      </c>
      <c r="L310" s="123" t="s">
        <v>95</v>
      </c>
      <c r="M310" s="123" t="s">
        <v>96</v>
      </c>
      <c r="N310" s="123" t="s">
        <v>477</v>
      </c>
      <c r="O310" s="123" t="s">
        <v>478</v>
      </c>
      <c r="P310" s="123">
        <v>49946364</v>
      </c>
      <c r="Q310" s="123">
        <v>4994636</v>
      </c>
      <c r="R310" s="123">
        <v>54941000</v>
      </c>
      <c r="S310" s="123" t="s">
        <v>1433</v>
      </c>
    </row>
    <row r="311" spans="1:19" x14ac:dyDescent="0.2">
      <c r="A311" s="123" t="s">
        <v>1433</v>
      </c>
      <c r="B311" s="123" t="s">
        <v>470</v>
      </c>
      <c r="C311" s="123" t="s">
        <v>471</v>
      </c>
      <c r="D311" s="123" t="s">
        <v>552</v>
      </c>
      <c r="E311" s="123" t="s">
        <v>553</v>
      </c>
      <c r="F311" s="123" t="s">
        <v>554</v>
      </c>
      <c r="G311" s="123" t="s">
        <v>555</v>
      </c>
      <c r="H311" s="123" t="s">
        <v>1081</v>
      </c>
      <c r="I311" s="123" t="s">
        <v>1082</v>
      </c>
      <c r="J311" s="123" t="s">
        <v>1083</v>
      </c>
      <c r="K311" s="123" t="s">
        <v>186</v>
      </c>
      <c r="L311" s="123" t="s">
        <v>1083</v>
      </c>
      <c r="M311" s="123" t="s">
        <v>186</v>
      </c>
      <c r="N311" s="123" t="s">
        <v>477</v>
      </c>
      <c r="O311" s="123" t="s">
        <v>478</v>
      </c>
      <c r="P311" s="123">
        <v>3054545</v>
      </c>
      <c r="Q311" s="123">
        <v>305455</v>
      </c>
      <c r="R311" s="123">
        <v>3360000</v>
      </c>
      <c r="S311" s="123" t="s">
        <v>1433</v>
      </c>
    </row>
    <row r="312" spans="1:19" x14ac:dyDescent="0.2">
      <c r="A312" s="123" t="s">
        <v>1433</v>
      </c>
      <c r="B312" s="123" t="s">
        <v>470</v>
      </c>
      <c r="C312" s="123" t="s">
        <v>471</v>
      </c>
      <c r="D312" s="123" t="s">
        <v>552</v>
      </c>
      <c r="E312" s="123" t="s">
        <v>553</v>
      </c>
      <c r="F312" s="123" t="s">
        <v>762</v>
      </c>
      <c r="G312" s="123" t="s">
        <v>763</v>
      </c>
      <c r="H312" s="123" t="s">
        <v>835</v>
      </c>
      <c r="I312" s="123" t="s">
        <v>836</v>
      </c>
      <c r="J312" s="123" t="s">
        <v>155</v>
      </c>
      <c r="K312" s="123" t="s">
        <v>156</v>
      </c>
      <c r="L312" s="123" t="s">
        <v>155</v>
      </c>
      <c r="M312" s="123" t="s">
        <v>156</v>
      </c>
      <c r="N312" s="123" t="s">
        <v>477</v>
      </c>
      <c r="O312" s="123" t="s">
        <v>478</v>
      </c>
      <c r="P312" s="123">
        <v>21011818</v>
      </c>
      <c r="Q312" s="123">
        <v>2101182</v>
      </c>
      <c r="R312" s="123">
        <v>23113000</v>
      </c>
      <c r="S312" s="123" t="s">
        <v>1433</v>
      </c>
    </row>
    <row r="313" spans="1:19" x14ac:dyDescent="0.2">
      <c r="A313" s="123" t="s">
        <v>1433</v>
      </c>
      <c r="B313" s="123" t="s">
        <v>492</v>
      </c>
      <c r="C313" s="123" t="s">
        <v>1065</v>
      </c>
      <c r="D313" s="123" t="s">
        <v>1066</v>
      </c>
      <c r="E313" s="123" t="s">
        <v>1067</v>
      </c>
      <c r="F313" s="123" t="s">
        <v>1464</v>
      </c>
      <c r="G313" s="123" t="s">
        <v>1465</v>
      </c>
      <c r="H313" s="123" t="s">
        <v>1466</v>
      </c>
      <c r="I313" s="123" t="s">
        <v>1467</v>
      </c>
      <c r="J313" s="123" t="s">
        <v>1468</v>
      </c>
      <c r="K313" s="123" t="s">
        <v>1469</v>
      </c>
      <c r="L313" s="123" t="s">
        <v>1468</v>
      </c>
      <c r="M313" s="123" t="s">
        <v>1469</v>
      </c>
      <c r="N313" s="123" t="s">
        <v>477</v>
      </c>
      <c r="O313" s="123" t="s">
        <v>478</v>
      </c>
      <c r="P313" s="123">
        <v>11956364</v>
      </c>
      <c r="Q313" s="123">
        <v>1195636</v>
      </c>
      <c r="R313" s="123">
        <v>13152000</v>
      </c>
      <c r="S313" s="123" t="s">
        <v>1433</v>
      </c>
    </row>
    <row r="314" spans="1:19" hidden="1" x14ac:dyDescent="0.2">
      <c r="A314" s="123" t="s">
        <v>1470</v>
      </c>
      <c r="B314" s="123" t="s">
        <v>470</v>
      </c>
      <c r="C314" s="123" t="s">
        <v>471</v>
      </c>
      <c r="D314" s="123" t="s">
        <v>492</v>
      </c>
      <c r="E314" s="123" t="s">
        <v>493</v>
      </c>
      <c r="F314" s="123" t="s">
        <v>671</v>
      </c>
      <c r="G314" s="123" t="s">
        <v>672</v>
      </c>
      <c r="H314" s="123" t="s">
        <v>673</v>
      </c>
      <c r="I314" s="123" t="s">
        <v>674</v>
      </c>
      <c r="J314" s="123" t="s">
        <v>131</v>
      </c>
      <c r="K314" s="123" t="s">
        <v>132</v>
      </c>
      <c r="L314" s="123" t="s">
        <v>131</v>
      </c>
      <c r="M314" s="123" t="s">
        <v>132</v>
      </c>
      <c r="N314" s="123" t="s">
        <v>477</v>
      </c>
      <c r="O314" s="123" t="s">
        <v>478</v>
      </c>
      <c r="P314" s="123" t="s">
        <v>1471</v>
      </c>
      <c r="Q314" s="123" t="s">
        <v>1472</v>
      </c>
      <c r="R314" s="123" t="s">
        <v>1473</v>
      </c>
      <c r="S314" s="123" t="s">
        <v>1470</v>
      </c>
    </row>
  </sheetData>
  <autoFilter ref="A1:S314">
    <filterColumn colId="0">
      <filters>
        <filter val="2026.04"/>
      </filters>
    </filterColumn>
  </autoFilter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J87"/>
  <sheetViews>
    <sheetView topLeftCell="A3" workbookViewId="0">
      <selection activeCell="L236" sqref="L236"/>
    </sheetView>
  </sheetViews>
  <sheetFormatPr defaultRowHeight="12.75" x14ac:dyDescent="0.2"/>
  <cols>
    <col min="1" max="1" width="11.85546875" bestFit="1" customWidth="1"/>
    <col min="2" max="2" width="15.140625" style="126" bestFit="1" customWidth="1"/>
  </cols>
  <sheetData>
    <row r="3" spans="1:2" x14ac:dyDescent="0.2">
      <c r="A3" s="124" t="s">
        <v>1474</v>
      </c>
      <c r="B3" s="126" t="s">
        <v>1475</v>
      </c>
    </row>
    <row r="4" spans="1:2" x14ac:dyDescent="0.2">
      <c r="A4" s="125">
        <v>10002829</v>
      </c>
      <c r="B4" s="126">
        <v>22036364</v>
      </c>
    </row>
    <row r="5" spans="1:2" x14ac:dyDescent="0.2">
      <c r="A5" s="125">
        <v>10003837</v>
      </c>
      <c r="B5" s="126">
        <v>2659091</v>
      </c>
    </row>
    <row r="6" spans="1:2" x14ac:dyDescent="0.2">
      <c r="A6" s="125">
        <v>10006513</v>
      </c>
      <c r="B6" s="126">
        <v>1950000</v>
      </c>
    </row>
    <row r="7" spans="1:2" x14ac:dyDescent="0.2">
      <c r="A7" s="125">
        <v>10006915</v>
      </c>
      <c r="B7" s="126">
        <v>9163636</v>
      </c>
    </row>
    <row r="8" spans="1:2" x14ac:dyDescent="0.2">
      <c r="A8" s="125">
        <v>10008739</v>
      </c>
      <c r="B8" s="126">
        <v>6411982</v>
      </c>
    </row>
    <row r="9" spans="1:2" x14ac:dyDescent="0.2">
      <c r="A9" s="125">
        <v>10014574</v>
      </c>
      <c r="B9" s="126">
        <v>26002727</v>
      </c>
    </row>
    <row r="10" spans="1:2" x14ac:dyDescent="0.2">
      <c r="A10" s="125">
        <v>10014653</v>
      </c>
      <c r="B10" s="126">
        <v>1585455</v>
      </c>
    </row>
    <row r="11" spans="1:2" x14ac:dyDescent="0.2">
      <c r="A11" s="125">
        <v>10015909</v>
      </c>
      <c r="B11" s="126">
        <v>14666364</v>
      </c>
    </row>
    <row r="12" spans="1:2" x14ac:dyDescent="0.2">
      <c r="A12" s="125">
        <v>10017056</v>
      </c>
      <c r="B12" s="126">
        <v>4313636</v>
      </c>
    </row>
    <row r="13" spans="1:2" x14ac:dyDescent="0.2">
      <c r="A13" s="125">
        <v>10019113</v>
      </c>
      <c r="B13" s="126">
        <v>2052727</v>
      </c>
    </row>
    <row r="14" spans="1:2" x14ac:dyDescent="0.2">
      <c r="A14" s="125">
        <v>10021506</v>
      </c>
      <c r="B14" s="126">
        <v>-6829091</v>
      </c>
    </row>
    <row r="15" spans="1:2" x14ac:dyDescent="0.2">
      <c r="A15" s="125">
        <v>10021890</v>
      </c>
      <c r="B15" s="126">
        <v>16346364</v>
      </c>
    </row>
    <row r="16" spans="1:2" x14ac:dyDescent="0.2">
      <c r="A16" s="125">
        <v>10026494</v>
      </c>
      <c r="B16" s="126">
        <v>9978182</v>
      </c>
    </row>
    <row r="17" spans="1:2" x14ac:dyDescent="0.2">
      <c r="A17" s="125">
        <v>10031447</v>
      </c>
      <c r="B17" s="126">
        <v>5675455</v>
      </c>
    </row>
    <row r="18" spans="1:2" x14ac:dyDescent="0.2">
      <c r="A18" s="125">
        <v>10031830</v>
      </c>
      <c r="B18" s="126">
        <v>37847273</v>
      </c>
    </row>
    <row r="19" spans="1:2" x14ac:dyDescent="0.2">
      <c r="A19" s="125">
        <v>10032062</v>
      </c>
      <c r="B19" s="126">
        <v>4710909</v>
      </c>
    </row>
    <row r="20" spans="1:2" x14ac:dyDescent="0.2">
      <c r="A20" s="125">
        <v>10032311</v>
      </c>
      <c r="B20" s="126">
        <v>2298182</v>
      </c>
    </row>
    <row r="21" spans="1:2" x14ac:dyDescent="0.2">
      <c r="A21" s="125">
        <v>10032387</v>
      </c>
      <c r="B21" s="126">
        <v>10778182</v>
      </c>
    </row>
    <row r="22" spans="1:2" x14ac:dyDescent="0.2">
      <c r="A22" s="125">
        <v>10032388</v>
      </c>
      <c r="B22" s="126">
        <v>6788182</v>
      </c>
    </row>
    <row r="23" spans="1:2" x14ac:dyDescent="0.2">
      <c r="A23" s="125">
        <v>10032728</v>
      </c>
      <c r="B23" s="126">
        <v>49946364</v>
      </c>
    </row>
    <row r="24" spans="1:2" x14ac:dyDescent="0.2">
      <c r="A24" s="125">
        <v>10032805</v>
      </c>
      <c r="B24" s="126">
        <v>4689091</v>
      </c>
    </row>
    <row r="25" spans="1:2" x14ac:dyDescent="0.2">
      <c r="A25" s="125">
        <v>10032898</v>
      </c>
      <c r="B25" s="126">
        <v>4545455</v>
      </c>
    </row>
    <row r="26" spans="1:2" x14ac:dyDescent="0.2">
      <c r="A26" s="125">
        <v>10032935</v>
      </c>
      <c r="B26" s="126">
        <v>34822727</v>
      </c>
    </row>
    <row r="27" spans="1:2" x14ac:dyDescent="0.2">
      <c r="A27" s="125">
        <v>10033043</v>
      </c>
      <c r="B27" s="126">
        <v>7595455</v>
      </c>
    </row>
    <row r="28" spans="1:2" x14ac:dyDescent="0.2">
      <c r="A28" s="125">
        <v>10033270</v>
      </c>
      <c r="B28" s="126">
        <v>46009091</v>
      </c>
    </row>
    <row r="29" spans="1:2" x14ac:dyDescent="0.2">
      <c r="A29" s="125">
        <v>10033277</v>
      </c>
      <c r="B29" s="126">
        <v>15709091</v>
      </c>
    </row>
    <row r="30" spans="1:2" x14ac:dyDescent="0.2">
      <c r="A30" s="125">
        <v>10033614</v>
      </c>
      <c r="B30" s="126">
        <v>13614545</v>
      </c>
    </row>
    <row r="31" spans="1:2" x14ac:dyDescent="0.2">
      <c r="A31" s="125">
        <v>10033888</v>
      </c>
      <c r="B31" s="126">
        <v>23204545</v>
      </c>
    </row>
    <row r="32" spans="1:2" x14ac:dyDescent="0.2">
      <c r="A32" s="125">
        <v>10034679</v>
      </c>
      <c r="B32" s="126">
        <v>9396364</v>
      </c>
    </row>
    <row r="33" spans="1:2" x14ac:dyDescent="0.2">
      <c r="A33" s="125">
        <v>10034942</v>
      </c>
      <c r="B33" s="126">
        <v>8230000</v>
      </c>
    </row>
    <row r="34" spans="1:2" x14ac:dyDescent="0.2">
      <c r="A34" s="125">
        <v>10035069</v>
      </c>
      <c r="B34" s="126">
        <v>25948000</v>
      </c>
    </row>
    <row r="35" spans="1:2" x14ac:dyDescent="0.2">
      <c r="A35" s="125">
        <v>10035562</v>
      </c>
      <c r="B35" s="126">
        <v>17127273</v>
      </c>
    </row>
    <row r="36" spans="1:2" x14ac:dyDescent="0.2">
      <c r="A36" s="125">
        <v>10035927</v>
      </c>
      <c r="B36" s="126">
        <v>14311818</v>
      </c>
    </row>
    <row r="37" spans="1:2" x14ac:dyDescent="0.2">
      <c r="A37" s="125">
        <v>10035968</v>
      </c>
      <c r="B37" s="126">
        <v>12272727</v>
      </c>
    </row>
    <row r="38" spans="1:2" x14ac:dyDescent="0.2">
      <c r="A38" s="125">
        <v>10036016</v>
      </c>
      <c r="B38" s="126">
        <v>5410909</v>
      </c>
    </row>
    <row r="39" spans="1:2" x14ac:dyDescent="0.2">
      <c r="A39" s="125">
        <v>10036320</v>
      </c>
      <c r="B39" s="126">
        <v>15518182</v>
      </c>
    </row>
    <row r="40" spans="1:2" x14ac:dyDescent="0.2">
      <c r="A40" s="125">
        <v>10036531</v>
      </c>
      <c r="B40" s="126">
        <v>4290000</v>
      </c>
    </row>
    <row r="41" spans="1:2" x14ac:dyDescent="0.2">
      <c r="A41" s="125">
        <v>10036590</v>
      </c>
      <c r="B41" s="126">
        <v>11144545</v>
      </c>
    </row>
    <row r="42" spans="1:2" x14ac:dyDescent="0.2">
      <c r="A42" s="125">
        <v>10036633</v>
      </c>
      <c r="B42" s="126">
        <v>7958182</v>
      </c>
    </row>
    <row r="43" spans="1:2" x14ac:dyDescent="0.2">
      <c r="A43" s="125">
        <v>10036639</v>
      </c>
      <c r="B43" s="126">
        <v>53710909</v>
      </c>
    </row>
    <row r="44" spans="1:2" x14ac:dyDescent="0.2">
      <c r="A44" s="125">
        <v>10037576</v>
      </c>
      <c r="B44" s="126">
        <v>25371818</v>
      </c>
    </row>
    <row r="45" spans="1:2" x14ac:dyDescent="0.2">
      <c r="A45" s="125">
        <v>10037680</v>
      </c>
      <c r="B45" s="126">
        <v>33463636</v>
      </c>
    </row>
    <row r="46" spans="1:2" x14ac:dyDescent="0.2">
      <c r="A46" s="125">
        <v>10037883</v>
      </c>
      <c r="B46" s="126">
        <v>33157273</v>
      </c>
    </row>
    <row r="47" spans="1:2" x14ac:dyDescent="0.2">
      <c r="A47" s="125">
        <v>10038249</v>
      </c>
      <c r="B47" s="126">
        <v>22647273</v>
      </c>
    </row>
    <row r="48" spans="1:2" x14ac:dyDescent="0.2">
      <c r="A48" s="125">
        <v>10038259</v>
      </c>
      <c r="B48" s="126">
        <v>5556364</v>
      </c>
    </row>
    <row r="49" spans="1:10" x14ac:dyDescent="0.2">
      <c r="A49" s="125">
        <v>10038513</v>
      </c>
      <c r="B49" s="126">
        <v>5185455</v>
      </c>
    </row>
    <row r="50" spans="1:10" x14ac:dyDescent="0.2">
      <c r="A50" s="125">
        <v>10038671</v>
      </c>
      <c r="B50" s="126">
        <v>11079091</v>
      </c>
      <c r="J50">
        <v>1</v>
      </c>
    </row>
    <row r="51" spans="1:10" x14ac:dyDescent="0.2">
      <c r="A51" s="125">
        <v>10038792</v>
      </c>
      <c r="B51" s="126">
        <v>2400909</v>
      </c>
    </row>
    <row r="52" spans="1:10" x14ac:dyDescent="0.2">
      <c r="A52" s="125">
        <v>10039210</v>
      </c>
      <c r="B52" s="126">
        <v>20962727</v>
      </c>
    </row>
    <row r="53" spans="1:10" x14ac:dyDescent="0.2">
      <c r="A53" s="125">
        <v>10039242</v>
      </c>
      <c r="B53" s="126">
        <v>4602727</v>
      </c>
    </row>
    <row r="54" spans="1:10" x14ac:dyDescent="0.2">
      <c r="A54" s="125">
        <v>10040095</v>
      </c>
      <c r="B54" s="126">
        <v>7523636</v>
      </c>
    </row>
    <row r="55" spans="1:10" x14ac:dyDescent="0.2">
      <c r="A55" s="125">
        <v>10040545</v>
      </c>
      <c r="B55" s="126">
        <v>9895455</v>
      </c>
    </row>
    <row r="56" spans="1:10" x14ac:dyDescent="0.2">
      <c r="A56" s="125">
        <v>10040639</v>
      </c>
      <c r="B56" s="126">
        <v>13214545</v>
      </c>
    </row>
    <row r="57" spans="1:10" x14ac:dyDescent="0.2">
      <c r="A57" s="125">
        <v>10040990</v>
      </c>
      <c r="B57" s="126">
        <v>3054545</v>
      </c>
    </row>
    <row r="58" spans="1:10" x14ac:dyDescent="0.2">
      <c r="A58" s="125">
        <v>10041141</v>
      </c>
      <c r="B58" s="126">
        <v>9323636</v>
      </c>
    </row>
    <row r="59" spans="1:10" x14ac:dyDescent="0.2">
      <c r="A59" s="125">
        <v>10041441</v>
      </c>
      <c r="B59" s="126">
        <v>1105455</v>
      </c>
    </row>
    <row r="60" spans="1:10" x14ac:dyDescent="0.2">
      <c r="A60" s="125">
        <v>10041502</v>
      </c>
      <c r="B60" s="126">
        <v>25707273</v>
      </c>
    </row>
    <row r="61" spans="1:10" x14ac:dyDescent="0.2">
      <c r="A61" s="125">
        <v>10041592</v>
      </c>
      <c r="B61" s="126">
        <v>45112727</v>
      </c>
    </row>
    <row r="62" spans="1:10" x14ac:dyDescent="0.2">
      <c r="A62" s="125">
        <v>10041740</v>
      </c>
      <c r="B62" s="126">
        <v>4178182</v>
      </c>
    </row>
    <row r="63" spans="1:10" x14ac:dyDescent="0.2">
      <c r="A63" s="125">
        <v>10041888</v>
      </c>
      <c r="B63" s="126">
        <v>29905455</v>
      </c>
    </row>
    <row r="64" spans="1:10" x14ac:dyDescent="0.2">
      <c r="A64" s="125">
        <v>10042063</v>
      </c>
      <c r="B64" s="126">
        <v>1363636</v>
      </c>
    </row>
    <row r="65" spans="1:2" x14ac:dyDescent="0.2">
      <c r="A65" s="125">
        <v>10044981</v>
      </c>
      <c r="B65" s="126">
        <v>11743636</v>
      </c>
    </row>
    <row r="66" spans="1:2" x14ac:dyDescent="0.2">
      <c r="A66" s="125">
        <v>10045809</v>
      </c>
      <c r="B66" s="126">
        <v>10340909</v>
      </c>
    </row>
    <row r="67" spans="1:2" x14ac:dyDescent="0.2">
      <c r="A67" s="125">
        <v>10046812</v>
      </c>
      <c r="B67" s="126">
        <v>21011818</v>
      </c>
    </row>
    <row r="68" spans="1:2" x14ac:dyDescent="0.2">
      <c r="A68" s="125">
        <v>10050471</v>
      </c>
      <c r="B68" s="126">
        <v>4951818</v>
      </c>
    </row>
    <row r="69" spans="1:2" x14ac:dyDescent="0.2">
      <c r="A69" s="125">
        <v>10060702</v>
      </c>
      <c r="B69" s="126">
        <v>7796364</v>
      </c>
    </row>
    <row r="70" spans="1:2" x14ac:dyDescent="0.2">
      <c r="A70" s="125">
        <v>10061981</v>
      </c>
      <c r="B70" s="126">
        <v>3994545</v>
      </c>
    </row>
    <row r="71" spans="1:2" x14ac:dyDescent="0.2">
      <c r="A71" s="125">
        <v>10063044</v>
      </c>
      <c r="B71" s="126">
        <v>34092000</v>
      </c>
    </row>
    <row r="72" spans="1:2" x14ac:dyDescent="0.2">
      <c r="A72" s="125">
        <v>10066681</v>
      </c>
      <c r="B72" s="126">
        <v>3636364</v>
      </c>
    </row>
    <row r="73" spans="1:2" x14ac:dyDescent="0.2">
      <c r="A73" s="125">
        <v>10067605</v>
      </c>
      <c r="B73" s="126">
        <v>10861818</v>
      </c>
    </row>
    <row r="74" spans="1:2" x14ac:dyDescent="0.2">
      <c r="A74" s="125">
        <v>10068728</v>
      </c>
      <c r="B74" s="126">
        <v>15214545</v>
      </c>
    </row>
    <row r="75" spans="1:2" x14ac:dyDescent="0.2">
      <c r="A75" s="125">
        <v>10069147</v>
      </c>
      <c r="B75" s="126">
        <v>26570000</v>
      </c>
    </row>
    <row r="76" spans="1:2" x14ac:dyDescent="0.2">
      <c r="A76" s="125">
        <v>10069441</v>
      </c>
      <c r="B76" s="126">
        <v>5060000</v>
      </c>
    </row>
    <row r="77" spans="1:2" x14ac:dyDescent="0.2">
      <c r="A77" s="125">
        <v>10070268</v>
      </c>
      <c r="B77" s="126">
        <v>11349091</v>
      </c>
    </row>
    <row r="78" spans="1:2" x14ac:dyDescent="0.2">
      <c r="A78" s="125">
        <v>10071000</v>
      </c>
      <c r="B78" s="126">
        <v>5672727</v>
      </c>
    </row>
    <row r="79" spans="1:2" x14ac:dyDescent="0.2">
      <c r="A79" s="125">
        <v>10073012</v>
      </c>
      <c r="B79" s="126">
        <v>11956364</v>
      </c>
    </row>
    <row r="80" spans="1:2" x14ac:dyDescent="0.2">
      <c r="A80" s="125">
        <v>10074449</v>
      </c>
      <c r="B80" s="126">
        <v>2252727</v>
      </c>
    </row>
    <row r="81" spans="1:2" x14ac:dyDescent="0.2">
      <c r="A81" s="125">
        <v>10082404</v>
      </c>
      <c r="B81" s="126">
        <v>12944545</v>
      </c>
    </row>
    <row r="82" spans="1:2" x14ac:dyDescent="0.2">
      <c r="A82" s="125">
        <v>10089241</v>
      </c>
      <c r="B82" s="126">
        <v>320000</v>
      </c>
    </row>
    <row r="83" spans="1:2" x14ac:dyDescent="0.2">
      <c r="A83" s="125">
        <v>10091292</v>
      </c>
      <c r="B83" s="126">
        <v>2618182</v>
      </c>
    </row>
    <row r="84" spans="1:2" x14ac:dyDescent="0.2">
      <c r="A84" s="125">
        <v>10096603</v>
      </c>
      <c r="B84" s="126">
        <v>6779091</v>
      </c>
    </row>
    <row r="85" spans="1:2" x14ac:dyDescent="0.2">
      <c r="A85" s="125">
        <v>10099847</v>
      </c>
      <c r="B85" s="126">
        <v>17867273</v>
      </c>
    </row>
    <row r="86" spans="1:2" x14ac:dyDescent="0.2">
      <c r="A86" s="125">
        <v>10103688</v>
      </c>
      <c r="B86" s="126">
        <v>19700909</v>
      </c>
    </row>
    <row r="87" spans="1:2" x14ac:dyDescent="0.2">
      <c r="A87" s="125" t="s">
        <v>160</v>
      </c>
      <c r="B87" s="126">
        <v>1125437437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4"/>
  <sheetViews>
    <sheetView workbookViewId="0">
      <selection activeCell="L236" sqref="L236"/>
    </sheetView>
  </sheetViews>
  <sheetFormatPr defaultRowHeight="12.75" x14ac:dyDescent="0.2"/>
  <sheetData>
    <row r="1" spans="1:21" x14ac:dyDescent="0.2">
      <c r="A1" s="123" t="s">
        <v>452</v>
      </c>
      <c r="B1" s="123" t="s">
        <v>453</v>
      </c>
      <c r="C1" s="123" t="s">
        <v>454</v>
      </c>
      <c r="D1" s="123" t="s">
        <v>455</v>
      </c>
      <c r="E1" s="123" t="s">
        <v>456</v>
      </c>
      <c r="F1" s="123" t="s">
        <v>457</v>
      </c>
      <c r="G1" s="123" t="s">
        <v>458</v>
      </c>
      <c r="H1" s="123" t="s">
        <v>459</v>
      </c>
      <c r="I1" s="123" t="s">
        <v>460</v>
      </c>
      <c r="J1" s="123" t="s">
        <v>157</v>
      </c>
      <c r="K1" s="123" t="s">
        <v>158</v>
      </c>
      <c r="L1" s="123" t="s">
        <v>461</v>
      </c>
      <c r="M1" s="123" t="s">
        <v>462</v>
      </c>
      <c r="N1" s="123" t="s">
        <v>463</v>
      </c>
      <c r="O1" s="123" t="s">
        <v>464</v>
      </c>
      <c r="P1" s="123" t="s">
        <v>465</v>
      </c>
      <c r="Q1" s="123" t="s">
        <v>466</v>
      </c>
      <c r="R1" s="123" t="s">
        <v>467</v>
      </c>
      <c r="S1" s="123" t="s">
        <v>468</v>
      </c>
    </row>
    <row r="2" spans="1:21" x14ac:dyDescent="0.2">
      <c r="A2" s="123" t="s">
        <v>1433</v>
      </c>
      <c r="B2" s="123" t="s">
        <v>470</v>
      </c>
      <c r="C2" s="123" t="s">
        <v>471</v>
      </c>
      <c r="D2" s="123" t="s">
        <v>470</v>
      </c>
      <c r="E2" s="123" t="s">
        <v>472</v>
      </c>
      <c r="F2" s="123" t="s">
        <v>473</v>
      </c>
      <c r="G2" s="123" t="s">
        <v>474</v>
      </c>
      <c r="H2" s="123" t="s">
        <v>475</v>
      </c>
      <c r="I2" s="123" t="s">
        <v>476</v>
      </c>
      <c r="J2" s="123" t="s">
        <v>1091</v>
      </c>
      <c r="K2" s="123" t="s">
        <v>430</v>
      </c>
      <c r="L2" s="123" t="s">
        <v>1091</v>
      </c>
      <c r="M2" s="123" t="s">
        <v>430</v>
      </c>
      <c r="N2" s="123" t="s">
        <v>477</v>
      </c>
      <c r="O2" s="123" t="s">
        <v>478</v>
      </c>
      <c r="P2" s="123">
        <v>2400909</v>
      </c>
      <c r="Q2" s="123">
        <v>240091</v>
      </c>
      <c r="R2" s="123">
        <v>2641000</v>
      </c>
      <c r="S2" s="123" t="s">
        <v>1433</v>
      </c>
    </row>
    <row r="3" spans="1:21" x14ac:dyDescent="0.2">
      <c r="A3" s="123" t="s">
        <v>1433</v>
      </c>
      <c r="B3" s="123" t="s">
        <v>470</v>
      </c>
      <c r="C3" s="123" t="s">
        <v>471</v>
      </c>
      <c r="D3" s="123" t="s">
        <v>492</v>
      </c>
      <c r="E3" s="123" t="s">
        <v>493</v>
      </c>
      <c r="F3" s="123" t="s">
        <v>494</v>
      </c>
      <c r="G3" s="123" t="s">
        <v>495</v>
      </c>
      <c r="H3" s="123" t="s">
        <v>496</v>
      </c>
      <c r="I3" s="123" t="s">
        <v>497</v>
      </c>
      <c r="J3" s="123" t="s">
        <v>100</v>
      </c>
      <c r="K3" s="123" t="s">
        <v>101</v>
      </c>
      <c r="L3" s="123" t="s">
        <v>100</v>
      </c>
      <c r="M3" s="123" t="s">
        <v>101</v>
      </c>
      <c r="N3" s="123" t="s">
        <v>477</v>
      </c>
      <c r="O3" s="123" t="s">
        <v>478</v>
      </c>
      <c r="P3" s="123">
        <v>10340909</v>
      </c>
      <c r="Q3" s="123">
        <v>1034091</v>
      </c>
      <c r="R3" s="123">
        <v>11375000</v>
      </c>
      <c r="S3" s="123" t="s">
        <v>1433</v>
      </c>
    </row>
    <row r="4" spans="1:21" x14ac:dyDescent="0.2">
      <c r="A4" s="123" t="s">
        <v>1433</v>
      </c>
      <c r="B4" s="123" t="s">
        <v>470</v>
      </c>
      <c r="C4" s="123" t="s">
        <v>471</v>
      </c>
      <c r="D4" s="123" t="s">
        <v>492</v>
      </c>
      <c r="E4" s="123" t="s">
        <v>493</v>
      </c>
      <c r="F4" s="123" t="s">
        <v>501</v>
      </c>
      <c r="G4" s="123" t="s">
        <v>502</v>
      </c>
      <c r="H4" s="123" t="s">
        <v>503</v>
      </c>
      <c r="I4" s="123" t="s">
        <v>504</v>
      </c>
      <c r="J4" s="123" t="s">
        <v>119</v>
      </c>
      <c r="K4" s="123" t="s">
        <v>120</v>
      </c>
      <c r="L4" s="123" t="s">
        <v>119</v>
      </c>
      <c r="M4" s="123" t="s">
        <v>120</v>
      </c>
      <c r="N4" s="123" t="s">
        <v>477</v>
      </c>
      <c r="O4" s="123" t="s">
        <v>478</v>
      </c>
      <c r="P4" s="123">
        <v>9396364</v>
      </c>
      <c r="Q4" s="123">
        <v>939636</v>
      </c>
      <c r="R4" s="123">
        <v>10336000</v>
      </c>
      <c r="S4" s="123" t="s">
        <v>1433</v>
      </c>
    </row>
    <row r="5" spans="1:21" x14ac:dyDescent="0.2">
      <c r="A5" s="123" t="s">
        <v>1433</v>
      </c>
      <c r="B5" s="123" t="s">
        <v>470</v>
      </c>
      <c r="C5" s="123" t="s">
        <v>471</v>
      </c>
      <c r="D5" s="123" t="s">
        <v>492</v>
      </c>
      <c r="E5" s="123" t="s">
        <v>493</v>
      </c>
      <c r="F5" s="123" t="s">
        <v>501</v>
      </c>
      <c r="G5" s="123" t="s">
        <v>502</v>
      </c>
      <c r="H5" s="123" t="s">
        <v>503</v>
      </c>
      <c r="I5" s="123" t="s">
        <v>504</v>
      </c>
      <c r="J5" s="123" t="s">
        <v>508</v>
      </c>
      <c r="K5" s="123" t="s">
        <v>163</v>
      </c>
      <c r="L5" s="123" t="s">
        <v>508</v>
      </c>
      <c r="M5" s="123" t="s">
        <v>163</v>
      </c>
      <c r="N5" s="123" t="s">
        <v>477</v>
      </c>
      <c r="O5" s="123" t="s">
        <v>478</v>
      </c>
      <c r="P5" s="123">
        <v>37847273</v>
      </c>
      <c r="Q5" s="123">
        <v>3784727</v>
      </c>
      <c r="R5" s="123">
        <v>41632000</v>
      </c>
      <c r="S5" s="123" t="s">
        <v>1433</v>
      </c>
    </row>
    <row r="6" spans="1:21" x14ac:dyDescent="0.2">
      <c r="A6" s="123" t="s">
        <v>1433</v>
      </c>
      <c r="B6" s="123" t="s">
        <v>470</v>
      </c>
      <c r="C6" s="123" t="s">
        <v>471</v>
      </c>
      <c r="D6" s="123" t="s">
        <v>482</v>
      </c>
      <c r="E6" s="123" t="s">
        <v>483</v>
      </c>
      <c r="F6" s="123" t="s">
        <v>484</v>
      </c>
      <c r="G6" s="123" t="s">
        <v>485</v>
      </c>
      <c r="H6" s="123" t="s">
        <v>512</v>
      </c>
      <c r="I6" s="123" t="s">
        <v>513</v>
      </c>
      <c r="J6" s="123" t="s">
        <v>514</v>
      </c>
      <c r="K6" s="123" t="s">
        <v>181</v>
      </c>
      <c r="L6" s="123" t="s">
        <v>514</v>
      </c>
      <c r="M6" s="123" t="s">
        <v>181</v>
      </c>
      <c r="N6" s="123" t="s">
        <v>477</v>
      </c>
      <c r="O6" s="123" t="s">
        <v>478</v>
      </c>
      <c r="P6" s="123">
        <v>5556364</v>
      </c>
      <c r="Q6" s="123">
        <v>555636</v>
      </c>
      <c r="R6" s="123">
        <v>6112000</v>
      </c>
      <c r="S6" s="123" t="s">
        <v>1433</v>
      </c>
    </row>
    <row r="7" spans="1:21" x14ac:dyDescent="0.2">
      <c r="A7" s="123" t="s">
        <v>1433</v>
      </c>
      <c r="B7" s="123" t="s">
        <v>470</v>
      </c>
      <c r="C7" s="123" t="s">
        <v>471</v>
      </c>
      <c r="D7" s="123" t="s">
        <v>470</v>
      </c>
      <c r="E7" s="123" t="s">
        <v>472</v>
      </c>
      <c r="F7" s="123" t="s">
        <v>473</v>
      </c>
      <c r="G7" s="123" t="s">
        <v>474</v>
      </c>
      <c r="H7" s="123" t="s">
        <v>518</v>
      </c>
      <c r="I7" s="123" t="s">
        <v>519</v>
      </c>
      <c r="J7" s="123" t="s">
        <v>527</v>
      </c>
      <c r="K7" s="123" t="s">
        <v>172</v>
      </c>
      <c r="L7" s="123" t="s">
        <v>527</v>
      </c>
      <c r="M7" s="123" t="s">
        <v>172</v>
      </c>
      <c r="N7" s="123" t="s">
        <v>477</v>
      </c>
      <c r="O7" s="123" t="s">
        <v>478</v>
      </c>
      <c r="P7" s="123">
        <v>17127273</v>
      </c>
      <c r="Q7" s="123">
        <v>1712727</v>
      </c>
      <c r="R7" s="123">
        <v>18840000</v>
      </c>
      <c r="S7" s="123" t="s">
        <v>1433</v>
      </c>
      <c r="U7">
        <v>1</v>
      </c>
    </row>
    <row r="8" spans="1:21" x14ac:dyDescent="0.2">
      <c r="A8" s="123" t="s">
        <v>1433</v>
      </c>
      <c r="B8" s="123" t="s">
        <v>470</v>
      </c>
      <c r="C8" s="123" t="s">
        <v>471</v>
      </c>
      <c r="D8" s="123" t="s">
        <v>470</v>
      </c>
      <c r="E8" s="123" t="s">
        <v>472</v>
      </c>
      <c r="F8" s="123" t="s">
        <v>473</v>
      </c>
      <c r="G8" s="123" t="s">
        <v>474</v>
      </c>
      <c r="H8" s="123" t="s">
        <v>518</v>
      </c>
      <c r="I8" s="123" t="s">
        <v>519</v>
      </c>
      <c r="J8" s="123" t="s">
        <v>1116</v>
      </c>
      <c r="K8" s="123" t="s">
        <v>420</v>
      </c>
      <c r="L8" s="123" t="s">
        <v>1116</v>
      </c>
      <c r="M8" s="123" t="s">
        <v>420</v>
      </c>
      <c r="N8" s="123" t="s">
        <v>477</v>
      </c>
      <c r="O8" s="123" t="s">
        <v>478</v>
      </c>
      <c r="P8" s="123">
        <v>2052727</v>
      </c>
      <c r="Q8" s="123">
        <v>205273</v>
      </c>
      <c r="R8" s="123">
        <v>2258000</v>
      </c>
      <c r="S8" s="123" t="s">
        <v>1433</v>
      </c>
    </row>
    <row r="9" spans="1:21" x14ac:dyDescent="0.2">
      <c r="A9" s="123" t="s">
        <v>1433</v>
      </c>
      <c r="B9" s="123" t="s">
        <v>470</v>
      </c>
      <c r="C9" s="123" t="s">
        <v>471</v>
      </c>
      <c r="D9" s="123" t="s">
        <v>470</v>
      </c>
      <c r="E9" s="123" t="s">
        <v>472</v>
      </c>
      <c r="F9" s="123" t="s">
        <v>473</v>
      </c>
      <c r="G9" s="123" t="s">
        <v>474</v>
      </c>
      <c r="H9" s="123" t="s">
        <v>518</v>
      </c>
      <c r="I9" s="123" t="s">
        <v>519</v>
      </c>
      <c r="J9" s="123" t="s">
        <v>102</v>
      </c>
      <c r="K9" s="123" t="s">
        <v>103</v>
      </c>
      <c r="L9" s="123" t="s">
        <v>102</v>
      </c>
      <c r="M9" s="123" t="s">
        <v>103</v>
      </c>
      <c r="N9" s="123" t="s">
        <v>477</v>
      </c>
      <c r="O9" s="123" t="s">
        <v>478</v>
      </c>
      <c r="P9" s="123">
        <v>4689091</v>
      </c>
      <c r="Q9" s="123">
        <v>468909</v>
      </c>
      <c r="R9" s="123">
        <v>5158000</v>
      </c>
      <c r="S9" s="123" t="s">
        <v>1433</v>
      </c>
    </row>
    <row r="10" spans="1:21" x14ac:dyDescent="0.2">
      <c r="A10" s="123" t="s">
        <v>1433</v>
      </c>
      <c r="B10" s="123" t="s">
        <v>470</v>
      </c>
      <c r="C10" s="123" t="s">
        <v>471</v>
      </c>
      <c r="D10" s="123" t="s">
        <v>470</v>
      </c>
      <c r="E10" s="123" t="s">
        <v>472</v>
      </c>
      <c r="F10" s="123" t="s">
        <v>473</v>
      </c>
      <c r="G10" s="123" t="s">
        <v>474</v>
      </c>
      <c r="H10" s="123" t="s">
        <v>518</v>
      </c>
      <c r="I10" s="123" t="s">
        <v>519</v>
      </c>
      <c r="J10" s="123" t="s">
        <v>523</v>
      </c>
      <c r="K10" s="123" t="s">
        <v>164</v>
      </c>
      <c r="L10" s="123" t="s">
        <v>523</v>
      </c>
      <c r="M10" s="123" t="s">
        <v>164</v>
      </c>
      <c r="N10" s="123" t="s">
        <v>477</v>
      </c>
      <c r="O10" s="123" t="s">
        <v>478</v>
      </c>
      <c r="P10" s="123">
        <v>1585455</v>
      </c>
      <c r="Q10" s="123">
        <v>158545</v>
      </c>
      <c r="R10" s="123">
        <v>1744000</v>
      </c>
      <c r="S10" s="123" t="s">
        <v>1433</v>
      </c>
    </row>
    <row r="11" spans="1:21" x14ac:dyDescent="0.2">
      <c r="A11" s="123" t="s">
        <v>1433</v>
      </c>
      <c r="B11" s="123" t="s">
        <v>470</v>
      </c>
      <c r="C11" s="123" t="s">
        <v>471</v>
      </c>
      <c r="D11" s="123" t="s">
        <v>482</v>
      </c>
      <c r="E11" s="123" t="s">
        <v>483</v>
      </c>
      <c r="F11" s="123" t="s">
        <v>531</v>
      </c>
      <c r="G11" s="123" t="s">
        <v>532</v>
      </c>
      <c r="H11" s="123" t="s">
        <v>1129</v>
      </c>
      <c r="I11" s="123" t="s">
        <v>1130</v>
      </c>
      <c r="J11" s="123" t="s">
        <v>1131</v>
      </c>
      <c r="K11" s="123" t="s">
        <v>432</v>
      </c>
      <c r="L11" s="123" t="s">
        <v>1131</v>
      </c>
      <c r="M11" s="123" t="s">
        <v>432</v>
      </c>
      <c r="N11" s="123" t="s">
        <v>477</v>
      </c>
      <c r="O11" s="123" t="s">
        <v>478</v>
      </c>
      <c r="P11" s="123">
        <v>4951818</v>
      </c>
      <c r="Q11" s="123">
        <v>495182</v>
      </c>
      <c r="R11" s="123">
        <v>5447000</v>
      </c>
      <c r="S11" s="123" t="s">
        <v>1433</v>
      </c>
    </row>
    <row r="12" spans="1:21" x14ac:dyDescent="0.2">
      <c r="A12" s="123" t="s">
        <v>1433</v>
      </c>
      <c r="B12" s="123" t="s">
        <v>492</v>
      </c>
      <c r="C12" s="123" t="s">
        <v>1065</v>
      </c>
      <c r="D12" s="123" t="s">
        <v>1066</v>
      </c>
      <c r="E12" s="123" t="s">
        <v>1067</v>
      </c>
      <c r="F12" s="123" t="s">
        <v>1135</v>
      </c>
      <c r="G12" s="123" t="s">
        <v>1136</v>
      </c>
      <c r="H12" s="123" t="s">
        <v>1137</v>
      </c>
      <c r="I12" s="123" t="s">
        <v>1138</v>
      </c>
      <c r="J12" s="123" t="s">
        <v>1139</v>
      </c>
      <c r="K12" s="123" t="s">
        <v>437</v>
      </c>
      <c r="L12" s="123" t="s">
        <v>1139</v>
      </c>
      <c r="M12" s="123" t="s">
        <v>437</v>
      </c>
      <c r="N12" s="123" t="s">
        <v>477</v>
      </c>
      <c r="O12" s="123" t="s">
        <v>478</v>
      </c>
      <c r="P12" s="123">
        <v>2618182</v>
      </c>
      <c r="Q12" s="123">
        <v>261818</v>
      </c>
      <c r="R12" s="123">
        <v>2880000</v>
      </c>
      <c r="S12" s="123" t="s">
        <v>1433</v>
      </c>
    </row>
    <row r="13" spans="1:21" x14ac:dyDescent="0.2">
      <c r="A13" s="123" t="s">
        <v>1433</v>
      </c>
      <c r="B13" s="123" t="s">
        <v>470</v>
      </c>
      <c r="C13" s="123" t="s">
        <v>471</v>
      </c>
      <c r="D13" s="123" t="s">
        <v>482</v>
      </c>
      <c r="E13" s="123" t="s">
        <v>483</v>
      </c>
      <c r="F13" s="123" t="s">
        <v>531</v>
      </c>
      <c r="G13" s="123" t="s">
        <v>532</v>
      </c>
      <c r="H13" s="123" t="s">
        <v>533</v>
      </c>
      <c r="I13" s="123" t="s">
        <v>534</v>
      </c>
      <c r="J13" s="123" t="s">
        <v>535</v>
      </c>
      <c r="K13" s="123" t="s">
        <v>173</v>
      </c>
      <c r="L13" s="123" t="s">
        <v>535</v>
      </c>
      <c r="M13" s="123" t="s">
        <v>173</v>
      </c>
      <c r="N13" s="123" t="s">
        <v>477</v>
      </c>
      <c r="O13" s="123" t="s">
        <v>478</v>
      </c>
      <c r="P13" s="123">
        <v>14311818</v>
      </c>
      <c r="Q13" s="123">
        <v>1431182</v>
      </c>
      <c r="R13" s="123">
        <v>15743000</v>
      </c>
      <c r="S13" s="123" t="s">
        <v>1433</v>
      </c>
    </row>
    <row r="14" spans="1:21" x14ac:dyDescent="0.2">
      <c r="A14" s="123" t="s">
        <v>1433</v>
      </c>
      <c r="B14" s="123" t="s">
        <v>470</v>
      </c>
      <c r="C14" s="123" t="s">
        <v>471</v>
      </c>
      <c r="D14" s="123" t="s">
        <v>492</v>
      </c>
      <c r="E14" s="123" t="s">
        <v>493</v>
      </c>
      <c r="F14" s="123" t="s">
        <v>501</v>
      </c>
      <c r="G14" s="123" t="s">
        <v>502</v>
      </c>
      <c r="H14" s="123" t="s">
        <v>547</v>
      </c>
      <c r="I14" s="123" t="s">
        <v>548</v>
      </c>
      <c r="J14" s="123" t="s">
        <v>1149</v>
      </c>
      <c r="K14" s="123" t="s">
        <v>434</v>
      </c>
      <c r="L14" s="123" t="s">
        <v>1149</v>
      </c>
      <c r="M14" s="123" t="s">
        <v>434</v>
      </c>
      <c r="N14" s="123" t="s">
        <v>477</v>
      </c>
      <c r="O14" s="123" t="s">
        <v>478</v>
      </c>
      <c r="P14" s="123">
        <v>15214545</v>
      </c>
      <c r="Q14" s="123">
        <v>1521455</v>
      </c>
      <c r="R14" s="123">
        <v>16736000</v>
      </c>
      <c r="S14" s="123" t="s">
        <v>1433</v>
      </c>
    </row>
    <row r="15" spans="1:21" x14ac:dyDescent="0.2">
      <c r="A15" s="123" t="s">
        <v>1433</v>
      </c>
      <c r="B15" s="123" t="s">
        <v>470</v>
      </c>
      <c r="C15" s="123" t="s">
        <v>471</v>
      </c>
      <c r="D15" s="123" t="s">
        <v>470</v>
      </c>
      <c r="E15" s="123" t="s">
        <v>472</v>
      </c>
      <c r="F15" s="123" t="s">
        <v>562</v>
      </c>
      <c r="G15" s="123" t="s">
        <v>563</v>
      </c>
      <c r="H15" s="123" t="s">
        <v>564</v>
      </c>
      <c r="I15" s="123" t="s">
        <v>565</v>
      </c>
      <c r="J15" s="123" t="s">
        <v>68</v>
      </c>
      <c r="K15" s="123" t="s">
        <v>69</v>
      </c>
      <c r="L15" s="123" t="s">
        <v>68</v>
      </c>
      <c r="M15" s="123" t="s">
        <v>69</v>
      </c>
      <c r="N15" s="123" t="s">
        <v>477</v>
      </c>
      <c r="O15" s="123" t="s">
        <v>478</v>
      </c>
      <c r="P15" s="123">
        <v>2252727</v>
      </c>
      <c r="Q15" s="123">
        <v>225273</v>
      </c>
      <c r="R15" s="123">
        <v>2478000</v>
      </c>
      <c r="S15" s="123" t="s">
        <v>1433</v>
      </c>
    </row>
    <row r="16" spans="1:21" x14ac:dyDescent="0.2">
      <c r="A16" s="123" t="s">
        <v>1433</v>
      </c>
      <c r="B16" s="123" t="s">
        <v>470</v>
      </c>
      <c r="C16" s="123" t="s">
        <v>471</v>
      </c>
      <c r="D16" s="123" t="s">
        <v>482</v>
      </c>
      <c r="E16" s="123" t="s">
        <v>483</v>
      </c>
      <c r="F16" s="123" t="s">
        <v>597</v>
      </c>
      <c r="G16" s="123" t="s">
        <v>598</v>
      </c>
      <c r="H16" s="123" t="s">
        <v>1159</v>
      </c>
      <c r="I16" s="123" t="s">
        <v>1160</v>
      </c>
      <c r="J16" s="123" t="s">
        <v>1161</v>
      </c>
      <c r="K16" s="123" t="s">
        <v>421</v>
      </c>
      <c r="L16" s="123" t="s">
        <v>1161</v>
      </c>
      <c r="M16" s="123" t="s">
        <v>421</v>
      </c>
      <c r="N16" s="123" t="s">
        <v>477</v>
      </c>
      <c r="O16" s="123" t="s">
        <v>478</v>
      </c>
      <c r="P16" s="123">
        <v>9978182</v>
      </c>
      <c r="Q16" s="123">
        <v>997818</v>
      </c>
      <c r="R16" s="123">
        <v>10976000</v>
      </c>
      <c r="S16" s="123" t="s">
        <v>1433</v>
      </c>
    </row>
    <row r="17" spans="1:19" x14ac:dyDescent="0.2">
      <c r="A17" s="123" t="s">
        <v>1433</v>
      </c>
      <c r="B17" s="123" t="s">
        <v>470</v>
      </c>
      <c r="C17" s="123" t="s">
        <v>471</v>
      </c>
      <c r="D17" s="123" t="s">
        <v>552</v>
      </c>
      <c r="E17" s="123" t="s">
        <v>553</v>
      </c>
      <c r="F17" s="123" t="s">
        <v>569</v>
      </c>
      <c r="G17" s="123" t="s">
        <v>570</v>
      </c>
      <c r="H17" s="123" t="s">
        <v>571</v>
      </c>
      <c r="I17" s="123" t="s">
        <v>572</v>
      </c>
      <c r="J17" s="123" t="s">
        <v>72</v>
      </c>
      <c r="K17" s="123" t="s">
        <v>73</v>
      </c>
      <c r="L17" s="123" t="s">
        <v>72</v>
      </c>
      <c r="M17" s="123" t="s">
        <v>73</v>
      </c>
      <c r="N17" s="123" t="s">
        <v>477</v>
      </c>
      <c r="O17" s="123" t="s">
        <v>478</v>
      </c>
      <c r="P17" s="123">
        <v>45112727</v>
      </c>
      <c r="Q17" s="123">
        <v>4511273</v>
      </c>
      <c r="R17" s="123">
        <v>49624000</v>
      </c>
      <c r="S17" s="123" t="s">
        <v>1433</v>
      </c>
    </row>
    <row r="18" spans="1:19" x14ac:dyDescent="0.2">
      <c r="A18" s="123" t="s">
        <v>1433</v>
      </c>
      <c r="B18" s="123" t="s">
        <v>470</v>
      </c>
      <c r="C18" s="123" t="s">
        <v>471</v>
      </c>
      <c r="D18" s="123" t="s">
        <v>552</v>
      </c>
      <c r="E18" s="123" t="s">
        <v>553</v>
      </c>
      <c r="F18" s="123" t="s">
        <v>569</v>
      </c>
      <c r="G18" s="123" t="s">
        <v>570</v>
      </c>
      <c r="H18" s="123" t="s">
        <v>571</v>
      </c>
      <c r="I18" s="123" t="s">
        <v>572</v>
      </c>
      <c r="J18" s="123" t="s">
        <v>87</v>
      </c>
      <c r="K18" s="123" t="s">
        <v>88</v>
      </c>
      <c r="L18" s="123" t="s">
        <v>87</v>
      </c>
      <c r="M18" s="123" t="s">
        <v>88</v>
      </c>
      <c r="N18" s="123" t="s">
        <v>477</v>
      </c>
      <c r="O18" s="123" t="s">
        <v>478</v>
      </c>
      <c r="P18" s="123">
        <v>9895455</v>
      </c>
      <c r="Q18" s="123">
        <v>989545</v>
      </c>
      <c r="R18" s="123">
        <v>10885000</v>
      </c>
      <c r="S18" s="123" t="s">
        <v>1433</v>
      </c>
    </row>
    <row r="19" spans="1:19" x14ac:dyDescent="0.2">
      <c r="A19" s="123" t="s">
        <v>1433</v>
      </c>
      <c r="B19" s="123" t="s">
        <v>470</v>
      </c>
      <c r="C19" s="123" t="s">
        <v>471</v>
      </c>
      <c r="D19" s="123" t="s">
        <v>552</v>
      </c>
      <c r="E19" s="123" t="s">
        <v>553</v>
      </c>
      <c r="F19" s="123" t="s">
        <v>569</v>
      </c>
      <c r="G19" s="123" t="s">
        <v>570</v>
      </c>
      <c r="H19" s="123" t="s">
        <v>571</v>
      </c>
      <c r="I19" s="123" t="s">
        <v>572</v>
      </c>
      <c r="J19" s="123" t="s">
        <v>29</v>
      </c>
      <c r="K19" s="123" t="s">
        <v>30</v>
      </c>
      <c r="L19" s="123" t="s">
        <v>29</v>
      </c>
      <c r="M19" s="123" t="s">
        <v>30</v>
      </c>
      <c r="N19" s="123" t="s">
        <v>477</v>
      </c>
      <c r="O19" s="123" t="s">
        <v>478</v>
      </c>
      <c r="P19" s="123">
        <v>2659091</v>
      </c>
      <c r="Q19" s="123">
        <v>265909</v>
      </c>
      <c r="R19" s="123">
        <v>2925000</v>
      </c>
      <c r="S19" s="123" t="s">
        <v>1433</v>
      </c>
    </row>
    <row r="20" spans="1:19" x14ac:dyDescent="0.2">
      <c r="A20" s="123" t="s">
        <v>1433</v>
      </c>
      <c r="B20" s="123" t="s">
        <v>470</v>
      </c>
      <c r="C20" s="123" t="s">
        <v>471</v>
      </c>
      <c r="D20" s="123" t="s">
        <v>552</v>
      </c>
      <c r="E20" s="123" t="s">
        <v>553</v>
      </c>
      <c r="F20" s="123" t="s">
        <v>569</v>
      </c>
      <c r="G20" s="123" t="s">
        <v>570</v>
      </c>
      <c r="H20" s="123" t="s">
        <v>892</v>
      </c>
      <c r="I20" s="123" t="s">
        <v>893</v>
      </c>
      <c r="J20" s="123" t="s">
        <v>894</v>
      </c>
      <c r="K20" s="123" t="s">
        <v>185</v>
      </c>
      <c r="L20" s="123" t="s">
        <v>894</v>
      </c>
      <c r="M20" s="123" t="s">
        <v>185</v>
      </c>
      <c r="N20" s="123" t="s">
        <v>477</v>
      </c>
      <c r="O20" s="123" t="s">
        <v>478</v>
      </c>
      <c r="P20" s="123">
        <v>13214545</v>
      </c>
      <c r="Q20" s="123">
        <v>1321455</v>
      </c>
      <c r="R20" s="123">
        <v>14536000</v>
      </c>
      <c r="S20" s="123" t="s">
        <v>1433</v>
      </c>
    </row>
    <row r="21" spans="1:19" x14ac:dyDescent="0.2">
      <c r="A21" s="123" t="s">
        <v>1433</v>
      </c>
      <c r="B21" s="123" t="s">
        <v>470</v>
      </c>
      <c r="C21" s="123" t="s">
        <v>471</v>
      </c>
      <c r="D21" s="123" t="s">
        <v>492</v>
      </c>
      <c r="E21" s="123" t="s">
        <v>493</v>
      </c>
      <c r="F21" s="123" t="s">
        <v>770</v>
      </c>
      <c r="G21" s="123" t="s">
        <v>771</v>
      </c>
      <c r="H21" s="123" t="s">
        <v>898</v>
      </c>
      <c r="I21" s="123" t="s">
        <v>899</v>
      </c>
      <c r="J21" s="123" t="s">
        <v>42</v>
      </c>
      <c r="K21" s="123" t="s">
        <v>43</v>
      </c>
      <c r="L21" s="123" t="s">
        <v>42</v>
      </c>
      <c r="M21" s="123" t="s">
        <v>43</v>
      </c>
      <c r="N21" s="123" t="s">
        <v>477</v>
      </c>
      <c r="O21" s="123" t="s">
        <v>478</v>
      </c>
      <c r="P21" s="123">
        <v>4313636</v>
      </c>
      <c r="Q21" s="123">
        <v>431364</v>
      </c>
      <c r="R21" s="123">
        <v>4745000</v>
      </c>
      <c r="S21" s="123" t="s">
        <v>1433</v>
      </c>
    </row>
    <row r="22" spans="1:19" x14ac:dyDescent="0.2">
      <c r="A22" s="123" t="s">
        <v>1433</v>
      </c>
      <c r="B22" s="123" t="s">
        <v>470</v>
      </c>
      <c r="C22" s="123" t="s">
        <v>471</v>
      </c>
      <c r="D22" s="123" t="s">
        <v>482</v>
      </c>
      <c r="E22" s="123" t="s">
        <v>483</v>
      </c>
      <c r="F22" s="123" t="s">
        <v>484</v>
      </c>
      <c r="G22" s="123" t="s">
        <v>485</v>
      </c>
      <c r="H22" s="123" t="s">
        <v>587</v>
      </c>
      <c r="I22" s="123" t="s">
        <v>588</v>
      </c>
      <c r="J22" s="123" t="s">
        <v>121</v>
      </c>
      <c r="K22" s="123" t="s">
        <v>122</v>
      </c>
      <c r="L22" s="123" t="s">
        <v>121</v>
      </c>
      <c r="M22" s="123" t="s">
        <v>122</v>
      </c>
      <c r="N22" s="123" t="s">
        <v>477</v>
      </c>
      <c r="O22" s="123" t="s">
        <v>478</v>
      </c>
      <c r="P22" s="123">
        <v>5410909</v>
      </c>
      <c r="Q22" s="123">
        <v>541091</v>
      </c>
      <c r="R22" s="123">
        <v>5952000</v>
      </c>
      <c r="S22" s="123" t="s">
        <v>1433</v>
      </c>
    </row>
    <row r="23" spans="1:19" x14ac:dyDescent="0.2">
      <c r="A23" s="123" t="s">
        <v>1433</v>
      </c>
      <c r="B23" s="123" t="s">
        <v>470</v>
      </c>
      <c r="C23" s="123" t="s">
        <v>471</v>
      </c>
      <c r="D23" s="123" t="s">
        <v>482</v>
      </c>
      <c r="E23" s="123" t="s">
        <v>483</v>
      </c>
      <c r="F23" s="123" t="s">
        <v>484</v>
      </c>
      <c r="G23" s="123" t="s">
        <v>485</v>
      </c>
      <c r="H23" s="123" t="s">
        <v>587</v>
      </c>
      <c r="I23" s="123" t="s">
        <v>588</v>
      </c>
      <c r="J23" s="123" t="s">
        <v>913</v>
      </c>
      <c r="K23" s="123" t="s">
        <v>180</v>
      </c>
      <c r="L23" s="123" t="s">
        <v>913</v>
      </c>
      <c r="M23" s="123" t="s">
        <v>180</v>
      </c>
      <c r="N23" s="123" t="s">
        <v>477</v>
      </c>
      <c r="O23" s="123" t="s">
        <v>478</v>
      </c>
      <c r="P23" s="123">
        <v>22647273</v>
      </c>
      <c r="Q23" s="123">
        <v>2264727</v>
      </c>
      <c r="R23" s="123">
        <v>24912000</v>
      </c>
      <c r="S23" s="123" t="s">
        <v>1433</v>
      </c>
    </row>
    <row r="24" spans="1:19" x14ac:dyDescent="0.2">
      <c r="A24" s="123" t="s">
        <v>1433</v>
      </c>
      <c r="B24" s="123" t="s">
        <v>470</v>
      </c>
      <c r="C24" s="123" t="s">
        <v>471</v>
      </c>
      <c r="D24" s="123" t="s">
        <v>482</v>
      </c>
      <c r="E24" s="123" t="s">
        <v>483</v>
      </c>
      <c r="F24" s="123" t="s">
        <v>484</v>
      </c>
      <c r="G24" s="123" t="s">
        <v>485</v>
      </c>
      <c r="H24" s="123" t="s">
        <v>587</v>
      </c>
      <c r="I24" s="123" t="s">
        <v>588</v>
      </c>
      <c r="J24" s="123" t="s">
        <v>906</v>
      </c>
      <c r="K24" s="123" t="s">
        <v>179</v>
      </c>
      <c r="L24" s="123" t="s">
        <v>906</v>
      </c>
      <c r="M24" s="123" t="s">
        <v>179</v>
      </c>
      <c r="N24" s="123" t="s">
        <v>477</v>
      </c>
      <c r="O24" s="123" t="s">
        <v>478</v>
      </c>
      <c r="P24" s="123">
        <v>22036364</v>
      </c>
      <c r="Q24" s="123">
        <v>2203636</v>
      </c>
      <c r="R24" s="123">
        <v>24240000</v>
      </c>
      <c r="S24" s="123" t="s">
        <v>1433</v>
      </c>
    </row>
    <row r="25" spans="1:19" x14ac:dyDescent="0.2">
      <c r="A25" s="123" t="s">
        <v>1433</v>
      </c>
      <c r="B25" s="123" t="s">
        <v>470</v>
      </c>
      <c r="C25" s="123" t="s">
        <v>471</v>
      </c>
      <c r="D25" s="123" t="s">
        <v>552</v>
      </c>
      <c r="E25" s="123" t="s">
        <v>553</v>
      </c>
      <c r="F25" s="123" t="s">
        <v>789</v>
      </c>
      <c r="G25" s="123" t="s">
        <v>790</v>
      </c>
      <c r="H25" s="123" t="s">
        <v>1197</v>
      </c>
      <c r="I25" s="123" t="s">
        <v>1198</v>
      </c>
      <c r="J25" s="123" t="s">
        <v>1199</v>
      </c>
      <c r="K25" s="123" t="s">
        <v>419</v>
      </c>
      <c r="L25" s="123" t="s">
        <v>1199</v>
      </c>
      <c r="M25" s="123" t="s">
        <v>419</v>
      </c>
      <c r="N25" s="123" t="s">
        <v>477</v>
      </c>
      <c r="O25" s="123" t="s">
        <v>478</v>
      </c>
      <c r="P25" s="123">
        <v>14666364</v>
      </c>
      <c r="Q25" s="123">
        <v>1466636</v>
      </c>
      <c r="R25" s="123">
        <v>16133000</v>
      </c>
      <c r="S25" s="123" t="s">
        <v>1433</v>
      </c>
    </row>
    <row r="26" spans="1:19" x14ac:dyDescent="0.2">
      <c r="A26" s="123" t="s">
        <v>1433</v>
      </c>
      <c r="B26" s="123" t="s">
        <v>470</v>
      </c>
      <c r="C26" s="123" t="s">
        <v>471</v>
      </c>
      <c r="D26" s="123" t="s">
        <v>492</v>
      </c>
      <c r="E26" s="123" t="s">
        <v>493</v>
      </c>
      <c r="F26" s="123" t="s">
        <v>494</v>
      </c>
      <c r="G26" s="123" t="s">
        <v>495</v>
      </c>
      <c r="H26" s="123" t="s">
        <v>592</v>
      </c>
      <c r="I26" s="123" t="s">
        <v>593</v>
      </c>
      <c r="J26" s="123" t="s">
        <v>123</v>
      </c>
      <c r="K26" s="123" t="s">
        <v>124</v>
      </c>
      <c r="L26" s="123" t="s">
        <v>123</v>
      </c>
      <c r="M26" s="123" t="s">
        <v>124</v>
      </c>
      <c r="N26" s="123" t="s">
        <v>477</v>
      </c>
      <c r="O26" s="123" t="s">
        <v>478</v>
      </c>
      <c r="P26" s="123">
        <v>11743636</v>
      </c>
      <c r="Q26" s="123">
        <v>1174364</v>
      </c>
      <c r="R26" s="123">
        <v>12918000</v>
      </c>
      <c r="S26" s="123" t="s">
        <v>1433</v>
      </c>
    </row>
    <row r="27" spans="1:19" x14ac:dyDescent="0.2">
      <c r="A27" s="123" t="s">
        <v>1433</v>
      </c>
      <c r="B27" s="123" t="s">
        <v>470</v>
      </c>
      <c r="C27" s="123" t="s">
        <v>471</v>
      </c>
      <c r="D27" s="123" t="s">
        <v>470</v>
      </c>
      <c r="E27" s="123" t="s">
        <v>472</v>
      </c>
      <c r="F27" s="123" t="s">
        <v>562</v>
      </c>
      <c r="G27" s="123" t="s">
        <v>563</v>
      </c>
      <c r="H27" s="123" t="s">
        <v>1434</v>
      </c>
      <c r="I27" s="123" t="s">
        <v>1435</v>
      </c>
      <c r="J27" s="123" t="s">
        <v>1436</v>
      </c>
      <c r="K27" s="123" t="s">
        <v>1437</v>
      </c>
      <c r="L27" s="123" t="s">
        <v>1436</v>
      </c>
      <c r="M27" s="123" t="s">
        <v>1437</v>
      </c>
      <c r="N27" s="123" t="s">
        <v>477</v>
      </c>
      <c r="O27" s="123" t="s">
        <v>478</v>
      </c>
      <c r="P27" s="123">
        <v>4710909</v>
      </c>
      <c r="Q27" s="123">
        <v>471091</v>
      </c>
      <c r="R27" s="123">
        <v>5182000</v>
      </c>
      <c r="S27" s="123" t="s">
        <v>1433</v>
      </c>
    </row>
    <row r="28" spans="1:19" x14ac:dyDescent="0.2">
      <c r="A28" s="123" t="s">
        <v>1433</v>
      </c>
      <c r="B28" s="123" t="s">
        <v>470</v>
      </c>
      <c r="C28" s="123" t="s">
        <v>471</v>
      </c>
      <c r="D28" s="123" t="s">
        <v>470</v>
      </c>
      <c r="E28" s="123" t="s">
        <v>472</v>
      </c>
      <c r="F28" s="123" t="s">
        <v>605</v>
      </c>
      <c r="G28" s="123" t="s">
        <v>606</v>
      </c>
      <c r="H28" s="123" t="s">
        <v>1438</v>
      </c>
      <c r="I28" s="123" t="s">
        <v>1439</v>
      </c>
      <c r="J28" s="123" t="s">
        <v>1289</v>
      </c>
      <c r="K28" s="123" t="s">
        <v>423</v>
      </c>
      <c r="L28" s="123" t="s">
        <v>1289</v>
      </c>
      <c r="M28" s="123" t="s">
        <v>423</v>
      </c>
      <c r="N28" s="123" t="s">
        <v>477</v>
      </c>
      <c r="O28" s="123" t="s">
        <v>478</v>
      </c>
      <c r="P28" s="123">
        <v>15709091</v>
      </c>
      <c r="Q28" s="123">
        <v>1570909</v>
      </c>
      <c r="R28" s="123">
        <v>17280000</v>
      </c>
      <c r="S28" s="123" t="s">
        <v>1433</v>
      </c>
    </row>
    <row r="29" spans="1:19" x14ac:dyDescent="0.2">
      <c r="A29" s="123" t="s">
        <v>1433</v>
      </c>
      <c r="B29" s="123" t="s">
        <v>470</v>
      </c>
      <c r="C29" s="123" t="s">
        <v>471</v>
      </c>
      <c r="D29" s="123" t="s">
        <v>482</v>
      </c>
      <c r="E29" s="123" t="s">
        <v>483</v>
      </c>
      <c r="F29" s="123" t="s">
        <v>597</v>
      </c>
      <c r="G29" s="123" t="s">
        <v>598</v>
      </c>
      <c r="H29" s="123" t="s">
        <v>599</v>
      </c>
      <c r="I29" s="123" t="s">
        <v>600</v>
      </c>
      <c r="J29" s="123" t="s">
        <v>1440</v>
      </c>
      <c r="K29" s="123" t="s">
        <v>1441</v>
      </c>
      <c r="L29" s="123" t="s">
        <v>1440</v>
      </c>
      <c r="M29" s="123" t="s">
        <v>1441</v>
      </c>
      <c r="N29" s="123" t="s">
        <v>477</v>
      </c>
      <c r="O29" s="123" t="s">
        <v>478</v>
      </c>
      <c r="P29" s="123">
        <v>3636364</v>
      </c>
      <c r="Q29" s="123">
        <v>363636</v>
      </c>
      <c r="R29" s="123">
        <v>4000000</v>
      </c>
      <c r="S29" s="123" t="s">
        <v>1433</v>
      </c>
    </row>
    <row r="30" spans="1:19" x14ac:dyDescent="0.2">
      <c r="A30" s="123" t="s">
        <v>1433</v>
      </c>
      <c r="B30" s="123" t="s">
        <v>470</v>
      </c>
      <c r="C30" s="123" t="s">
        <v>471</v>
      </c>
      <c r="D30" s="123" t="s">
        <v>482</v>
      </c>
      <c r="E30" s="123" t="s">
        <v>483</v>
      </c>
      <c r="F30" s="123" t="s">
        <v>597</v>
      </c>
      <c r="G30" s="123" t="s">
        <v>598</v>
      </c>
      <c r="H30" s="123" t="s">
        <v>599</v>
      </c>
      <c r="I30" s="123" t="s">
        <v>600</v>
      </c>
      <c r="J30" s="123" t="s">
        <v>1215</v>
      </c>
      <c r="K30" s="123" t="s">
        <v>428</v>
      </c>
      <c r="L30" s="123" t="s">
        <v>1215</v>
      </c>
      <c r="M30" s="123" t="s">
        <v>428</v>
      </c>
      <c r="N30" s="123" t="s">
        <v>477</v>
      </c>
      <c r="O30" s="123" t="s">
        <v>478</v>
      </c>
      <c r="P30" s="123">
        <v>5185455</v>
      </c>
      <c r="Q30" s="123">
        <v>518545</v>
      </c>
      <c r="R30" s="123">
        <v>5704000</v>
      </c>
      <c r="S30" s="123" t="s">
        <v>1433</v>
      </c>
    </row>
    <row r="31" spans="1:19" x14ac:dyDescent="0.2">
      <c r="A31" s="123" t="s">
        <v>1433</v>
      </c>
      <c r="B31" s="123" t="s">
        <v>470</v>
      </c>
      <c r="C31" s="123" t="s">
        <v>471</v>
      </c>
      <c r="D31" s="123" t="s">
        <v>492</v>
      </c>
      <c r="E31" s="123" t="s">
        <v>493</v>
      </c>
      <c r="F31" s="123" t="s">
        <v>619</v>
      </c>
      <c r="G31" s="123" t="s">
        <v>620</v>
      </c>
      <c r="H31" s="123" t="s">
        <v>621</v>
      </c>
      <c r="I31" s="123" t="s">
        <v>622</v>
      </c>
      <c r="J31" s="123" t="s">
        <v>1225</v>
      </c>
      <c r="K31" s="123" t="s">
        <v>424</v>
      </c>
      <c r="L31" s="123" t="s">
        <v>1225</v>
      </c>
      <c r="M31" s="123" t="s">
        <v>424</v>
      </c>
      <c r="N31" s="123" t="s">
        <v>477</v>
      </c>
      <c r="O31" s="123" t="s">
        <v>478</v>
      </c>
      <c r="P31" s="123">
        <v>13614545</v>
      </c>
      <c r="Q31" s="123">
        <v>1361455</v>
      </c>
      <c r="R31" s="123">
        <v>14976000</v>
      </c>
      <c r="S31" s="123" t="s">
        <v>1433</v>
      </c>
    </row>
    <row r="32" spans="1:19" x14ac:dyDescent="0.2">
      <c r="A32" s="123" t="s">
        <v>1433</v>
      </c>
      <c r="B32" s="123" t="s">
        <v>470</v>
      </c>
      <c r="C32" s="123" t="s">
        <v>471</v>
      </c>
      <c r="D32" s="123" t="s">
        <v>492</v>
      </c>
      <c r="E32" s="123" t="s">
        <v>493</v>
      </c>
      <c r="F32" s="123" t="s">
        <v>619</v>
      </c>
      <c r="G32" s="123" t="s">
        <v>620</v>
      </c>
      <c r="H32" s="123" t="s">
        <v>621</v>
      </c>
      <c r="I32" s="123" t="s">
        <v>622</v>
      </c>
      <c r="J32" s="123" t="s">
        <v>623</v>
      </c>
      <c r="K32" s="123" t="s">
        <v>382</v>
      </c>
      <c r="L32" s="123" t="s">
        <v>623</v>
      </c>
      <c r="M32" s="123" t="s">
        <v>382</v>
      </c>
      <c r="N32" s="123" t="s">
        <v>477</v>
      </c>
      <c r="O32" s="123" t="s">
        <v>478</v>
      </c>
      <c r="P32" s="123">
        <v>34092000</v>
      </c>
      <c r="Q32" s="123">
        <v>3409200</v>
      </c>
      <c r="R32" s="123">
        <v>37501200</v>
      </c>
      <c r="S32" s="123" t="s">
        <v>1433</v>
      </c>
    </row>
    <row r="33" spans="1:19" x14ac:dyDescent="0.2">
      <c r="A33" s="123" t="s">
        <v>1433</v>
      </c>
      <c r="B33" s="123" t="s">
        <v>470</v>
      </c>
      <c r="C33" s="123" t="s">
        <v>471</v>
      </c>
      <c r="D33" s="123" t="s">
        <v>492</v>
      </c>
      <c r="E33" s="123" t="s">
        <v>493</v>
      </c>
      <c r="F33" s="123" t="s">
        <v>658</v>
      </c>
      <c r="G33" s="123" t="s">
        <v>659</v>
      </c>
      <c r="H33" s="123" t="s">
        <v>1232</v>
      </c>
      <c r="I33" s="123" t="s">
        <v>1233</v>
      </c>
      <c r="J33" s="123" t="s">
        <v>169</v>
      </c>
      <c r="K33" s="123" t="s">
        <v>170</v>
      </c>
      <c r="L33" s="123" t="s">
        <v>169</v>
      </c>
      <c r="M33" s="123" t="s">
        <v>170</v>
      </c>
      <c r="N33" s="123" t="s">
        <v>477</v>
      </c>
      <c r="O33" s="123" t="s">
        <v>478</v>
      </c>
      <c r="P33" s="123">
        <v>1950000</v>
      </c>
      <c r="Q33" s="123">
        <v>195000</v>
      </c>
      <c r="R33" s="123">
        <v>2145000</v>
      </c>
      <c r="S33" s="123" t="s">
        <v>1433</v>
      </c>
    </row>
    <row r="34" spans="1:19" x14ac:dyDescent="0.2">
      <c r="A34" s="123" t="s">
        <v>1433</v>
      </c>
      <c r="B34" s="123" t="s">
        <v>470</v>
      </c>
      <c r="C34" s="123" t="s">
        <v>471</v>
      </c>
      <c r="D34" s="123" t="s">
        <v>482</v>
      </c>
      <c r="E34" s="123" t="s">
        <v>483</v>
      </c>
      <c r="F34" s="123" t="s">
        <v>627</v>
      </c>
      <c r="G34" s="123" t="s">
        <v>628</v>
      </c>
      <c r="H34" s="123" t="s">
        <v>629</v>
      </c>
      <c r="I34" s="123" t="s">
        <v>630</v>
      </c>
      <c r="J34" s="123" t="s">
        <v>57</v>
      </c>
      <c r="K34" s="123" t="s">
        <v>58</v>
      </c>
      <c r="L34" s="123" t="s">
        <v>57</v>
      </c>
      <c r="M34" s="123" t="s">
        <v>58</v>
      </c>
      <c r="N34" s="123" t="s">
        <v>477</v>
      </c>
      <c r="O34" s="123" t="s">
        <v>478</v>
      </c>
      <c r="P34" s="123">
        <v>7958182</v>
      </c>
      <c r="Q34" s="123">
        <v>795818</v>
      </c>
      <c r="R34" s="123">
        <v>8754000</v>
      </c>
      <c r="S34" s="123" t="s">
        <v>1433</v>
      </c>
    </row>
    <row r="35" spans="1:19" x14ac:dyDescent="0.2">
      <c r="A35" s="123" t="s">
        <v>1433</v>
      </c>
      <c r="B35" s="123" t="s">
        <v>470</v>
      </c>
      <c r="C35" s="123" t="s">
        <v>471</v>
      </c>
      <c r="D35" s="123" t="s">
        <v>482</v>
      </c>
      <c r="E35" s="123" t="s">
        <v>483</v>
      </c>
      <c r="F35" s="123" t="s">
        <v>627</v>
      </c>
      <c r="G35" s="123" t="s">
        <v>628</v>
      </c>
      <c r="H35" s="123" t="s">
        <v>629</v>
      </c>
      <c r="I35" s="123" t="s">
        <v>630</v>
      </c>
      <c r="J35" s="123" t="s">
        <v>74</v>
      </c>
      <c r="K35" s="123" t="s">
        <v>75</v>
      </c>
      <c r="L35" s="123" t="s">
        <v>74</v>
      </c>
      <c r="M35" s="123" t="s">
        <v>75</v>
      </c>
      <c r="N35" s="123" t="s">
        <v>477</v>
      </c>
      <c r="O35" s="123" t="s">
        <v>478</v>
      </c>
      <c r="P35" s="123">
        <v>15518182</v>
      </c>
      <c r="Q35" s="123">
        <v>1551818</v>
      </c>
      <c r="R35" s="123">
        <v>17070000</v>
      </c>
      <c r="S35" s="123" t="s">
        <v>1433</v>
      </c>
    </row>
    <row r="36" spans="1:19" x14ac:dyDescent="0.2">
      <c r="A36" s="123" t="s">
        <v>1433</v>
      </c>
      <c r="B36" s="123" t="s">
        <v>470</v>
      </c>
      <c r="C36" s="123" t="s">
        <v>471</v>
      </c>
      <c r="D36" s="123" t="s">
        <v>552</v>
      </c>
      <c r="E36" s="123" t="s">
        <v>553</v>
      </c>
      <c r="F36" s="123" t="s">
        <v>796</v>
      </c>
      <c r="G36" s="123" t="s">
        <v>797</v>
      </c>
      <c r="H36" s="123" t="s">
        <v>1243</v>
      </c>
      <c r="I36" s="123" t="s">
        <v>1244</v>
      </c>
      <c r="J36" s="123" t="s">
        <v>1245</v>
      </c>
      <c r="K36" s="123" t="s">
        <v>436</v>
      </c>
      <c r="L36" s="123" t="s">
        <v>1245</v>
      </c>
      <c r="M36" s="123" t="s">
        <v>436</v>
      </c>
      <c r="N36" s="123" t="s">
        <v>477</v>
      </c>
      <c r="O36" s="123" t="s">
        <v>478</v>
      </c>
      <c r="P36" s="123">
        <v>12944545</v>
      </c>
      <c r="Q36" s="123">
        <v>1294455</v>
      </c>
      <c r="R36" s="123">
        <v>14239000</v>
      </c>
      <c r="S36" s="123" t="s">
        <v>1433</v>
      </c>
    </row>
    <row r="37" spans="1:19" x14ac:dyDescent="0.2">
      <c r="A37" s="123" t="s">
        <v>1433</v>
      </c>
      <c r="B37" s="123" t="s">
        <v>470</v>
      </c>
      <c r="C37" s="123" t="s">
        <v>471</v>
      </c>
      <c r="D37" s="123" t="s">
        <v>492</v>
      </c>
      <c r="E37" s="123" t="s">
        <v>493</v>
      </c>
      <c r="F37" s="123" t="s">
        <v>637</v>
      </c>
      <c r="G37" s="123" t="s">
        <v>638</v>
      </c>
      <c r="H37" s="123" t="s">
        <v>639</v>
      </c>
      <c r="I37" s="123" t="s">
        <v>640</v>
      </c>
      <c r="J37" s="123" t="s">
        <v>91</v>
      </c>
      <c r="K37" s="123" t="s">
        <v>92</v>
      </c>
      <c r="L37" s="123" t="s">
        <v>91</v>
      </c>
      <c r="M37" s="123" t="s">
        <v>92</v>
      </c>
      <c r="N37" s="123" t="s">
        <v>477</v>
      </c>
      <c r="O37" s="123" t="s">
        <v>478</v>
      </c>
      <c r="P37" s="123">
        <v>26570000</v>
      </c>
      <c r="Q37" s="123">
        <v>2657000</v>
      </c>
      <c r="R37" s="123">
        <v>29227000</v>
      </c>
      <c r="S37" s="123" t="s">
        <v>1433</v>
      </c>
    </row>
    <row r="38" spans="1:19" x14ac:dyDescent="0.2">
      <c r="A38" s="123" t="s">
        <v>1433</v>
      </c>
      <c r="B38" s="123" t="s">
        <v>470</v>
      </c>
      <c r="C38" s="123" t="s">
        <v>471</v>
      </c>
      <c r="D38" s="123" t="s">
        <v>492</v>
      </c>
      <c r="E38" s="123" t="s">
        <v>493</v>
      </c>
      <c r="F38" s="123" t="s">
        <v>637</v>
      </c>
      <c r="G38" s="123" t="s">
        <v>638</v>
      </c>
      <c r="H38" s="123" t="s">
        <v>639</v>
      </c>
      <c r="I38" s="123" t="s">
        <v>640</v>
      </c>
      <c r="J38" s="123" t="s">
        <v>125</v>
      </c>
      <c r="K38" s="123" t="s">
        <v>641</v>
      </c>
      <c r="L38" s="123" t="s">
        <v>125</v>
      </c>
      <c r="M38" s="123" t="s">
        <v>641</v>
      </c>
      <c r="N38" s="123" t="s">
        <v>477</v>
      </c>
      <c r="O38" s="123" t="s">
        <v>478</v>
      </c>
      <c r="P38" s="123">
        <v>25707273</v>
      </c>
      <c r="Q38" s="123">
        <v>2570727</v>
      </c>
      <c r="R38" s="123">
        <v>28278000</v>
      </c>
      <c r="S38" s="123" t="s">
        <v>1433</v>
      </c>
    </row>
    <row r="39" spans="1:19" x14ac:dyDescent="0.2">
      <c r="A39" s="123" t="s">
        <v>1433</v>
      </c>
      <c r="B39" s="123" t="s">
        <v>470</v>
      </c>
      <c r="C39" s="123" t="s">
        <v>471</v>
      </c>
      <c r="D39" s="123" t="s">
        <v>552</v>
      </c>
      <c r="E39" s="123" t="s">
        <v>553</v>
      </c>
      <c r="F39" s="123" t="s">
        <v>789</v>
      </c>
      <c r="G39" s="123" t="s">
        <v>790</v>
      </c>
      <c r="H39" s="123" t="s">
        <v>1258</v>
      </c>
      <c r="I39" s="123" t="s">
        <v>1259</v>
      </c>
      <c r="J39" s="123" t="s">
        <v>1260</v>
      </c>
      <c r="K39" s="123" t="s">
        <v>422</v>
      </c>
      <c r="L39" s="123" t="s">
        <v>1260</v>
      </c>
      <c r="M39" s="123" t="s">
        <v>422</v>
      </c>
      <c r="N39" s="123" t="s">
        <v>477</v>
      </c>
      <c r="O39" s="123" t="s">
        <v>478</v>
      </c>
      <c r="P39" s="123">
        <v>10778182</v>
      </c>
      <c r="Q39" s="123">
        <v>1077818</v>
      </c>
      <c r="R39" s="123">
        <v>11856000</v>
      </c>
      <c r="S39" s="123" t="s">
        <v>1433</v>
      </c>
    </row>
    <row r="40" spans="1:19" x14ac:dyDescent="0.2">
      <c r="A40" s="123" t="s">
        <v>1433</v>
      </c>
      <c r="B40" s="123" t="s">
        <v>470</v>
      </c>
      <c r="C40" s="123" t="s">
        <v>471</v>
      </c>
      <c r="D40" s="123" t="s">
        <v>482</v>
      </c>
      <c r="E40" s="123" t="s">
        <v>483</v>
      </c>
      <c r="F40" s="123" t="s">
        <v>597</v>
      </c>
      <c r="G40" s="123" t="s">
        <v>598</v>
      </c>
      <c r="H40" s="123" t="s">
        <v>653</v>
      </c>
      <c r="I40" s="123" t="s">
        <v>654</v>
      </c>
      <c r="J40" s="123" t="s">
        <v>93</v>
      </c>
      <c r="K40" s="123" t="s">
        <v>94</v>
      </c>
      <c r="L40" s="123" t="s">
        <v>93</v>
      </c>
      <c r="M40" s="123" t="s">
        <v>94</v>
      </c>
      <c r="N40" s="123" t="s">
        <v>477</v>
      </c>
      <c r="O40" s="123" t="s">
        <v>478</v>
      </c>
      <c r="P40" s="123">
        <v>33157273</v>
      </c>
      <c r="Q40" s="123">
        <v>3315727</v>
      </c>
      <c r="R40" s="123">
        <v>36473000</v>
      </c>
      <c r="S40" s="123" t="s">
        <v>1433</v>
      </c>
    </row>
    <row r="41" spans="1:19" x14ac:dyDescent="0.2">
      <c r="A41" s="123" t="s">
        <v>1433</v>
      </c>
      <c r="B41" s="123" t="s">
        <v>470</v>
      </c>
      <c r="C41" s="123" t="s">
        <v>471</v>
      </c>
      <c r="D41" s="123" t="s">
        <v>492</v>
      </c>
      <c r="E41" s="123" t="s">
        <v>493</v>
      </c>
      <c r="F41" s="123" t="s">
        <v>658</v>
      </c>
      <c r="G41" s="123" t="s">
        <v>659</v>
      </c>
      <c r="H41" s="123" t="s">
        <v>660</v>
      </c>
      <c r="I41" s="123" t="s">
        <v>661</v>
      </c>
      <c r="J41" s="123" t="s">
        <v>5</v>
      </c>
      <c r="K41" s="123" t="s">
        <v>6</v>
      </c>
      <c r="L41" s="123" t="s">
        <v>5</v>
      </c>
      <c r="M41" s="123" t="s">
        <v>6</v>
      </c>
      <c r="N41" s="123" t="s">
        <v>477</v>
      </c>
      <c r="O41" s="123" t="s">
        <v>478</v>
      </c>
      <c r="P41" s="123">
        <v>16346364</v>
      </c>
      <c r="Q41" s="123">
        <v>1634636</v>
      </c>
      <c r="R41" s="123">
        <v>17981000</v>
      </c>
      <c r="S41" s="123" t="s">
        <v>1433</v>
      </c>
    </row>
    <row r="42" spans="1:19" x14ac:dyDescent="0.2">
      <c r="A42" s="123" t="s">
        <v>1433</v>
      </c>
      <c r="B42" s="123" t="s">
        <v>470</v>
      </c>
      <c r="C42" s="123" t="s">
        <v>471</v>
      </c>
      <c r="D42" s="123" t="s">
        <v>470</v>
      </c>
      <c r="E42" s="123" t="s">
        <v>472</v>
      </c>
      <c r="F42" s="123" t="s">
        <v>953</v>
      </c>
      <c r="G42" s="123" t="s">
        <v>954</v>
      </c>
      <c r="H42" s="123" t="s">
        <v>955</v>
      </c>
      <c r="I42" s="123" t="s">
        <v>956</v>
      </c>
      <c r="J42" s="123" t="s">
        <v>957</v>
      </c>
      <c r="K42" s="123" t="s">
        <v>165</v>
      </c>
      <c r="L42" s="123" t="s">
        <v>957</v>
      </c>
      <c r="M42" s="123" t="s">
        <v>165</v>
      </c>
      <c r="N42" s="123" t="s">
        <v>477</v>
      </c>
      <c r="O42" s="123" t="s">
        <v>478</v>
      </c>
      <c r="P42" s="123">
        <v>6788182</v>
      </c>
      <c r="Q42" s="123">
        <v>678818</v>
      </c>
      <c r="R42" s="123">
        <v>7467000</v>
      </c>
      <c r="S42" s="123" t="s">
        <v>1433</v>
      </c>
    </row>
    <row r="43" spans="1:19" x14ac:dyDescent="0.2">
      <c r="A43" s="123" t="s">
        <v>1433</v>
      </c>
      <c r="B43" s="123" t="s">
        <v>470</v>
      </c>
      <c r="C43" s="123" t="s">
        <v>471</v>
      </c>
      <c r="D43" s="123" t="s">
        <v>492</v>
      </c>
      <c r="E43" s="123" t="s">
        <v>493</v>
      </c>
      <c r="F43" s="123" t="s">
        <v>501</v>
      </c>
      <c r="G43" s="123" t="s">
        <v>502</v>
      </c>
      <c r="H43" s="123" t="s">
        <v>665</v>
      </c>
      <c r="I43" s="123" t="s">
        <v>666</v>
      </c>
      <c r="J43" s="123" t="s">
        <v>667</v>
      </c>
      <c r="K43" s="123" t="s">
        <v>166</v>
      </c>
      <c r="L43" s="123" t="s">
        <v>667</v>
      </c>
      <c r="M43" s="123" t="s">
        <v>166</v>
      </c>
      <c r="N43" s="123" t="s">
        <v>477</v>
      </c>
      <c r="O43" s="123" t="s">
        <v>478</v>
      </c>
      <c r="P43" s="123">
        <v>4545455</v>
      </c>
      <c r="Q43" s="123">
        <v>454545</v>
      </c>
      <c r="R43" s="123">
        <v>5000000</v>
      </c>
      <c r="S43" s="123" t="s">
        <v>1433</v>
      </c>
    </row>
    <row r="44" spans="1:19" x14ac:dyDescent="0.2">
      <c r="A44" s="123" t="s">
        <v>1433</v>
      </c>
      <c r="B44" s="123" t="s">
        <v>470</v>
      </c>
      <c r="C44" s="123" t="s">
        <v>471</v>
      </c>
      <c r="D44" s="123" t="s">
        <v>492</v>
      </c>
      <c r="E44" s="123" t="s">
        <v>493</v>
      </c>
      <c r="F44" s="123" t="s">
        <v>671</v>
      </c>
      <c r="G44" s="123" t="s">
        <v>672</v>
      </c>
      <c r="H44" s="123" t="s">
        <v>673</v>
      </c>
      <c r="I44" s="123" t="s">
        <v>674</v>
      </c>
      <c r="J44" s="123" t="s">
        <v>131</v>
      </c>
      <c r="K44" s="123" t="s">
        <v>132</v>
      </c>
      <c r="L44" s="123" t="s">
        <v>131</v>
      </c>
      <c r="M44" s="123" t="s">
        <v>132</v>
      </c>
      <c r="N44" s="123" t="s">
        <v>477</v>
      </c>
      <c r="O44" s="123" t="s">
        <v>478</v>
      </c>
      <c r="P44" s="123">
        <v>6411982</v>
      </c>
      <c r="Q44" s="123">
        <v>641198</v>
      </c>
      <c r="R44" s="123">
        <v>7053180</v>
      </c>
      <c r="S44" s="123" t="s">
        <v>1433</v>
      </c>
    </row>
    <row r="45" spans="1:19" x14ac:dyDescent="0.2">
      <c r="A45" s="123" t="s">
        <v>1433</v>
      </c>
      <c r="B45" s="123" t="s">
        <v>470</v>
      </c>
      <c r="C45" s="123" t="s">
        <v>471</v>
      </c>
      <c r="D45" s="123" t="s">
        <v>470</v>
      </c>
      <c r="E45" s="123" t="s">
        <v>472</v>
      </c>
      <c r="F45" s="123" t="s">
        <v>685</v>
      </c>
      <c r="G45" s="123" t="s">
        <v>686</v>
      </c>
      <c r="H45" s="123" t="s">
        <v>687</v>
      </c>
      <c r="I45" s="123" t="s">
        <v>688</v>
      </c>
      <c r="J45" s="123" t="s">
        <v>133</v>
      </c>
      <c r="K45" s="123" t="s">
        <v>134</v>
      </c>
      <c r="L45" s="123" t="s">
        <v>133</v>
      </c>
      <c r="M45" s="123" t="s">
        <v>134</v>
      </c>
      <c r="N45" s="123" t="s">
        <v>477</v>
      </c>
      <c r="O45" s="123" t="s">
        <v>478</v>
      </c>
      <c r="P45" s="123">
        <v>9163636</v>
      </c>
      <c r="Q45" s="123">
        <v>916364</v>
      </c>
      <c r="R45" s="123">
        <v>10080000</v>
      </c>
      <c r="S45" s="123" t="s">
        <v>1433</v>
      </c>
    </row>
    <row r="46" spans="1:19" x14ac:dyDescent="0.2">
      <c r="A46" s="123" t="s">
        <v>1433</v>
      </c>
      <c r="B46" s="123" t="s">
        <v>470</v>
      </c>
      <c r="C46" s="123" t="s">
        <v>471</v>
      </c>
      <c r="D46" s="123" t="s">
        <v>482</v>
      </c>
      <c r="E46" s="123" t="s">
        <v>483</v>
      </c>
      <c r="F46" s="123" t="s">
        <v>597</v>
      </c>
      <c r="G46" s="123" t="s">
        <v>598</v>
      </c>
      <c r="H46" s="123" t="s">
        <v>1442</v>
      </c>
      <c r="I46" s="123" t="s">
        <v>1443</v>
      </c>
      <c r="J46" s="123" t="s">
        <v>1444</v>
      </c>
      <c r="K46" s="123" t="s">
        <v>1445</v>
      </c>
      <c r="L46" s="123" t="s">
        <v>1444</v>
      </c>
      <c r="M46" s="123" t="s">
        <v>1445</v>
      </c>
      <c r="N46" s="123" t="s">
        <v>477</v>
      </c>
      <c r="O46" s="123" t="s">
        <v>478</v>
      </c>
      <c r="P46" s="123">
        <v>5672727</v>
      </c>
      <c r="Q46" s="123">
        <v>567273</v>
      </c>
      <c r="R46" s="123">
        <v>6240000</v>
      </c>
      <c r="S46" s="123" t="s">
        <v>1433</v>
      </c>
    </row>
    <row r="47" spans="1:19" x14ac:dyDescent="0.2">
      <c r="A47" s="123" t="s">
        <v>1433</v>
      </c>
      <c r="B47" s="123" t="s">
        <v>470</v>
      </c>
      <c r="C47" s="123" t="s">
        <v>471</v>
      </c>
      <c r="D47" s="123" t="s">
        <v>492</v>
      </c>
      <c r="E47" s="123" t="s">
        <v>493</v>
      </c>
      <c r="F47" s="123" t="s">
        <v>494</v>
      </c>
      <c r="G47" s="123" t="s">
        <v>495</v>
      </c>
      <c r="H47" s="123" t="s">
        <v>692</v>
      </c>
      <c r="I47" s="123" t="s">
        <v>693</v>
      </c>
      <c r="J47" s="123" t="s">
        <v>76</v>
      </c>
      <c r="K47" s="123" t="s">
        <v>77</v>
      </c>
      <c r="L47" s="123" t="s">
        <v>76</v>
      </c>
      <c r="M47" s="123" t="s">
        <v>77</v>
      </c>
      <c r="N47" s="123" t="s">
        <v>477</v>
      </c>
      <c r="O47" s="123" t="s">
        <v>478</v>
      </c>
      <c r="P47" s="123">
        <v>34822727</v>
      </c>
      <c r="Q47" s="123">
        <v>3482273</v>
      </c>
      <c r="R47" s="123">
        <v>38305000</v>
      </c>
      <c r="S47" s="123" t="s">
        <v>1433</v>
      </c>
    </row>
    <row r="48" spans="1:19" x14ac:dyDescent="0.2">
      <c r="A48" s="123" t="s">
        <v>1433</v>
      </c>
      <c r="B48" s="123" t="s">
        <v>470</v>
      </c>
      <c r="C48" s="123" t="s">
        <v>471</v>
      </c>
      <c r="D48" s="123" t="s">
        <v>492</v>
      </c>
      <c r="E48" s="123" t="s">
        <v>493</v>
      </c>
      <c r="F48" s="123" t="s">
        <v>697</v>
      </c>
      <c r="G48" s="123" t="s">
        <v>698</v>
      </c>
      <c r="H48" s="123" t="s">
        <v>699</v>
      </c>
      <c r="I48" s="123" t="s">
        <v>700</v>
      </c>
      <c r="J48" s="123" t="s">
        <v>108</v>
      </c>
      <c r="K48" s="123" t="s">
        <v>109</v>
      </c>
      <c r="L48" s="123" t="s">
        <v>108</v>
      </c>
      <c r="M48" s="123" t="s">
        <v>109</v>
      </c>
      <c r="N48" s="123" t="s">
        <v>477</v>
      </c>
      <c r="O48" s="123" t="s">
        <v>478</v>
      </c>
      <c r="P48" s="123">
        <v>7796364</v>
      </c>
      <c r="Q48" s="123">
        <v>779636</v>
      </c>
      <c r="R48" s="123">
        <v>8576000</v>
      </c>
      <c r="S48" s="123" t="s">
        <v>1433</v>
      </c>
    </row>
    <row r="49" spans="1:19" x14ac:dyDescent="0.2">
      <c r="A49" s="123" t="s">
        <v>1433</v>
      </c>
      <c r="B49" s="123" t="s">
        <v>470</v>
      </c>
      <c r="C49" s="123" t="s">
        <v>471</v>
      </c>
      <c r="D49" s="123" t="s">
        <v>482</v>
      </c>
      <c r="E49" s="123" t="s">
        <v>483</v>
      </c>
      <c r="F49" s="123" t="s">
        <v>531</v>
      </c>
      <c r="G49" s="123" t="s">
        <v>532</v>
      </c>
      <c r="H49" s="123" t="s">
        <v>1299</v>
      </c>
      <c r="I49" s="123" t="s">
        <v>1300</v>
      </c>
      <c r="J49" s="123" t="s">
        <v>1301</v>
      </c>
      <c r="K49" s="123" t="s">
        <v>426</v>
      </c>
      <c r="L49" s="123" t="s">
        <v>1301</v>
      </c>
      <c r="M49" s="123" t="s">
        <v>426</v>
      </c>
      <c r="N49" s="123" t="s">
        <v>477</v>
      </c>
      <c r="O49" s="123" t="s">
        <v>478</v>
      </c>
      <c r="P49" s="123">
        <v>12272727</v>
      </c>
      <c r="Q49" s="123">
        <v>1227273</v>
      </c>
      <c r="R49" s="123">
        <v>13500000</v>
      </c>
      <c r="S49" s="123" t="s">
        <v>1433</v>
      </c>
    </row>
    <row r="50" spans="1:19" x14ac:dyDescent="0.2">
      <c r="A50" s="123" t="s">
        <v>1433</v>
      </c>
      <c r="B50" s="123" t="s">
        <v>470</v>
      </c>
      <c r="C50" s="123" t="s">
        <v>471</v>
      </c>
      <c r="D50" s="123" t="s">
        <v>552</v>
      </c>
      <c r="E50" s="123" t="s">
        <v>553</v>
      </c>
      <c r="F50" s="123" t="s">
        <v>554</v>
      </c>
      <c r="G50" s="123" t="s">
        <v>555</v>
      </c>
      <c r="H50" s="123" t="s">
        <v>709</v>
      </c>
      <c r="I50" s="123" t="s">
        <v>710</v>
      </c>
      <c r="J50" s="123" t="s">
        <v>711</v>
      </c>
      <c r="K50" s="123" t="s">
        <v>190</v>
      </c>
      <c r="L50" s="123" t="s">
        <v>711</v>
      </c>
      <c r="M50" s="123" t="s">
        <v>190</v>
      </c>
      <c r="N50" s="123" t="s">
        <v>477</v>
      </c>
      <c r="O50" s="123" t="s">
        <v>478</v>
      </c>
      <c r="P50" s="123">
        <v>1105455</v>
      </c>
      <c r="Q50" s="123">
        <v>110545</v>
      </c>
      <c r="R50" s="123">
        <v>1216000</v>
      </c>
      <c r="S50" s="123" t="s">
        <v>1433</v>
      </c>
    </row>
    <row r="51" spans="1:19" x14ac:dyDescent="0.2">
      <c r="A51" s="123" t="s">
        <v>1433</v>
      </c>
      <c r="B51" s="123" t="s">
        <v>470</v>
      </c>
      <c r="C51" s="123" t="s">
        <v>471</v>
      </c>
      <c r="D51" s="123" t="s">
        <v>470</v>
      </c>
      <c r="E51" s="123" t="s">
        <v>472</v>
      </c>
      <c r="F51" s="123" t="s">
        <v>953</v>
      </c>
      <c r="G51" s="123" t="s">
        <v>954</v>
      </c>
      <c r="H51" s="123" t="s">
        <v>1307</v>
      </c>
      <c r="I51" s="123" t="s">
        <v>1308</v>
      </c>
      <c r="J51" s="123" t="s">
        <v>1309</v>
      </c>
      <c r="K51" s="123" t="s">
        <v>425</v>
      </c>
      <c r="L51" s="123" t="s">
        <v>1309</v>
      </c>
      <c r="M51" s="123" t="s">
        <v>425</v>
      </c>
      <c r="N51" s="123" t="s">
        <v>477</v>
      </c>
      <c r="O51" s="123" t="s">
        <v>478</v>
      </c>
      <c r="P51" s="123">
        <v>23204545</v>
      </c>
      <c r="Q51" s="123">
        <v>2320455</v>
      </c>
      <c r="R51" s="123">
        <v>25525000</v>
      </c>
      <c r="S51" s="123" t="s">
        <v>1433</v>
      </c>
    </row>
    <row r="52" spans="1:19" x14ac:dyDescent="0.2">
      <c r="A52" s="123" t="s">
        <v>1433</v>
      </c>
      <c r="B52" s="123" t="s">
        <v>470</v>
      </c>
      <c r="C52" s="123" t="s">
        <v>471</v>
      </c>
      <c r="D52" s="123" t="s">
        <v>552</v>
      </c>
      <c r="E52" s="123" t="s">
        <v>553</v>
      </c>
      <c r="F52" s="123" t="s">
        <v>569</v>
      </c>
      <c r="G52" s="123" t="s">
        <v>570</v>
      </c>
      <c r="H52" s="123" t="s">
        <v>715</v>
      </c>
      <c r="I52" s="123" t="s">
        <v>716</v>
      </c>
      <c r="J52" s="123" t="s">
        <v>717</v>
      </c>
      <c r="K52" s="123" t="s">
        <v>187</v>
      </c>
      <c r="L52" s="123" t="s">
        <v>717</v>
      </c>
      <c r="M52" s="123" t="s">
        <v>187</v>
      </c>
      <c r="N52" s="123" t="s">
        <v>477</v>
      </c>
      <c r="O52" s="123" t="s">
        <v>478</v>
      </c>
      <c r="P52" s="123">
        <v>9323636</v>
      </c>
      <c r="Q52" s="123">
        <v>932364</v>
      </c>
      <c r="R52" s="123">
        <v>10256000</v>
      </c>
      <c r="S52" s="123" t="s">
        <v>1433</v>
      </c>
    </row>
    <row r="53" spans="1:19" x14ac:dyDescent="0.2">
      <c r="A53" s="123" t="s">
        <v>1433</v>
      </c>
      <c r="B53" s="123" t="s">
        <v>470</v>
      </c>
      <c r="C53" s="123" t="s">
        <v>471</v>
      </c>
      <c r="D53" s="123" t="s">
        <v>482</v>
      </c>
      <c r="E53" s="123" t="s">
        <v>483</v>
      </c>
      <c r="F53" s="123" t="s">
        <v>627</v>
      </c>
      <c r="G53" s="123" t="s">
        <v>628</v>
      </c>
      <c r="H53" s="123" t="s">
        <v>721</v>
      </c>
      <c r="I53" s="123" t="s">
        <v>722</v>
      </c>
      <c r="J53" s="123" t="s">
        <v>726</v>
      </c>
      <c r="K53" s="123" t="s">
        <v>176</v>
      </c>
      <c r="L53" s="123" t="s">
        <v>726</v>
      </c>
      <c r="M53" s="123" t="s">
        <v>176</v>
      </c>
      <c r="N53" s="123" t="s">
        <v>477</v>
      </c>
      <c r="O53" s="123" t="s">
        <v>478</v>
      </c>
      <c r="P53" s="123">
        <v>4290000</v>
      </c>
      <c r="Q53" s="123">
        <v>429000</v>
      </c>
      <c r="R53" s="123">
        <v>4719000</v>
      </c>
      <c r="S53" s="123" t="s">
        <v>1433</v>
      </c>
    </row>
    <row r="54" spans="1:19" x14ac:dyDescent="0.2">
      <c r="A54" s="123" t="s">
        <v>1433</v>
      </c>
      <c r="B54" s="123" t="s">
        <v>470</v>
      </c>
      <c r="C54" s="123" t="s">
        <v>471</v>
      </c>
      <c r="D54" s="123" t="s">
        <v>482</v>
      </c>
      <c r="E54" s="123" t="s">
        <v>483</v>
      </c>
      <c r="F54" s="123" t="s">
        <v>627</v>
      </c>
      <c r="G54" s="123" t="s">
        <v>628</v>
      </c>
      <c r="H54" s="123" t="s">
        <v>721</v>
      </c>
      <c r="I54" s="123" t="s">
        <v>722</v>
      </c>
      <c r="J54" s="123" t="s">
        <v>135</v>
      </c>
      <c r="K54" s="123" t="s">
        <v>136</v>
      </c>
      <c r="L54" s="123" t="s">
        <v>135</v>
      </c>
      <c r="M54" s="123" t="s">
        <v>136</v>
      </c>
      <c r="N54" s="123" t="s">
        <v>477</v>
      </c>
      <c r="O54" s="123" t="s">
        <v>478</v>
      </c>
      <c r="P54" s="123">
        <v>11144545</v>
      </c>
      <c r="Q54" s="123">
        <v>1114455</v>
      </c>
      <c r="R54" s="123">
        <v>12259000</v>
      </c>
      <c r="S54" s="123" t="s">
        <v>1433</v>
      </c>
    </row>
    <row r="55" spans="1:19" x14ac:dyDescent="0.2">
      <c r="A55" s="123" t="s">
        <v>1433</v>
      </c>
      <c r="B55" s="123" t="s">
        <v>470</v>
      </c>
      <c r="C55" s="123" t="s">
        <v>471</v>
      </c>
      <c r="D55" s="123" t="s">
        <v>552</v>
      </c>
      <c r="E55" s="123" t="s">
        <v>553</v>
      </c>
      <c r="F55" s="123" t="s">
        <v>762</v>
      </c>
      <c r="G55" s="123" t="s">
        <v>763</v>
      </c>
      <c r="H55" s="123" t="s">
        <v>1318</v>
      </c>
      <c r="I55" s="123" t="s">
        <v>1319</v>
      </c>
      <c r="J55" s="123" t="s">
        <v>1320</v>
      </c>
      <c r="K55" s="123" t="s">
        <v>439</v>
      </c>
      <c r="L55" s="123" t="s">
        <v>1320</v>
      </c>
      <c r="M55" s="123" t="s">
        <v>439</v>
      </c>
      <c r="N55" s="123" t="s">
        <v>477</v>
      </c>
      <c r="O55" s="123" t="s">
        <v>478</v>
      </c>
      <c r="P55" s="123">
        <v>17867273</v>
      </c>
      <c r="Q55" s="123">
        <v>1786727</v>
      </c>
      <c r="R55" s="123">
        <v>19654000</v>
      </c>
      <c r="S55" s="123" t="s">
        <v>1433</v>
      </c>
    </row>
    <row r="56" spans="1:19" x14ac:dyDescent="0.2">
      <c r="A56" s="123" t="s">
        <v>1433</v>
      </c>
      <c r="B56" s="123" t="s">
        <v>470</v>
      </c>
      <c r="C56" s="123" t="s">
        <v>471</v>
      </c>
      <c r="D56" s="123" t="s">
        <v>552</v>
      </c>
      <c r="E56" s="123" t="s">
        <v>553</v>
      </c>
      <c r="F56" s="123" t="s">
        <v>730</v>
      </c>
      <c r="G56" s="123" t="s">
        <v>731</v>
      </c>
      <c r="H56" s="123" t="s">
        <v>732</v>
      </c>
      <c r="I56" s="123" t="s">
        <v>733</v>
      </c>
      <c r="J56" s="123" t="s">
        <v>139</v>
      </c>
      <c r="K56" s="123" t="s">
        <v>140</v>
      </c>
      <c r="L56" s="123" t="s">
        <v>139</v>
      </c>
      <c r="M56" s="123" t="s">
        <v>140</v>
      </c>
      <c r="N56" s="123" t="s">
        <v>477</v>
      </c>
      <c r="O56" s="123" t="s">
        <v>478</v>
      </c>
      <c r="P56" s="123">
        <v>4602727</v>
      </c>
      <c r="Q56" s="123">
        <v>460273</v>
      </c>
      <c r="R56" s="123">
        <v>5063000</v>
      </c>
      <c r="S56" s="123" t="s">
        <v>1433</v>
      </c>
    </row>
    <row r="57" spans="1:19" x14ac:dyDescent="0.2">
      <c r="A57" s="123" t="s">
        <v>1433</v>
      </c>
      <c r="B57" s="123" t="s">
        <v>470</v>
      </c>
      <c r="C57" s="123" t="s">
        <v>471</v>
      </c>
      <c r="D57" s="123" t="s">
        <v>552</v>
      </c>
      <c r="E57" s="123" t="s">
        <v>553</v>
      </c>
      <c r="F57" s="123" t="s">
        <v>730</v>
      </c>
      <c r="G57" s="123" t="s">
        <v>731</v>
      </c>
      <c r="H57" s="123" t="s">
        <v>732</v>
      </c>
      <c r="I57" s="123" t="s">
        <v>733</v>
      </c>
      <c r="J57" s="123" t="s">
        <v>110</v>
      </c>
      <c r="K57" s="123" t="s">
        <v>111</v>
      </c>
      <c r="L57" s="123" t="s">
        <v>110</v>
      </c>
      <c r="M57" s="123" t="s">
        <v>111</v>
      </c>
      <c r="N57" s="123" t="s">
        <v>477</v>
      </c>
      <c r="O57" s="123" t="s">
        <v>478</v>
      </c>
      <c r="P57" s="123">
        <v>20962727</v>
      </c>
      <c r="Q57" s="123">
        <v>2096273</v>
      </c>
      <c r="R57" s="123">
        <v>23059000</v>
      </c>
      <c r="S57" s="123" t="s">
        <v>1433</v>
      </c>
    </row>
    <row r="58" spans="1:19" x14ac:dyDescent="0.2">
      <c r="A58" s="123" t="s">
        <v>1433</v>
      </c>
      <c r="B58" s="123" t="s">
        <v>470</v>
      </c>
      <c r="C58" s="123" t="s">
        <v>471</v>
      </c>
      <c r="D58" s="123" t="s">
        <v>482</v>
      </c>
      <c r="E58" s="123" t="s">
        <v>483</v>
      </c>
      <c r="F58" s="123" t="s">
        <v>627</v>
      </c>
      <c r="G58" s="123" t="s">
        <v>628</v>
      </c>
      <c r="H58" s="123" t="s">
        <v>740</v>
      </c>
      <c r="I58" s="123" t="s">
        <v>741</v>
      </c>
      <c r="J58" s="123" t="s">
        <v>742</v>
      </c>
      <c r="K58" s="123" t="s">
        <v>177</v>
      </c>
      <c r="L58" s="123" t="s">
        <v>742</v>
      </c>
      <c r="M58" s="123" t="s">
        <v>177</v>
      </c>
      <c r="N58" s="123" t="s">
        <v>477</v>
      </c>
      <c r="O58" s="123" t="s">
        <v>478</v>
      </c>
      <c r="P58" s="123">
        <v>53710909</v>
      </c>
      <c r="Q58" s="123">
        <v>5371091</v>
      </c>
      <c r="R58" s="123">
        <v>59082000</v>
      </c>
      <c r="S58" s="123" t="s">
        <v>1433</v>
      </c>
    </row>
    <row r="59" spans="1:19" x14ac:dyDescent="0.2">
      <c r="A59" s="123" t="s">
        <v>1433</v>
      </c>
      <c r="B59" s="123" t="s">
        <v>470</v>
      </c>
      <c r="C59" s="123" t="s">
        <v>471</v>
      </c>
      <c r="D59" s="123" t="s">
        <v>482</v>
      </c>
      <c r="E59" s="123" t="s">
        <v>483</v>
      </c>
      <c r="F59" s="123" t="s">
        <v>531</v>
      </c>
      <c r="G59" s="123" t="s">
        <v>532</v>
      </c>
      <c r="H59" s="123" t="s">
        <v>746</v>
      </c>
      <c r="I59" s="123" t="s">
        <v>747</v>
      </c>
      <c r="J59" s="123" t="s">
        <v>80</v>
      </c>
      <c r="K59" s="123" t="s">
        <v>81</v>
      </c>
      <c r="L59" s="123" t="s">
        <v>80</v>
      </c>
      <c r="M59" s="123" t="s">
        <v>81</v>
      </c>
      <c r="N59" s="123" t="s">
        <v>477</v>
      </c>
      <c r="O59" s="123" t="s">
        <v>478</v>
      </c>
      <c r="P59" s="123">
        <v>11349091</v>
      </c>
      <c r="Q59" s="123">
        <v>1134909</v>
      </c>
      <c r="R59" s="123">
        <v>12484000</v>
      </c>
      <c r="S59" s="123" t="s">
        <v>1433</v>
      </c>
    </row>
    <row r="60" spans="1:19" x14ac:dyDescent="0.2">
      <c r="A60" s="123" t="s">
        <v>1433</v>
      </c>
      <c r="B60" s="123" t="s">
        <v>470</v>
      </c>
      <c r="C60" s="123" t="s">
        <v>471</v>
      </c>
      <c r="D60" s="123" t="s">
        <v>492</v>
      </c>
      <c r="E60" s="123" t="s">
        <v>493</v>
      </c>
      <c r="F60" s="123" t="s">
        <v>494</v>
      </c>
      <c r="G60" s="123" t="s">
        <v>495</v>
      </c>
      <c r="H60" s="123" t="s">
        <v>751</v>
      </c>
      <c r="I60" s="123" t="s">
        <v>752</v>
      </c>
      <c r="J60" s="123" t="s">
        <v>753</v>
      </c>
      <c r="K60" s="123" t="s">
        <v>171</v>
      </c>
      <c r="L60" s="123" t="s">
        <v>753</v>
      </c>
      <c r="M60" s="123" t="s">
        <v>171</v>
      </c>
      <c r="N60" s="123" t="s">
        <v>477</v>
      </c>
      <c r="O60" s="123" t="s">
        <v>478</v>
      </c>
      <c r="P60" s="123">
        <v>8230000</v>
      </c>
      <c r="Q60" s="123">
        <v>823000</v>
      </c>
      <c r="R60" s="123">
        <v>9053000</v>
      </c>
      <c r="S60" s="123" t="s">
        <v>1433</v>
      </c>
    </row>
    <row r="61" spans="1:19" x14ac:dyDescent="0.2">
      <c r="A61" s="123" t="s">
        <v>1433</v>
      </c>
      <c r="B61" s="123" t="s">
        <v>470</v>
      </c>
      <c r="C61" s="123" t="s">
        <v>471</v>
      </c>
      <c r="D61" s="123" t="s">
        <v>482</v>
      </c>
      <c r="E61" s="123" t="s">
        <v>483</v>
      </c>
      <c r="F61" s="123" t="s">
        <v>1339</v>
      </c>
      <c r="G61" s="123" t="s">
        <v>1340</v>
      </c>
      <c r="H61" s="123" t="s">
        <v>1341</v>
      </c>
      <c r="I61" s="123" t="s">
        <v>1342</v>
      </c>
      <c r="J61" s="123" t="s">
        <v>1343</v>
      </c>
      <c r="K61" s="123" t="s">
        <v>429</v>
      </c>
      <c r="L61" s="123" t="s">
        <v>1343</v>
      </c>
      <c r="M61" s="123" t="s">
        <v>429</v>
      </c>
      <c r="N61" s="123" t="s">
        <v>477</v>
      </c>
      <c r="O61" s="123" t="s">
        <v>478</v>
      </c>
      <c r="P61" s="123">
        <v>11079091</v>
      </c>
      <c r="Q61" s="123">
        <v>1107909</v>
      </c>
      <c r="R61" s="123">
        <v>12187000</v>
      </c>
      <c r="S61" s="123" t="s">
        <v>1433</v>
      </c>
    </row>
    <row r="62" spans="1:19" x14ac:dyDescent="0.2">
      <c r="A62" s="123" t="s">
        <v>1433</v>
      </c>
      <c r="B62" s="123" t="s">
        <v>470</v>
      </c>
      <c r="C62" s="123" t="s">
        <v>471</v>
      </c>
      <c r="D62" s="123" t="s">
        <v>492</v>
      </c>
      <c r="E62" s="123" t="s">
        <v>493</v>
      </c>
      <c r="F62" s="123" t="s">
        <v>501</v>
      </c>
      <c r="G62" s="123" t="s">
        <v>502</v>
      </c>
      <c r="H62" s="123" t="s">
        <v>1350</v>
      </c>
      <c r="I62" s="123" t="s">
        <v>1351</v>
      </c>
      <c r="J62" s="123" t="s">
        <v>1352</v>
      </c>
      <c r="K62" s="123" t="s">
        <v>433</v>
      </c>
      <c r="L62" s="123" t="s">
        <v>1352</v>
      </c>
      <c r="M62" s="123" t="s">
        <v>433</v>
      </c>
      <c r="N62" s="123" t="s">
        <v>477</v>
      </c>
      <c r="O62" s="123" t="s">
        <v>478</v>
      </c>
      <c r="P62" s="123">
        <v>10861818</v>
      </c>
      <c r="Q62" s="123">
        <v>1086182</v>
      </c>
      <c r="R62" s="123">
        <v>11948000</v>
      </c>
      <c r="S62" s="123" t="s">
        <v>1433</v>
      </c>
    </row>
    <row r="63" spans="1:19" x14ac:dyDescent="0.2">
      <c r="A63" s="123" t="s">
        <v>1433</v>
      </c>
      <c r="B63" s="123" t="s">
        <v>470</v>
      </c>
      <c r="C63" s="123" t="s">
        <v>471</v>
      </c>
      <c r="D63" s="123" t="s">
        <v>552</v>
      </c>
      <c r="E63" s="123" t="s">
        <v>553</v>
      </c>
      <c r="F63" s="123" t="s">
        <v>762</v>
      </c>
      <c r="G63" s="123" t="s">
        <v>763</v>
      </c>
      <c r="H63" s="123" t="s">
        <v>764</v>
      </c>
      <c r="I63" s="123" t="s">
        <v>765</v>
      </c>
      <c r="J63" s="123" t="s">
        <v>766</v>
      </c>
      <c r="K63" s="123" t="s">
        <v>188</v>
      </c>
      <c r="L63" s="123" t="s">
        <v>766</v>
      </c>
      <c r="M63" s="123" t="s">
        <v>188</v>
      </c>
      <c r="N63" s="123" t="s">
        <v>477</v>
      </c>
      <c r="O63" s="123" t="s">
        <v>478</v>
      </c>
      <c r="P63" s="123">
        <v>7523636</v>
      </c>
      <c r="Q63" s="123">
        <v>752364</v>
      </c>
      <c r="R63" s="123">
        <v>8276000</v>
      </c>
      <c r="S63" s="123" t="s">
        <v>1433</v>
      </c>
    </row>
    <row r="64" spans="1:19" x14ac:dyDescent="0.2">
      <c r="A64" s="123" t="s">
        <v>1433</v>
      </c>
      <c r="B64" s="123" t="s">
        <v>470</v>
      </c>
      <c r="C64" s="123" t="s">
        <v>471</v>
      </c>
      <c r="D64" s="123" t="s">
        <v>470</v>
      </c>
      <c r="E64" s="123" t="s">
        <v>472</v>
      </c>
      <c r="F64" s="123" t="s">
        <v>605</v>
      </c>
      <c r="G64" s="123" t="s">
        <v>606</v>
      </c>
      <c r="H64" s="123" t="s">
        <v>1446</v>
      </c>
      <c r="I64" s="123" t="s">
        <v>1447</v>
      </c>
      <c r="J64" s="123" t="s">
        <v>1448</v>
      </c>
      <c r="K64" s="123" t="s">
        <v>1449</v>
      </c>
      <c r="L64" s="123" t="s">
        <v>1448</v>
      </c>
      <c r="M64" s="123" t="s">
        <v>1449</v>
      </c>
      <c r="N64" s="123" t="s">
        <v>477</v>
      </c>
      <c r="O64" s="123" t="s">
        <v>478</v>
      </c>
      <c r="P64" s="123">
        <v>2298182</v>
      </c>
      <c r="Q64" s="123">
        <v>229818</v>
      </c>
      <c r="R64" s="123">
        <v>2528000</v>
      </c>
      <c r="S64" s="123" t="s">
        <v>1433</v>
      </c>
    </row>
    <row r="65" spans="1:19" x14ac:dyDescent="0.2">
      <c r="A65" s="123" t="s">
        <v>1433</v>
      </c>
      <c r="B65" s="123" t="s">
        <v>470</v>
      </c>
      <c r="C65" s="123" t="s">
        <v>471</v>
      </c>
      <c r="D65" s="123" t="s">
        <v>470</v>
      </c>
      <c r="E65" s="123" t="s">
        <v>472</v>
      </c>
      <c r="F65" s="123" t="s">
        <v>605</v>
      </c>
      <c r="G65" s="123" t="s">
        <v>606</v>
      </c>
      <c r="H65" s="123" t="s">
        <v>1446</v>
      </c>
      <c r="I65" s="123" t="s">
        <v>1447</v>
      </c>
      <c r="J65" s="123" t="s">
        <v>1450</v>
      </c>
      <c r="K65" s="123" t="s">
        <v>1451</v>
      </c>
      <c r="L65" s="123" t="s">
        <v>1450</v>
      </c>
      <c r="M65" s="123" t="s">
        <v>1451</v>
      </c>
      <c r="N65" s="123" t="s">
        <v>477</v>
      </c>
      <c r="O65" s="123" t="s">
        <v>478</v>
      </c>
      <c r="P65" s="123">
        <v>320000</v>
      </c>
      <c r="Q65" s="123">
        <v>32000</v>
      </c>
      <c r="R65" s="123">
        <v>352000</v>
      </c>
      <c r="S65" s="123" t="s">
        <v>1433</v>
      </c>
    </row>
    <row r="66" spans="1:19" x14ac:dyDescent="0.2">
      <c r="A66" s="123" t="s">
        <v>1433</v>
      </c>
      <c r="B66" s="123" t="s">
        <v>470</v>
      </c>
      <c r="C66" s="123" t="s">
        <v>471</v>
      </c>
      <c r="D66" s="123" t="s">
        <v>492</v>
      </c>
      <c r="E66" s="123" t="s">
        <v>493</v>
      </c>
      <c r="F66" s="123" t="s">
        <v>658</v>
      </c>
      <c r="G66" s="123" t="s">
        <v>659</v>
      </c>
      <c r="H66" s="123" t="s">
        <v>784</v>
      </c>
      <c r="I66" s="123" t="s">
        <v>785</v>
      </c>
      <c r="J66" s="123" t="s">
        <v>129</v>
      </c>
      <c r="K66" s="123" t="s">
        <v>130</v>
      </c>
      <c r="L66" s="123" t="s">
        <v>129</v>
      </c>
      <c r="M66" s="123" t="s">
        <v>130</v>
      </c>
      <c r="N66" s="123" t="s">
        <v>477</v>
      </c>
      <c r="O66" s="123" t="s">
        <v>478</v>
      </c>
      <c r="P66" s="123">
        <v>7595455</v>
      </c>
      <c r="Q66" s="123">
        <v>759545</v>
      </c>
      <c r="R66" s="123">
        <v>8355000</v>
      </c>
      <c r="S66" s="123" t="s">
        <v>1433</v>
      </c>
    </row>
    <row r="67" spans="1:19" x14ac:dyDescent="0.2">
      <c r="A67" s="123" t="s">
        <v>1433</v>
      </c>
      <c r="B67" s="123" t="s">
        <v>470</v>
      </c>
      <c r="C67" s="123" t="s">
        <v>471</v>
      </c>
      <c r="D67" s="123" t="s">
        <v>552</v>
      </c>
      <c r="E67" s="123" t="s">
        <v>553</v>
      </c>
      <c r="F67" s="123" t="s">
        <v>789</v>
      </c>
      <c r="G67" s="123" t="s">
        <v>790</v>
      </c>
      <c r="H67" s="123" t="s">
        <v>791</v>
      </c>
      <c r="I67" s="123" t="s">
        <v>792</v>
      </c>
      <c r="J67" s="123" t="s">
        <v>112</v>
      </c>
      <c r="K67" s="123" t="s">
        <v>113</v>
      </c>
      <c r="L67" s="123" t="s">
        <v>112</v>
      </c>
      <c r="M67" s="123" t="s">
        <v>113</v>
      </c>
      <c r="N67" s="123" t="s">
        <v>477</v>
      </c>
      <c r="O67" s="123" t="s">
        <v>478</v>
      </c>
      <c r="P67" s="123">
        <v>4178182</v>
      </c>
      <c r="Q67" s="123">
        <v>417818</v>
      </c>
      <c r="R67" s="123">
        <v>4596000</v>
      </c>
      <c r="S67" s="123" t="s">
        <v>1433</v>
      </c>
    </row>
    <row r="68" spans="1:19" x14ac:dyDescent="0.2">
      <c r="A68" s="123" t="s">
        <v>1433</v>
      </c>
      <c r="B68" s="123" t="s">
        <v>470</v>
      </c>
      <c r="C68" s="123" t="s">
        <v>471</v>
      </c>
      <c r="D68" s="123" t="s">
        <v>552</v>
      </c>
      <c r="E68" s="123" t="s">
        <v>553</v>
      </c>
      <c r="F68" s="123" t="s">
        <v>796</v>
      </c>
      <c r="G68" s="123" t="s">
        <v>797</v>
      </c>
      <c r="H68" s="123" t="s">
        <v>798</v>
      </c>
      <c r="I68" s="123" t="s">
        <v>799</v>
      </c>
      <c r="J68" s="123" t="s">
        <v>1377</v>
      </c>
      <c r="K68" s="123" t="s">
        <v>435</v>
      </c>
      <c r="L68" s="123" t="s">
        <v>1377</v>
      </c>
      <c r="M68" s="123" t="s">
        <v>435</v>
      </c>
      <c r="N68" s="123" t="s">
        <v>477</v>
      </c>
      <c r="O68" s="123" t="s">
        <v>478</v>
      </c>
      <c r="P68" s="123">
        <v>5060000</v>
      </c>
      <c r="Q68" s="123">
        <v>506000</v>
      </c>
      <c r="R68" s="123">
        <v>5566000</v>
      </c>
      <c r="S68" s="123" t="s">
        <v>1433</v>
      </c>
    </row>
    <row r="69" spans="1:19" x14ac:dyDescent="0.2">
      <c r="A69" s="123" t="s">
        <v>1433</v>
      </c>
      <c r="B69" s="123" t="s">
        <v>470</v>
      </c>
      <c r="C69" s="123" t="s">
        <v>471</v>
      </c>
      <c r="D69" s="123" t="s">
        <v>552</v>
      </c>
      <c r="E69" s="123" t="s">
        <v>553</v>
      </c>
      <c r="F69" s="123" t="s">
        <v>796</v>
      </c>
      <c r="G69" s="123" t="s">
        <v>797</v>
      </c>
      <c r="H69" s="123" t="s">
        <v>798</v>
      </c>
      <c r="I69" s="123" t="s">
        <v>799</v>
      </c>
      <c r="J69" s="123" t="s">
        <v>800</v>
      </c>
      <c r="K69" s="123" t="s">
        <v>178</v>
      </c>
      <c r="L69" s="123" t="s">
        <v>800</v>
      </c>
      <c r="M69" s="123" t="s">
        <v>178</v>
      </c>
      <c r="N69" s="123" t="s">
        <v>477</v>
      </c>
      <c r="O69" s="123" t="s">
        <v>478</v>
      </c>
      <c r="P69" s="123">
        <v>19700909</v>
      </c>
      <c r="Q69" s="123">
        <v>1970091</v>
      </c>
      <c r="R69" s="123">
        <v>21671000</v>
      </c>
      <c r="S69" s="123" t="s">
        <v>1433</v>
      </c>
    </row>
    <row r="70" spans="1:19" x14ac:dyDescent="0.2">
      <c r="A70" s="123" t="s">
        <v>1433</v>
      </c>
      <c r="B70" s="123" t="s">
        <v>470</v>
      </c>
      <c r="C70" s="123" t="s">
        <v>471</v>
      </c>
      <c r="D70" s="123" t="s">
        <v>552</v>
      </c>
      <c r="E70" s="123" t="s">
        <v>553</v>
      </c>
      <c r="F70" s="123" t="s">
        <v>569</v>
      </c>
      <c r="G70" s="123" t="s">
        <v>570</v>
      </c>
      <c r="H70" s="123" t="s">
        <v>804</v>
      </c>
      <c r="I70" s="123" t="s">
        <v>805</v>
      </c>
      <c r="J70" s="123" t="s">
        <v>82</v>
      </c>
      <c r="K70" s="123" t="s">
        <v>806</v>
      </c>
      <c r="L70" s="123" t="s">
        <v>82</v>
      </c>
      <c r="M70" s="123" t="s">
        <v>806</v>
      </c>
      <c r="N70" s="123" t="s">
        <v>477</v>
      </c>
      <c r="O70" s="123" t="s">
        <v>478</v>
      </c>
      <c r="P70" s="123">
        <v>29905455</v>
      </c>
      <c r="Q70" s="123">
        <v>2990545</v>
      </c>
      <c r="R70" s="123">
        <v>32896000</v>
      </c>
      <c r="S70" s="123" t="s">
        <v>1433</v>
      </c>
    </row>
    <row r="71" spans="1:19" x14ac:dyDescent="0.2">
      <c r="A71" s="123" t="s">
        <v>1433</v>
      </c>
      <c r="B71" s="123" t="s">
        <v>470</v>
      </c>
      <c r="C71" s="123" t="s">
        <v>471</v>
      </c>
      <c r="D71" s="123" t="s">
        <v>470</v>
      </c>
      <c r="E71" s="123" t="s">
        <v>472</v>
      </c>
      <c r="F71" s="123" t="s">
        <v>777</v>
      </c>
      <c r="G71" s="123" t="s">
        <v>778</v>
      </c>
      <c r="H71" s="123" t="s">
        <v>816</v>
      </c>
      <c r="I71" s="123" t="s">
        <v>817</v>
      </c>
      <c r="J71" s="123" t="s">
        <v>1452</v>
      </c>
      <c r="K71" s="123" t="s">
        <v>1453</v>
      </c>
      <c r="L71" s="123" t="s">
        <v>1452</v>
      </c>
      <c r="M71" s="123" t="s">
        <v>1453</v>
      </c>
      <c r="N71" s="123" t="s">
        <v>477</v>
      </c>
      <c r="O71" s="123" t="s">
        <v>478</v>
      </c>
      <c r="P71" s="123">
        <v>46009091</v>
      </c>
      <c r="Q71" s="123">
        <v>4600909</v>
      </c>
      <c r="R71" s="123">
        <v>50610000</v>
      </c>
      <c r="S71" s="123" t="s">
        <v>1433</v>
      </c>
    </row>
    <row r="72" spans="1:19" x14ac:dyDescent="0.2">
      <c r="A72" s="123" t="s">
        <v>1433</v>
      </c>
      <c r="B72" s="123" t="s">
        <v>470</v>
      </c>
      <c r="C72" s="123" t="s">
        <v>471</v>
      </c>
      <c r="D72" s="123" t="s">
        <v>482</v>
      </c>
      <c r="E72" s="123" t="s">
        <v>483</v>
      </c>
      <c r="F72" s="123" t="s">
        <v>1339</v>
      </c>
      <c r="G72" s="123" t="s">
        <v>1340</v>
      </c>
      <c r="H72" s="123" t="s">
        <v>1454</v>
      </c>
      <c r="I72" s="123" t="s">
        <v>1455</v>
      </c>
      <c r="J72" s="123" t="s">
        <v>1456</v>
      </c>
      <c r="K72" s="123" t="s">
        <v>1457</v>
      </c>
      <c r="L72" s="123" t="s">
        <v>1456</v>
      </c>
      <c r="M72" s="123" t="s">
        <v>1457</v>
      </c>
      <c r="N72" s="123" t="s">
        <v>477</v>
      </c>
      <c r="O72" s="123" t="s">
        <v>478</v>
      </c>
      <c r="P72" s="123">
        <v>25371818</v>
      </c>
      <c r="Q72" s="123">
        <v>2537182</v>
      </c>
      <c r="R72" s="123">
        <v>27909000</v>
      </c>
      <c r="S72" s="123" t="s">
        <v>1433</v>
      </c>
    </row>
    <row r="73" spans="1:19" x14ac:dyDescent="0.2">
      <c r="A73" s="123" t="s">
        <v>1433</v>
      </c>
      <c r="B73" s="123" t="s">
        <v>470</v>
      </c>
      <c r="C73" s="123" t="s">
        <v>471</v>
      </c>
      <c r="D73" s="123" t="s">
        <v>470</v>
      </c>
      <c r="E73" s="123" t="s">
        <v>472</v>
      </c>
      <c r="F73" s="123" t="s">
        <v>777</v>
      </c>
      <c r="G73" s="123" t="s">
        <v>778</v>
      </c>
      <c r="H73" s="123" t="s">
        <v>1458</v>
      </c>
      <c r="I73" s="123" t="s">
        <v>1459</v>
      </c>
      <c r="J73" s="123" t="s">
        <v>65</v>
      </c>
      <c r="K73" s="123" t="s">
        <v>66</v>
      </c>
      <c r="L73" s="123" t="s">
        <v>65</v>
      </c>
      <c r="M73" s="123" t="s">
        <v>66</v>
      </c>
      <c r="N73" s="123" t="s">
        <v>477</v>
      </c>
      <c r="O73" s="123" t="s">
        <v>478</v>
      </c>
      <c r="P73" s="123">
        <v>25948000</v>
      </c>
      <c r="Q73" s="123">
        <v>2594800</v>
      </c>
      <c r="R73" s="123">
        <v>28542800</v>
      </c>
      <c r="S73" s="123" t="s">
        <v>1433</v>
      </c>
    </row>
    <row r="74" spans="1:19" x14ac:dyDescent="0.2">
      <c r="A74" s="123" t="s">
        <v>1433</v>
      </c>
      <c r="B74" s="123" t="s">
        <v>470</v>
      </c>
      <c r="C74" s="123" t="s">
        <v>471</v>
      </c>
      <c r="D74" s="123" t="s">
        <v>552</v>
      </c>
      <c r="E74" s="123" t="s">
        <v>553</v>
      </c>
      <c r="F74" s="123" t="s">
        <v>762</v>
      </c>
      <c r="G74" s="123" t="s">
        <v>763</v>
      </c>
      <c r="H74" s="123" t="s">
        <v>1460</v>
      </c>
      <c r="I74" s="123" t="s">
        <v>1461</v>
      </c>
      <c r="J74" s="123" t="s">
        <v>849</v>
      </c>
      <c r="K74" s="123" t="s">
        <v>387</v>
      </c>
      <c r="L74" s="123" t="s">
        <v>849</v>
      </c>
      <c r="M74" s="123" t="s">
        <v>387</v>
      </c>
      <c r="N74" s="123" t="s">
        <v>477</v>
      </c>
      <c r="O74" s="123" t="s">
        <v>478</v>
      </c>
      <c r="P74" s="123">
        <v>26002727</v>
      </c>
      <c r="Q74" s="123">
        <v>2600273</v>
      </c>
      <c r="R74" s="123">
        <v>28603000</v>
      </c>
      <c r="S74" s="123" t="s">
        <v>1433</v>
      </c>
    </row>
    <row r="75" spans="1:19" x14ac:dyDescent="0.2">
      <c r="A75" s="123" t="s">
        <v>1433</v>
      </c>
      <c r="B75" s="123" t="s">
        <v>470</v>
      </c>
      <c r="C75" s="123" t="s">
        <v>471</v>
      </c>
      <c r="D75" s="123" t="s">
        <v>492</v>
      </c>
      <c r="E75" s="123" t="s">
        <v>493</v>
      </c>
      <c r="F75" s="123" t="s">
        <v>671</v>
      </c>
      <c r="G75" s="123" t="s">
        <v>672</v>
      </c>
      <c r="H75" s="123" t="s">
        <v>1462</v>
      </c>
      <c r="I75" s="123" t="s">
        <v>1463</v>
      </c>
      <c r="J75" s="123" t="s">
        <v>1208</v>
      </c>
      <c r="K75" s="123" t="s">
        <v>431</v>
      </c>
      <c r="L75" s="123" t="s">
        <v>1208</v>
      </c>
      <c r="M75" s="123" t="s">
        <v>431</v>
      </c>
      <c r="N75" s="123" t="s">
        <v>477</v>
      </c>
      <c r="O75" s="123" t="s">
        <v>478</v>
      </c>
      <c r="P75" s="123">
        <v>1363636</v>
      </c>
      <c r="Q75" s="123">
        <v>136364</v>
      </c>
      <c r="R75" s="123">
        <v>1500000</v>
      </c>
      <c r="S75" s="123" t="s">
        <v>1433</v>
      </c>
    </row>
    <row r="76" spans="1:19" x14ac:dyDescent="0.2">
      <c r="A76" s="123" t="s">
        <v>1433</v>
      </c>
      <c r="B76" s="123" t="s">
        <v>470</v>
      </c>
      <c r="C76" s="123" t="s">
        <v>471</v>
      </c>
      <c r="D76" s="123" t="s">
        <v>470</v>
      </c>
      <c r="E76" s="123" t="s">
        <v>472</v>
      </c>
      <c r="F76" s="123" t="s">
        <v>685</v>
      </c>
      <c r="G76" s="123" t="s">
        <v>686</v>
      </c>
      <c r="H76" s="123" t="s">
        <v>821</v>
      </c>
      <c r="I76" s="123" t="s">
        <v>822</v>
      </c>
      <c r="J76" s="123" t="s">
        <v>147</v>
      </c>
      <c r="K76" s="123" t="s">
        <v>148</v>
      </c>
      <c r="L76" s="123" t="s">
        <v>147</v>
      </c>
      <c r="M76" s="123" t="s">
        <v>148</v>
      </c>
      <c r="N76" s="123" t="s">
        <v>477</v>
      </c>
      <c r="O76" s="123" t="s">
        <v>478</v>
      </c>
      <c r="P76" s="123">
        <v>5675455</v>
      </c>
      <c r="Q76" s="123">
        <v>567545</v>
      </c>
      <c r="R76" s="123">
        <v>6243000</v>
      </c>
      <c r="S76" s="123" t="s">
        <v>1433</v>
      </c>
    </row>
    <row r="77" spans="1:19" x14ac:dyDescent="0.2">
      <c r="A77" s="123" t="s">
        <v>1433</v>
      </c>
      <c r="B77" s="123" t="s">
        <v>470</v>
      </c>
      <c r="C77" s="123" t="s">
        <v>471</v>
      </c>
      <c r="D77" s="123" t="s">
        <v>482</v>
      </c>
      <c r="E77" s="123" t="s">
        <v>483</v>
      </c>
      <c r="F77" s="123" t="s">
        <v>1339</v>
      </c>
      <c r="G77" s="123" t="s">
        <v>1340</v>
      </c>
      <c r="H77" s="123" t="s">
        <v>1403</v>
      </c>
      <c r="I77" s="123" t="s">
        <v>1404</v>
      </c>
      <c r="J77" s="123" t="s">
        <v>1405</v>
      </c>
      <c r="K77" s="123" t="s">
        <v>427</v>
      </c>
      <c r="L77" s="123" t="s">
        <v>1405</v>
      </c>
      <c r="M77" s="123" t="s">
        <v>427</v>
      </c>
      <c r="N77" s="123" t="s">
        <v>477</v>
      </c>
      <c r="O77" s="123" t="s">
        <v>478</v>
      </c>
      <c r="P77" s="123">
        <v>33463636</v>
      </c>
      <c r="Q77" s="123">
        <v>3346364</v>
      </c>
      <c r="R77" s="123">
        <v>36810000</v>
      </c>
      <c r="S77" s="123" t="s">
        <v>1433</v>
      </c>
    </row>
    <row r="78" spans="1:19" x14ac:dyDescent="0.2">
      <c r="A78" s="123" t="s">
        <v>1433</v>
      </c>
      <c r="B78" s="123" t="s">
        <v>470</v>
      </c>
      <c r="C78" s="123" t="s">
        <v>471</v>
      </c>
      <c r="D78" s="123" t="s">
        <v>552</v>
      </c>
      <c r="E78" s="123" t="s">
        <v>553</v>
      </c>
      <c r="F78" s="123" t="s">
        <v>730</v>
      </c>
      <c r="G78" s="123" t="s">
        <v>731</v>
      </c>
      <c r="H78" s="123" t="s">
        <v>1409</v>
      </c>
      <c r="I78" s="123" t="s">
        <v>1410</v>
      </c>
      <c r="J78" s="123" t="s">
        <v>1411</v>
      </c>
      <c r="K78" s="123" t="s">
        <v>438</v>
      </c>
      <c r="L78" s="123" t="s">
        <v>1411</v>
      </c>
      <c r="M78" s="123" t="s">
        <v>438</v>
      </c>
      <c r="N78" s="123" t="s">
        <v>477</v>
      </c>
      <c r="O78" s="123" t="s">
        <v>478</v>
      </c>
      <c r="P78" s="123">
        <v>6779091</v>
      </c>
      <c r="Q78" s="123">
        <v>677909</v>
      </c>
      <c r="R78" s="123">
        <v>7457000</v>
      </c>
      <c r="S78" s="123" t="s">
        <v>1433</v>
      </c>
    </row>
    <row r="79" spans="1:19" x14ac:dyDescent="0.2">
      <c r="A79" s="123" t="s">
        <v>1433</v>
      </c>
      <c r="B79" s="123" t="s">
        <v>492</v>
      </c>
      <c r="C79" s="123" t="s">
        <v>1065</v>
      </c>
      <c r="D79" s="123" t="s">
        <v>1066</v>
      </c>
      <c r="E79" s="123" t="s">
        <v>1067</v>
      </c>
      <c r="F79" s="123" t="s">
        <v>1068</v>
      </c>
      <c r="G79" s="123" t="s">
        <v>1069</v>
      </c>
      <c r="H79" s="123" t="s">
        <v>1070</v>
      </c>
      <c r="I79" s="123" t="s">
        <v>1071</v>
      </c>
      <c r="J79" s="123" t="s">
        <v>174</v>
      </c>
      <c r="K79" s="123" t="s">
        <v>175</v>
      </c>
      <c r="L79" s="123" t="s">
        <v>174</v>
      </c>
      <c r="M79" s="123" t="s">
        <v>175</v>
      </c>
      <c r="N79" s="123" t="s">
        <v>477</v>
      </c>
      <c r="O79" s="123" t="s">
        <v>478</v>
      </c>
      <c r="P79" s="123">
        <v>3994545</v>
      </c>
      <c r="Q79" s="123">
        <v>399455</v>
      </c>
      <c r="R79" s="123">
        <v>4394000</v>
      </c>
      <c r="S79" s="123" t="s">
        <v>1433</v>
      </c>
    </row>
    <row r="80" spans="1:19" x14ac:dyDescent="0.2">
      <c r="A80" s="123" t="s">
        <v>1433</v>
      </c>
      <c r="B80" s="123" t="s">
        <v>470</v>
      </c>
      <c r="C80" s="123" t="s">
        <v>471</v>
      </c>
      <c r="D80" s="123" t="s">
        <v>492</v>
      </c>
      <c r="E80" s="123" t="s">
        <v>493</v>
      </c>
      <c r="F80" s="123" t="s">
        <v>697</v>
      </c>
      <c r="G80" s="123" t="s">
        <v>698</v>
      </c>
      <c r="H80" s="123" t="s">
        <v>826</v>
      </c>
      <c r="I80" s="123" t="s">
        <v>827</v>
      </c>
      <c r="J80" s="123" t="s">
        <v>828</v>
      </c>
      <c r="K80" s="123" t="s">
        <v>168</v>
      </c>
      <c r="L80" s="123" t="s">
        <v>828</v>
      </c>
      <c r="M80" s="123" t="s">
        <v>168</v>
      </c>
      <c r="N80" s="123" t="s">
        <v>477</v>
      </c>
      <c r="O80" s="123" t="s">
        <v>478</v>
      </c>
      <c r="P80" s="123">
        <v>-6829091</v>
      </c>
      <c r="Q80" s="123">
        <v>-682909</v>
      </c>
      <c r="R80" s="123">
        <v>-7512000</v>
      </c>
      <c r="S80" s="123" t="s">
        <v>1433</v>
      </c>
    </row>
    <row r="81" spans="1:19" x14ac:dyDescent="0.2">
      <c r="A81" s="123" t="s">
        <v>1433</v>
      </c>
      <c r="B81" s="123" t="s">
        <v>470</v>
      </c>
      <c r="C81" s="123" t="s">
        <v>471</v>
      </c>
      <c r="D81" s="123" t="s">
        <v>492</v>
      </c>
      <c r="E81" s="123" t="s">
        <v>493</v>
      </c>
      <c r="F81" s="123" t="s">
        <v>697</v>
      </c>
      <c r="G81" s="123" t="s">
        <v>698</v>
      </c>
      <c r="H81" s="123" t="s">
        <v>826</v>
      </c>
      <c r="I81" s="123" t="s">
        <v>827</v>
      </c>
      <c r="J81" s="123" t="s">
        <v>95</v>
      </c>
      <c r="K81" s="123" t="s">
        <v>96</v>
      </c>
      <c r="L81" s="123" t="s">
        <v>95</v>
      </c>
      <c r="M81" s="123" t="s">
        <v>96</v>
      </c>
      <c r="N81" s="123" t="s">
        <v>477</v>
      </c>
      <c r="O81" s="123" t="s">
        <v>478</v>
      </c>
      <c r="P81" s="123">
        <v>49946364</v>
      </c>
      <c r="Q81" s="123">
        <v>4994636</v>
      </c>
      <c r="R81" s="123">
        <v>54941000</v>
      </c>
      <c r="S81" s="123" t="s">
        <v>1433</v>
      </c>
    </row>
    <row r="82" spans="1:19" x14ac:dyDescent="0.2">
      <c r="A82" s="123" t="s">
        <v>1433</v>
      </c>
      <c r="B82" s="123" t="s">
        <v>470</v>
      </c>
      <c r="C82" s="123" t="s">
        <v>471</v>
      </c>
      <c r="D82" s="123" t="s">
        <v>552</v>
      </c>
      <c r="E82" s="123" t="s">
        <v>553</v>
      </c>
      <c r="F82" s="123" t="s">
        <v>554</v>
      </c>
      <c r="G82" s="123" t="s">
        <v>555</v>
      </c>
      <c r="H82" s="123" t="s">
        <v>1081</v>
      </c>
      <c r="I82" s="123" t="s">
        <v>1082</v>
      </c>
      <c r="J82" s="123" t="s">
        <v>1083</v>
      </c>
      <c r="K82" s="123" t="s">
        <v>186</v>
      </c>
      <c r="L82" s="123" t="s">
        <v>1083</v>
      </c>
      <c r="M82" s="123" t="s">
        <v>186</v>
      </c>
      <c r="N82" s="123" t="s">
        <v>477</v>
      </c>
      <c r="O82" s="123" t="s">
        <v>478</v>
      </c>
      <c r="P82" s="123">
        <v>3054545</v>
      </c>
      <c r="Q82" s="123">
        <v>305455</v>
      </c>
      <c r="R82" s="123">
        <v>3360000</v>
      </c>
      <c r="S82" s="123" t="s">
        <v>1433</v>
      </c>
    </row>
    <row r="83" spans="1:19" x14ac:dyDescent="0.2">
      <c r="A83" s="123" t="s">
        <v>1433</v>
      </c>
      <c r="B83" s="123" t="s">
        <v>470</v>
      </c>
      <c r="C83" s="123" t="s">
        <v>471</v>
      </c>
      <c r="D83" s="123" t="s">
        <v>552</v>
      </c>
      <c r="E83" s="123" t="s">
        <v>553</v>
      </c>
      <c r="F83" s="123" t="s">
        <v>762</v>
      </c>
      <c r="G83" s="123" t="s">
        <v>763</v>
      </c>
      <c r="H83" s="123" t="s">
        <v>835</v>
      </c>
      <c r="I83" s="123" t="s">
        <v>836</v>
      </c>
      <c r="J83" s="123" t="s">
        <v>155</v>
      </c>
      <c r="K83" s="123" t="s">
        <v>156</v>
      </c>
      <c r="L83" s="123" t="s">
        <v>155</v>
      </c>
      <c r="M83" s="123" t="s">
        <v>156</v>
      </c>
      <c r="N83" s="123" t="s">
        <v>477</v>
      </c>
      <c r="O83" s="123" t="s">
        <v>478</v>
      </c>
      <c r="P83" s="123">
        <v>21011818</v>
      </c>
      <c r="Q83" s="123">
        <v>2101182</v>
      </c>
      <c r="R83" s="123">
        <v>23113000</v>
      </c>
      <c r="S83" s="123" t="s">
        <v>1433</v>
      </c>
    </row>
    <row r="84" spans="1:19" x14ac:dyDescent="0.2">
      <c r="A84" s="123" t="s">
        <v>1433</v>
      </c>
      <c r="B84" s="123" t="s">
        <v>492</v>
      </c>
      <c r="C84" s="123" t="s">
        <v>1065</v>
      </c>
      <c r="D84" s="123" t="s">
        <v>1066</v>
      </c>
      <c r="E84" s="123" t="s">
        <v>1067</v>
      </c>
      <c r="F84" s="123" t="s">
        <v>1464</v>
      </c>
      <c r="G84" s="123" t="s">
        <v>1465</v>
      </c>
      <c r="H84" s="123" t="s">
        <v>1466</v>
      </c>
      <c r="I84" s="123" t="s">
        <v>1467</v>
      </c>
      <c r="J84" s="123" t="s">
        <v>1468</v>
      </c>
      <c r="K84" s="123" t="s">
        <v>1469</v>
      </c>
      <c r="L84" s="123" t="s">
        <v>1468</v>
      </c>
      <c r="M84" s="123" t="s">
        <v>1469</v>
      </c>
      <c r="N84" s="123" t="s">
        <v>477</v>
      </c>
      <c r="O84" s="123" t="s">
        <v>478</v>
      </c>
      <c r="P84" s="123">
        <v>11956364</v>
      </c>
      <c r="Q84" s="123">
        <v>1195636</v>
      </c>
      <c r="R84" s="123">
        <v>13152000</v>
      </c>
      <c r="S84" s="123" t="s">
        <v>1433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"/>
  <sheetViews>
    <sheetView workbookViewId="0">
      <selection activeCell="L236" sqref="L236"/>
    </sheetView>
  </sheetViews>
  <sheetFormatPr defaultRowHeight="12.75" x14ac:dyDescent="0.2"/>
  <sheetData/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2"/>
  <sheetViews>
    <sheetView showGridLines="0" zoomScale="85" zoomScaleNormal="85" workbookViewId="0">
      <selection activeCell="X9" sqref="X9"/>
    </sheetView>
  </sheetViews>
  <sheetFormatPr defaultColWidth="9.140625" defaultRowHeight="20.100000000000001" customHeight="1" x14ac:dyDescent="0.2"/>
  <cols>
    <col min="1" max="1" width="4.5703125" style="81" customWidth="1"/>
    <col min="2" max="2" width="10.140625" style="81" customWidth="1"/>
    <col min="3" max="3" width="13.28515625" style="82" customWidth="1"/>
    <col min="4" max="4" width="20" style="82" customWidth="1"/>
    <col min="5" max="5" width="9.140625" style="82"/>
    <col min="6" max="16384" width="9.140625" style="81"/>
  </cols>
  <sheetData>
    <row r="1" spans="1:5" ht="20.100000000000001" customHeight="1" x14ac:dyDescent="0.2">
      <c r="A1" s="88" t="s">
        <v>409</v>
      </c>
    </row>
    <row r="2" spans="1:5" ht="20.100000000000001" customHeight="1" x14ac:dyDescent="0.2">
      <c r="A2" s="88"/>
      <c r="B2" s="81" t="s">
        <v>412</v>
      </c>
    </row>
    <row r="3" spans="1:5" ht="20.100000000000001" customHeight="1" x14ac:dyDescent="0.2">
      <c r="B3" s="81" t="s">
        <v>410</v>
      </c>
    </row>
    <row r="4" spans="1:5" ht="20.100000000000001" customHeight="1" x14ac:dyDescent="0.2">
      <c r="B4" s="81" t="s">
        <v>411</v>
      </c>
    </row>
    <row r="5" spans="1:5" ht="20.100000000000001" customHeight="1" x14ac:dyDescent="0.2">
      <c r="B5" s="81" t="s">
        <v>413</v>
      </c>
    </row>
    <row r="6" spans="1:5" ht="20.100000000000001" customHeight="1" x14ac:dyDescent="0.2">
      <c r="B6" s="81" t="s">
        <v>414</v>
      </c>
    </row>
    <row r="7" spans="1:5" ht="20.100000000000001" customHeight="1" x14ac:dyDescent="0.2">
      <c r="B7" s="81" t="s">
        <v>415</v>
      </c>
    </row>
    <row r="8" spans="1:5" ht="20.100000000000001" customHeight="1" x14ac:dyDescent="0.2">
      <c r="B8" s="81" t="s">
        <v>416</v>
      </c>
    </row>
    <row r="9" spans="1:5" ht="20.100000000000001" customHeight="1" x14ac:dyDescent="0.2">
      <c r="B9" s="81" t="s">
        <v>417</v>
      </c>
    </row>
    <row r="10" spans="1:5" ht="20.100000000000001" customHeight="1" x14ac:dyDescent="0.2">
      <c r="B10" s="81" t="s">
        <v>418</v>
      </c>
    </row>
    <row r="12" spans="1:5" ht="20.100000000000001" customHeight="1" x14ac:dyDescent="0.2">
      <c r="A12" s="88" t="s">
        <v>401</v>
      </c>
    </row>
    <row r="13" spans="1:5" ht="20.100000000000001" customHeight="1" x14ac:dyDescent="0.2">
      <c r="B13" s="185" t="s">
        <v>405</v>
      </c>
      <c r="C13" s="186"/>
      <c r="D13" s="83" t="s">
        <v>406</v>
      </c>
      <c r="E13" s="80" t="s">
        <v>407</v>
      </c>
    </row>
    <row r="14" spans="1:5" ht="20.100000000000001" customHeight="1" x14ac:dyDescent="0.2">
      <c r="B14" s="182" t="s">
        <v>392</v>
      </c>
      <c r="C14" s="180" t="s">
        <v>403</v>
      </c>
      <c r="D14" s="84" t="s">
        <v>399</v>
      </c>
      <c r="E14" s="85" t="s">
        <v>393</v>
      </c>
    </row>
    <row r="15" spans="1:5" ht="20.100000000000001" customHeight="1" x14ac:dyDescent="0.2">
      <c r="B15" s="182"/>
      <c r="C15" s="181"/>
      <c r="D15" s="84" t="s">
        <v>398</v>
      </c>
      <c r="E15" s="85" t="s">
        <v>394</v>
      </c>
    </row>
    <row r="16" spans="1:5" ht="20.100000000000001" customHeight="1" x14ac:dyDescent="0.2">
      <c r="B16" s="182"/>
      <c r="C16" s="181"/>
      <c r="D16" s="84" t="s">
        <v>396</v>
      </c>
      <c r="E16" s="85" t="s">
        <v>394</v>
      </c>
    </row>
    <row r="17" spans="2:5" ht="20.100000000000001" customHeight="1" x14ac:dyDescent="0.2">
      <c r="B17" s="182"/>
      <c r="C17" s="181"/>
      <c r="D17" s="84" t="s">
        <v>402</v>
      </c>
      <c r="E17" s="85" t="s">
        <v>395</v>
      </c>
    </row>
    <row r="18" spans="2:5" ht="20.100000000000001" customHeight="1" x14ac:dyDescent="0.2">
      <c r="B18" s="182" t="s">
        <v>397</v>
      </c>
      <c r="C18" s="180" t="s">
        <v>404</v>
      </c>
      <c r="D18" s="84" t="s">
        <v>399</v>
      </c>
      <c r="E18" s="85" t="s">
        <v>393</v>
      </c>
    </row>
    <row r="19" spans="2:5" ht="20.100000000000001" customHeight="1" x14ac:dyDescent="0.2">
      <c r="B19" s="182"/>
      <c r="C19" s="181"/>
      <c r="D19" s="84" t="s">
        <v>400</v>
      </c>
      <c r="E19" s="85" t="s">
        <v>394</v>
      </c>
    </row>
    <row r="20" spans="2:5" ht="20.100000000000001" customHeight="1" x14ac:dyDescent="0.2">
      <c r="B20" s="183"/>
      <c r="C20" s="184"/>
      <c r="D20" s="86" t="s">
        <v>408</v>
      </c>
      <c r="E20" s="87" t="s">
        <v>395</v>
      </c>
    </row>
    <row r="22" spans="2:5" ht="20.100000000000001" customHeight="1" x14ac:dyDescent="0.2">
      <c r="D22" s="81"/>
    </row>
  </sheetData>
  <mergeCells count="5">
    <mergeCell ref="C14:C17"/>
    <mergeCell ref="B14:B17"/>
    <mergeCell ref="B18:B20"/>
    <mergeCell ref="C18:C20"/>
    <mergeCell ref="B13:C13"/>
  </mergeCells>
  <phoneticPr fontId="2" type="noConversion"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K10"/>
  <sheetViews>
    <sheetView showGridLines="0" workbookViewId="0">
      <selection activeCell="I19" sqref="I19"/>
    </sheetView>
  </sheetViews>
  <sheetFormatPr defaultRowHeight="12.75" x14ac:dyDescent="0.2"/>
  <cols>
    <col min="1" max="1" width="4.140625" customWidth="1"/>
    <col min="2" max="2" width="11.7109375" bestFit="1" customWidth="1"/>
    <col min="3" max="3" width="9.5703125" bestFit="1" customWidth="1"/>
    <col min="4" max="4" width="11" bestFit="1" customWidth="1"/>
    <col min="5" max="5" width="6.42578125" bestFit="1" customWidth="1"/>
    <col min="6" max="6" width="8.42578125" bestFit="1" customWidth="1"/>
    <col min="7" max="8" width="7.7109375" bestFit="1" customWidth="1"/>
    <col min="9" max="9" width="13.42578125" customWidth="1"/>
    <col min="10" max="10" width="6.28515625" bestFit="1" customWidth="1"/>
    <col min="11" max="11" width="79.140625" bestFit="1" customWidth="1"/>
  </cols>
  <sheetData>
    <row r="2" spans="2:11" ht="25.15" customHeight="1" x14ac:dyDescent="0.2">
      <c r="B2" s="128" t="s">
        <v>159</v>
      </c>
      <c r="C2" s="129" t="s">
        <v>157</v>
      </c>
      <c r="D2" s="129" t="s">
        <v>158</v>
      </c>
      <c r="E2" s="129" t="s">
        <v>463</v>
      </c>
      <c r="F2" s="129" t="s">
        <v>1478</v>
      </c>
      <c r="G2" s="129" t="s">
        <v>1479</v>
      </c>
      <c r="H2" s="130" t="s">
        <v>1480</v>
      </c>
      <c r="I2" s="129" t="s">
        <v>458</v>
      </c>
      <c r="J2" s="129" t="s">
        <v>1481</v>
      </c>
      <c r="K2" s="131" t="s">
        <v>1482</v>
      </c>
    </row>
    <row r="3" spans="2:11" ht="25.15" customHeight="1" x14ac:dyDescent="0.2">
      <c r="B3" s="193">
        <v>1288206410</v>
      </c>
      <c r="C3" s="187">
        <v>10033023</v>
      </c>
      <c r="D3" s="187" t="s">
        <v>388</v>
      </c>
      <c r="E3" s="187" t="s">
        <v>1483</v>
      </c>
      <c r="F3" s="187" t="s">
        <v>1484</v>
      </c>
      <c r="G3" s="187">
        <v>60</v>
      </c>
      <c r="H3" s="187"/>
      <c r="I3" s="187" t="s">
        <v>686</v>
      </c>
      <c r="J3" s="190" t="s">
        <v>1057</v>
      </c>
      <c r="K3" s="133" t="s">
        <v>1485</v>
      </c>
    </row>
    <row r="4" spans="2:11" ht="25.15" customHeight="1" x14ac:dyDescent="0.2">
      <c r="B4" s="194"/>
      <c r="C4" s="189"/>
      <c r="D4" s="189"/>
      <c r="E4" s="189"/>
      <c r="F4" s="189"/>
      <c r="G4" s="189"/>
      <c r="H4" s="189"/>
      <c r="I4" s="189"/>
      <c r="J4" s="191"/>
      <c r="K4" s="134"/>
    </row>
    <row r="5" spans="2:11" ht="25.15" customHeight="1" x14ac:dyDescent="0.2">
      <c r="B5" s="194"/>
      <c r="C5" s="189"/>
      <c r="D5" s="189"/>
      <c r="E5" s="188"/>
      <c r="F5" s="188"/>
      <c r="G5" s="188"/>
      <c r="H5" s="188"/>
      <c r="I5" s="188"/>
      <c r="J5" s="192"/>
      <c r="K5" s="133" t="s">
        <v>1486</v>
      </c>
    </row>
    <row r="6" spans="2:11" ht="25.15" customHeight="1" x14ac:dyDescent="0.2">
      <c r="B6" s="195"/>
      <c r="C6" s="188"/>
      <c r="D6" s="188"/>
      <c r="E6" s="136" t="s">
        <v>477</v>
      </c>
      <c r="F6" s="136" t="s">
        <v>478</v>
      </c>
      <c r="G6" s="136">
        <v>40</v>
      </c>
      <c r="H6" s="136"/>
      <c r="I6" s="136" t="s">
        <v>686</v>
      </c>
      <c r="J6" s="136" t="s">
        <v>1057</v>
      </c>
      <c r="K6" s="135" t="s">
        <v>1487</v>
      </c>
    </row>
    <row r="7" spans="2:11" ht="25.15" customHeight="1" x14ac:dyDescent="0.2">
      <c r="B7" s="193">
        <v>2178200564</v>
      </c>
      <c r="C7" s="187">
        <v>10035306</v>
      </c>
      <c r="D7" s="187" t="s">
        <v>245</v>
      </c>
      <c r="E7" s="187" t="s">
        <v>1483</v>
      </c>
      <c r="F7" s="187" t="s">
        <v>1484</v>
      </c>
      <c r="G7" s="187">
        <v>120</v>
      </c>
      <c r="H7" s="187" t="s">
        <v>1488</v>
      </c>
      <c r="I7" s="187" t="s">
        <v>495</v>
      </c>
      <c r="J7" s="187" t="s">
        <v>752</v>
      </c>
      <c r="K7" s="132" t="s">
        <v>1489</v>
      </c>
    </row>
    <row r="8" spans="2:11" ht="25.15" customHeight="1" x14ac:dyDescent="0.2">
      <c r="B8" s="195"/>
      <c r="C8" s="188"/>
      <c r="D8" s="188"/>
      <c r="E8" s="188"/>
      <c r="F8" s="188"/>
      <c r="G8" s="188"/>
      <c r="H8" s="188"/>
      <c r="I8" s="188"/>
      <c r="J8" s="188"/>
      <c r="K8" s="137" t="s">
        <v>1490</v>
      </c>
    </row>
    <row r="9" spans="2:11" ht="25.15" customHeight="1" x14ac:dyDescent="0.2">
      <c r="B9" s="138">
        <v>6058202148</v>
      </c>
      <c r="C9" s="136">
        <v>10040635</v>
      </c>
      <c r="D9" s="136" t="s">
        <v>1491</v>
      </c>
      <c r="E9" s="136" t="s">
        <v>477</v>
      </c>
      <c r="F9" s="136" t="s">
        <v>478</v>
      </c>
      <c r="G9" s="136">
        <v>40</v>
      </c>
      <c r="H9" s="136"/>
      <c r="I9" s="136" t="s">
        <v>790</v>
      </c>
      <c r="J9" s="136" t="s">
        <v>811</v>
      </c>
      <c r="K9" s="137" t="s">
        <v>1492</v>
      </c>
    </row>
    <row r="10" spans="2:11" ht="25.15" customHeight="1" x14ac:dyDescent="0.2">
      <c r="B10" s="138">
        <v>6178208373</v>
      </c>
      <c r="C10" s="136">
        <v>10041601</v>
      </c>
      <c r="D10" s="136" t="s">
        <v>1493</v>
      </c>
      <c r="E10" s="136" t="s">
        <v>477</v>
      </c>
      <c r="F10" s="136" t="s">
        <v>478</v>
      </c>
      <c r="G10" s="136">
        <v>40</v>
      </c>
      <c r="H10" s="136"/>
      <c r="I10" s="136" t="s">
        <v>790</v>
      </c>
      <c r="J10" s="136" t="s">
        <v>1198</v>
      </c>
      <c r="K10" s="137" t="s">
        <v>1492</v>
      </c>
    </row>
  </sheetData>
  <mergeCells count="18">
    <mergeCell ref="G7:G8"/>
    <mergeCell ref="H7:H8"/>
    <mergeCell ref="B3:B6"/>
    <mergeCell ref="C3:C6"/>
    <mergeCell ref="D3:D6"/>
    <mergeCell ref="E3:E5"/>
    <mergeCell ref="F3:F5"/>
    <mergeCell ref="G3:G5"/>
    <mergeCell ref="B7:B8"/>
    <mergeCell ref="C7:C8"/>
    <mergeCell ref="D7:D8"/>
    <mergeCell ref="E7:E8"/>
    <mergeCell ref="F7:F8"/>
    <mergeCell ref="I7:I8"/>
    <mergeCell ref="J7:J8"/>
    <mergeCell ref="H3:H5"/>
    <mergeCell ref="I3:I5"/>
    <mergeCell ref="J3:J5"/>
  </mergeCells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141"/>
  <sheetViews>
    <sheetView topLeftCell="A7" zoomScaleNormal="100" workbookViewId="0">
      <selection activeCell="C30" sqref="C30"/>
    </sheetView>
  </sheetViews>
  <sheetFormatPr defaultRowHeight="12.75" x14ac:dyDescent="0.2"/>
  <cols>
    <col min="1" max="1" width="11.42578125" bestFit="1" customWidth="1"/>
    <col min="2" max="2" width="52.7109375" bestFit="1" customWidth="1"/>
    <col min="3" max="3" width="12.7109375" style="126" bestFit="1" customWidth="1"/>
    <col min="4" max="5" width="13.140625" style="126" bestFit="1" customWidth="1"/>
  </cols>
  <sheetData>
    <row r="3" spans="1:5" x14ac:dyDescent="0.2">
      <c r="A3" s="124" t="s">
        <v>157</v>
      </c>
      <c r="B3" s="124" t="s">
        <v>1497</v>
      </c>
      <c r="C3" s="126" t="s">
        <v>1505</v>
      </c>
      <c r="D3" s="126" t="s">
        <v>1506</v>
      </c>
      <c r="E3" s="126" t="s">
        <v>1507</v>
      </c>
    </row>
    <row r="4" spans="1:5" x14ac:dyDescent="0.2">
      <c r="A4">
        <v>10002829</v>
      </c>
      <c r="B4" t="s">
        <v>179</v>
      </c>
      <c r="C4" s="126">
        <v>1553.1581000000001</v>
      </c>
      <c r="D4" s="126">
        <v>50.768000000000001</v>
      </c>
      <c r="E4" s="126">
        <v>26.527999999999999</v>
      </c>
    </row>
    <row r="5" spans="1:5" x14ac:dyDescent="0.2">
      <c r="A5">
        <v>10003599</v>
      </c>
      <c r="B5" t="s">
        <v>115</v>
      </c>
      <c r="C5" s="126">
        <v>272.04599999999999</v>
      </c>
      <c r="D5" s="126">
        <v>50.429000000000002</v>
      </c>
      <c r="E5" s="126">
        <v>0</v>
      </c>
    </row>
    <row r="6" spans="1:5" x14ac:dyDescent="0.2">
      <c r="A6">
        <v>10003837</v>
      </c>
      <c r="B6" t="s">
        <v>30</v>
      </c>
      <c r="C6" s="126">
        <v>630.20399999999995</v>
      </c>
      <c r="D6" s="126">
        <v>290.93100000000004</v>
      </c>
      <c r="E6" s="126">
        <v>263.8</v>
      </c>
    </row>
    <row r="7" spans="1:5" x14ac:dyDescent="0.2">
      <c r="A7">
        <v>10006513</v>
      </c>
      <c r="B7" t="s">
        <v>170</v>
      </c>
      <c r="C7" s="126">
        <v>198</v>
      </c>
      <c r="D7" s="126">
        <v>4.5869999999999997</v>
      </c>
      <c r="E7" s="126">
        <v>2.4420000000000002</v>
      </c>
    </row>
    <row r="8" spans="1:5" x14ac:dyDescent="0.2">
      <c r="A8">
        <v>10006915</v>
      </c>
      <c r="B8" t="s">
        <v>134</v>
      </c>
      <c r="C8" s="126">
        <v>1054.308548</v>
      </c>
      <c r="D8" s="126">
        <v>38.195999999999998</v>
      </c>
      <c r="E8" s="126">
        <v>28.116</v>
      </c>
    </row>
    <row r="9" spans="1:5" x14ac:dyDescent="0.2">
      <c r="A9">
        <v>10008171</v>
      </c>
      <c r="B9" t="s">
        <v>142</v>
      </c>
      <c r="C9" s="126">
        <v>476.62000000000006</v>
      </c>
      <c r="D9" s="126">
        <v>61.774000000000008</v>
      </c>
      <c r="E9" s="126">
        <v>9.6999999999999993</v>
      </c>
    </row>
    <row r="10" spans="1:5" x14ac:dyDescent="0.2">
      <c r="A10">
        <v>10008739</v>
      </c>
      <c r="B10" t="s">
        <v>132</v>
      </c>
      <c r="C10" s="126">
        <v>663.274</v>
      </c>
      <c r="D10" s="126">
        <v>35.860044000000002</v>
      </c>
      <c r="E10" s="126">
        <v>0</v>
      </c>
    </row>
    <row r="11" spans="1:5" x14ac:dyDescent="0.2">
      <c r="A11">
        <v>10014151</v>
      </c>
      <c r="B11" t="s">
        <v>167</v>
      </c>
      <c r="C11" s="126">
        <v>799.99800000000005</v>
      </c>
      <c r="D11" s="126">
        <v>95.031999999999996</v>
      </c>
      <c r="E11" s="126">
        <v>41.737000000000002</v>
      </c>
    </row>
    <row r="12" spans="1:5" x14ac:dyDescent="0.2">
      <c r="A12">
        <v>10014574</v>
      </c>
      <c r="B12" t="s">
        <v>387</v>
      </c>
      <c r="C12" s="126">
        <v>961.95799999999997</v>
      </c>
      <c r="D12" s="126">
        <v>84.14</v>
      </c>
      <c r="E12" s="126">
        <v>55.536999999999999</v>
      </c>
    </row>
    <row r="13" spans="1:5" x14ac:dyDescent="0.2">
      <c r="A13">
        <v>10014653</v>
      </c>
      <c r="B13" t="s">
        <v>164</v>
      </c>
      <c r="C13" s="126">
        <v>233.62700000000001</v>
      </c>
      <c r="D13" s="126">
        <v>7.407</v>
      </c>
      <c r="E13" s="126">
        <v>4.0110000000000001</v>
      </c>
    </row>
    <row r="14" spans="1:5" x14ac:dyDescent="0.2">
      <c r="A14">
        <v>10015909</v>
      </c>
      <c r="B14" t="s">
        <v>419</v>
      </c>
      <c r="C14" s="126">
        <v>983.75914</v>
      </c>
      <c r="D14" s="126">
        <v>25.076999999999998</v>
      </c>
      <c r="E14" s="126">
        <v>8.9440000000000008</v>
      </c>
    </row>
    <row r="15" spans="1:5" x14ac:dyDescent="0.2">
      <c r="A15">
        <v>10017056</v>
      </c>
      <c r="B15" t="s">
        <v>43</v>
      </c>
      <c r="C15" s="126">
        <v>1047.33</v>
      </c>
      <c r="D15" s="126">
        <v>7.0200000000000102</v>
      </c>
      <c r="E15" s="126">
        <v>2.2749999999999999</v>
      </c>
    </row>
    <row r="16" spans="1:5" x14ac:dyDescent="0.2">
      <c r="A16">
        <v>10019113</v>
      </c>
      <c r="B16" t="s">
        <v>420</v>
      </c>
      <c r="C16" s="126">
        <v>287.37400000000002</v>
      </c>
      <c r="D16" s="126">
        <v>3.2050000000000001</v>
      </c>
      <c r="E16" s="126">
        <v>0.94699999999999995</v>
      </c>
    </row>
    <row r="17" spans="1:8" x14ac:dyDescent="0.2">
      <c r="A17">
        <v>10019136</v>
      </c>
      <c r="B17" t="s">
        <v>1498</v>
      </c>
      <c r="C17" s="126">
        <v>98.144999999999996</v>
      </c>
      <c r="D17" s="126">
        <v>98.144999999999996</v>
      </c>
      <c r="E17" s="126">
        <v>98.144999999999996</v>
      </c>
    </row>
    <row r="18" spans="1:8" x14ac:dyDescent="0.2">
      <c r="A18">
        <v>10021506</v>
      </c>
      <c r="B18" t="s">
        <v>168</v>
      </c>
      <c r="C18" s="126">
        <v>1521.4965</v>
      </c>
      <c r="D18" s="126">
        <v>157.316</v>
      </c>
      <c r="E18" s="126">
        <v>6.6950000000000003</v>
      </c>
    </row>
    <row r="19" spans="1:8" x14ac:dyDescent="0.2">
      <c r="A19">
        <v>10021890</v>
      </c>
      <c r="B19" t="s">
        <v>6</v>
      </c>
      <c r="C19" s="126">
        <v>601.90559999999994</v>
      </c>
      <c r="D19" s="126">
        <v>184.1001</v>
      </c>
      <c r="E19" s="126">
        <v>166.1191</v>
      </c>
      <c r="H19">
        <v>1000000</v>
      </c>
    </row>
    <row r="20" spans="1:8" x14ac:dyDescent="0.2">
      <c r="A20">
        <v>10022281</v>
      </c>
      <c r="B20" t="s">
        <v>86</v>
      </c>
      <c r="C20" s="126">
        <v>206.75200000000001</v>
      </c>
      <c r="D20" s="126">
        <v>11.345000000000001</v>
      </c>
      <c r="E20" s="126">
        <v>4</v>
      </c>
      <c r="G20" s="149">
        <v>1114876000</v>
      </c>
      <c r="H20">
        <f>G20/H19</f>
        <v>1114.876</v>
      </c>
    </row>
    <row r="21" spans="1:8" x14ac:dyDescent="0.2">
      <c r="A21">
        <v>10026494</v>
      </c>
      <c r="B21" t="s">
        <v>421</v>
      </c>
      <c r="C21" s="126">
        <v>516.31819299999995</v>
      </c>
      <c r="D21" s="126">
        <v>17.974</v>
      </c>
      <c r="E21" s="126">
        <v>0</v>
      </c>
    </row>
    <row r="22" spans="1:8" x14ac:dyDescent="0.2">
      <c r="A22">
        <v>10031447</v>
      </c>
      <c r="B22" t="s">
        <v>148</v>
      </c>
      <c r="C22" s="126">
        <v>654.49540000000002</v>
      </c>
      <c r="D22" s="126">
        <v>30.804000000000002</v>
      </c>
      <c r="E22" s="126">
        <v>24.561</v>
      </c>
    </row>
    <row r="23" spans="1:8" x14ac:dyDescent="0.2">
      <c r="A23">
        <v>10031781</v>
      </c>
      <c r="B23" t="s">
        <v>62</v>
      </c>
      <c r="C23" s="126">
        <v>145</v>
      </c>
      <c r="D23" s="126">
        <v>145</v>
      </c>
      <c r="E23" s="126">
        <v>145</v>
      </c>
    </row>
    <row r="24" spans="1:8" x14ac:dyDescent="0.2">
      <c r="A24">
        <v>10031830</v>
      </c>
      <c r="B24" t="s">
        <v>163</v>
      </c>
      <c r="C24" s="126">
        <v>1560.0117</v>
      </c>
      <c r="D24" s="126">
        <v>147.61799999999999</v>
      </c>
      <c r="E24" s="126">
        <v>105.986</v>
      </c>
    </row>
    <row r="25" spans="1:8" x14ac:dyDescent="0.2">
      <c r="A25">
        <v>10032062</v>
      </c>
      <c r="B25" t="s">
        <v>1437</v>
      </c>
      <c r="C25" s="126">
        <v>232.33699999999999</v>
      </c>
      <c r="D25" s="126">
        <v>5.1820000000000004</v>
      </c>
      <c r="E25" s="126">
        <v>0</v>
      </c>
    </row>
    <row r="26" spans="1:8" x14ac:dyDescent="0.2">
      <c r="A26">
        <v>10032281</v>
      </c>
      <c r="B26" t="s">
        <v>1499</v>
      </c>
      <c r="C26" s="126">
        <v>477.86700000000002</v>
      </c>
      <c r="D26" s="126">
        <v>477.86699999999996</v>
      </c>
      <c r="E26" s="126">
        <v>477.86699999999996</v>
      </c>
    </row>
    <row r="27" spans="1:8" x14ac:dyDescent="0.2">
      <c r="A27">
        <v>10032311</v>
      </c>
      <c r="B27" t="s">
        <v>1449</v>
      </c>
      <c r="C27" s="126">
        <v>435.15855699999997</v>
      </c>
      <c r="D27" s="126">
        <v>2.528</v>
      </c>
      <c r="E27" s="126">
        <v>0</v>
      </c>
    </row>
    <row r="28" spans="1:8" x14ac:dyDescent="0.2">
      <c r="A28">
        <v>10032387</v>
      </c>
      <c r="B28" t="s">
        <v>422</v>
      </c>
      <c r="C28" s="126">
        <v>1502.824646</v>
      </c>
      <c r="D28" s="126">
        <v>12.532</v>
      </c>
      <c r="E28" s="126">
        <v>0.67600000000000005</v>
      </c>
    </row>
    <row r="29" spans="1:8" x14ac:dyDescent="0.2">
      <c r="A29">
        <v>10032388</v>
      </c>
      <c r="B29" t="s">
        <v>165</v>
      </c>
      <c r="C29" s="126">
        <v>420.22199999999998</v>
      </c>
      <c r="D29" s="126">
        <v>13.73</v>
      </c>
      <c r="E29" s="126">
        <v>6.2629999999999999</v>
      </c>
    </row>
    <row r="30" spans="1:8" x14ac:dyDescent="0.2">
      <c r="A30">
        <v>10032706</v>
      </c>
      <c r="B30" t="s">
        <v>152</v>
      </c>
      <c r="C30" s="126">
        <v>429.23500000000001</v>
      </c>
      <c r="D30" s="126">
        <v>51.048000000000002</v>
      </c>
      <c r="E30" s="126">
        <v>20.774999999999999</v>
      </c>
    </row>
    <row r="31" spans="1:8" x14ac:dyDescent="0.2">
      <c r="A31">
        <v>10032728</v>
      </c>
      <c r="B31" t="s">
        <v>96</v>
      </c>
      <c r="C31" s="126">
        <v>2025</v>
      </c>
      <c r="D31" s="126">
        <v>102.43600000000001</v>
      </c>
      <c r="E31" s="126">
        <v>47.494999999999997</v>
      </c>
    </row>
    <row r="32" spans="1:8" x14ac:dyDescent="0.2">
      <c r="A32">
        <v>10032805</v>
      </c>
      <c r="B32" t="s">
        <v>103</v>
      </c>
      <c r="C32" s="126">
        <v>234.51399999999998</v>
      </c>
      <c r="D32" s="126">
        <v>29.881000000000004</v>
      </c>
      <c r="E32" s="126">
        <v>24.722999999999999</v>
      </c>
    </row>
    <row r="33" spans="1:5" x14ac:dyDescent="0.2">
      <c r="A33">
        <v>10032898</v>
      </c>
      <c r="B33" t="s">
        <v>166</v>
      </c>
      <c r="C33" s="126">
        <v>573.96500000000003</v>
      </c>
      <c r="D33" s="126">
        <v>20</v>
      </c>
      <c r="E33" s="126">
        <v>10</v>
      </c>
    </row>
    <row r="34" spans="1:5" x14ac:dyDescent="0.2">
      <c r="A34">
        <v>10032935</v>
      </c>
      <c r="B34" t="s">
        <v>77</v>
      </c>
      <c r="C34" s="126">
        <v>1141.1510000000001</v>
      </c>
      <c r="D34" s="126">
        <v>339.495</v>
      </c>
      <c r="E34" s="126">
        <v>301.18999999999994</v>
      </c>
    </row>
    <row r="35" spans="1:5" x14ac:dyDescent="0.2">
      <c r="A35">
        <v>10033023</v>
      </c>
      <c r="B35" t="s">
        <v>388</v>
      </c>
      <c r="C35" s="126">
        <v>115</v>
      </c>
      <c r="D35" s="126">
        <v>115</v>
      </c>
      <c r="E35" s="126">
        <v>0</v>
      </c>
    </row>
    <row r="36" spans="1:5" x14ac:dyDescent="0.2">
      <c r="A36">
        <v>10033043</v>
      </c>
      <c r="B36" t="s">
        <v>130</v>
      </c>
      <c r="C36" s="126">
        <v>351.42600000000004</v>
      </c>
      <c r="D36" s="126">
        <v>40.888000000000005</v>
      </c>
      <c r="E36" s="126">
        <v>32.533000000000001</v>
      </c>
    </row>
    <row r="37" spans="1:5" x14ac:dyDescent="0.2">
      <c r="A37">
        <v>10033160</v>
      </c>
      <c r="B37" t="s">
        <v>386</v>
      </c>
      <c r="C37" s="126">
        <v>2054.0659999999998</v>
      </c>
      <c r="D37" s="126">
        <v>262.77765299999999</v>
      </c>
      <c r="E37" s="126">
        <v>193.21461299999999</v>
      </c>
    </row>
    <row r="38" spans="1:5" x14ac:dyDescent="0.2">
      <c r="A38">
        <v>10033270</v>
      </c>
      <c r="B38" t="s">
        <v>1453</v>
      </c>
      <c r="C38" s="126">
        <v>2445.0254660000001</v>
      </c>
      <c r="D38" s="126">
        <v>50.61</v>
      </c>
      <c r="E38" s="126">
        <v>0</v>
      </c>
    </row>
    <row r="39" spans="1:5" x14ac:dyDescent="0.2">
      <c r="A39">
        <v>10033277</v>
      </c>
      <c r="B39" t="s">
        <v>423</v>
      </c>
      <c r="C39" s="126">
        <v>490.97750000000002</v>
      </c>
      <c r="D39" s="126">
        <v>31.184000000000001</v>
      </c>
      <c r="E39" s="126">
        <v>0</v>
      </c>
    </row>
    <row r="40" spans="1:5" x14ac:dyDescent="0.2">
      <c r="A40">
        <v>10033614</v>
      </c>
      <c r="B40" t="s">
        <v>424</v>
      </c>
      <c r="C40" s="126">
        <v>1621.24</v>
      </c>
      <c r="D40" s="126">
        <v>22.682400000000001</v>
      </c>
      <c r="E40" s="126">
        <v>0</v>
      </c>
    </row>
    <row r="41" spans="1:5" x14ac:dyDescent="0.2">
      <c r="A41">
        <v>10033726</v>
      </c>
      <c r="B41" t="s">
        <v>45</v>
      </c>
      <c r="C41" s="126">
        <v>133.10299999999998</v>
      </c>
      <c r="D41" s="126">
        <v>133.10300000000001</v>
      </c>
      <c r="E41" s="126">
        <v>133.10300000000001</v>
      </c>
    </row>
    <row r="42" spans="1:5" x14ac:dyDescent="0.2">
      <c r="A42">
        <v>10033733</v>
      </c>
      <c r="B42" t="s">
        <v>39</v>
      </c>
      <c r="C42" s="126">
        <v>190</v>
      </c>
      <c r="D42" s="126">
        <v>190</v>
      </c>
      <c r="E42" s="126">
        <v>190</v>
      </c>
    </row>
    <row r="43" spans="1:5" x14ac:dyDescent="0.2">
      <c r="A43">
        <v>10033740</v>
      </c>
      <c r="B43" t="s">
        <v>385</v>
      </c>
      <c r="C43" s="126">
        <v>329.17</v>
      </c>
      <c r="D43" s="126">
        <v>329.16999999999996</v>
      </c>
      <c r="E43" s="126">
        <v>329.17</v>
      </c>
    </row>
    <row r="44" spans="1:5" x14ac:dyDescent="0.2">
      <c r="A44">
        <v>10033875</v>
      </c>
      <c r="B44" t="s">
        <v>25</v>
      </c>
      <c r="C44" s="126">
        <v>965.49800000000005</v>
      </c>
      <c r="D44" s="126">
        <v>965.49800000000005</v>
      </c>
      <c r="E44" s="126">
        <v>965.49800000000005</v>
      </c>
    </row>
    <row r="45" spans="1:5" x14ac:dyDescent="0.2">
      <c r="A45">
        <v>10033886</v>
      </c>
      <c r="B45" t="s">
        <v>146</v>
      </c>
      <c r="C45" s="126">
        <v>1146.845</v>
      </c>
      <c r="D45" s="126">
        <v>287.31299999999999</v>
      </c>
      <c r="E45" s="126">
        <v>230.321</v>
      </c>
    </row>
    <row r="46" spans="1:5" x14ac:dyDescent="0.2">
      <c r="A46">
        <v>10033888</v>
      </c>
      <c r="B46" t="s">
        <v>425</v>
      </c>
      <c r="C46" s="126">
        <v>949</v>
      </c>
      <c r="D46" s="126">
        <v>36.119</v>
      </c>
      <c r="E46" s="126">
        <v>10.593999999999999</v>
      </c>
    </row>
    <row r="47" spans="1:5" x14ac:dyDescent="0.2">
      <c r="A47">
        <v>10033992</v>
      </c>
      <c r="B47" t="s">
        <v>255</v>
      </c>
      <c r="C47" s="126">
        <v>99.882000000000005</v>
      </c>
      <c r="D47" s="126">
        <v>0.51349999999999341</v>
      </c>
      <c r="E47" s="126">
        <v>0</v>
      </c>
    </row>
    <row r="48" spans="1:5" x14ac:dyDescent="0.2">
      <c r="A48">
        <v>10034115</v>
      </c>
      <c r="B48" t="s">
        <v>1500</v>
      </c>
      <c r="C48" s="126">
        <v>420.56399999999996</v>
      </c>
      <c r="D48" s="126">
        <v>420.56400000000002</v>
      </c>
      <c r="E48" s="126">
        <v>420.56399999999996</v>
      </c>
    </row>
    <row r="49" spans="1:5" x14ac:dyDescent="0.2">
      <c r="A49">
        <v>10034679</v>
      </c>
      <c r="B49" t="s">
        <v>120</v>
      </c>
      <c r="C49" s="126">
        <v>490.29800000000006</v>
      </c>
      <c r="D49" s="126">
        <v>46.027999999999999</v>
      </c>
      <c r="E49" s="126">
        <v>35.692</v>
      </c>
    </row>
    <row r="50" spans="1:5" x14ac:dyDescent="0.2">
      <c r="A50">
        <v>10034942</v>
      </c>
      <c r="B50" t="s">
        <v>171</v>
      </c>
      <c r="C50" s="126">
        <v>886.53039999999999</v>
      </c>
      <c r="D50" s="126">
        <v>38.191000000000003</v>
      </c>
      <c r="E50" s="126">
        <v>29.138000000000002</v>
      </c>
    </row>
    <row r="51" spans="1:5" x14ac:dyDescent="0.2">
      <c r="A51">
        <v>10035069</v>
      </c>
      <c r="B51" t="s">
        <v>66</v>
      </c>
      <c r="C51" s="126">
        <v>1401.8890000000001</v>
      </c>
      <c r="D51" s="126">
        <v>283.78480000000002</v>
      </c>
      <c r="E51" s="126">
        <v>155.3588</v>
      </c>
    </row>
    <row r="52" spans="1:5" x14ac:dyDescent="0.2">
      <c r="A52">
        <v>10035078</v>
      </c>
      <c r="B52" t="s">
        <v>144</v>
      </c>
      <c r="C52" s="126">
        <v>279.08499999999998</v>
      </c>
      <c r="D52" s="126">
        <v>34.494999999999997</v>
      </c>
      <c r="E52" s="126">
        <v>26.132999999999999</v>
      </c>
    </row>
    <row r="53" spans="1:5" x14ac:dyDescent="0.2">
      <c r="A53">
        <v>10035467</v>
      </c>
      <c r="B53" t="s">
        <v>8</v>
      </c>
      <c r="C53" s="126">
        <v>240</v>
      </c>
      <c r="D53" s="126">
        <v>240</v>
      </c>
      <c r="E53" s="126">
        <v>240</v>
      </c>
    </row>
    <row r="54" spans="1:5" x14ac:dyDescent="0.2">
      <c r="A54">
        <v>10035562</v>
      </c>
      <c r="B54" t="s">
        <v>172</v>
      </c>
      <c r="C54" s="126">
        <v>572.94799999999998</v>
      </c>
      <c r="D54" s="126">
        <v>57.513000000000005</v>
      </c>
      <c r="E54" s="126">
        <v>38.672999999999995</v>
      </c>
    </row>
    <row r="55" spans="1:5" x14ac:dyDescent="0.2">
      <c r="A55">
        <v>10035639</v>
      </c>
      <c r="B55" t="s">
        <v>13</v>
      </c>
      <c r="C55" s="126">
        <v>198</v>
      </c>
      <c r="D55" s="126">
        <v>198</v>
      </c>
      <c r="E55" s="126">
        <v>198</v>
      </c>
    </row>
    <row r="56" spans="1:5" x14ac:dyDescent="0.2">
      <c r="A56">
        <v>10035927</v>
      </c>
      <c r="B56" t="s">
        <v>173</v>
      </c>
      <c r="C56" s="126">
        <v>543.90493300000003</v>
      </c>
      <c r="D56" s="126">
        <v>41.054000000000002</v>
      </c>
      <c r="E56" s="126">
        <v>25.311</v>
      </c>
    </row>
    <row r="57" spans="1:5" x14ac:dyDescent="0.2">
      <c r="A57">
        <v>10035968</v>
      </c>
      <c r="B57" t="s">
        <v>426</v>
      </c>
      <c r="C57" s="126">
        <v>1856.6058499999999</v>
      </c>
      <c r="D57" s="126">
        <v>32.442</v>
      </c>
      <c r="E57" s="126">
        <v>0</v>
      </c>
    </row>
    <row r="58" spans="1:5" x14ac:dyDescent="0.2">
      <c r="A58">
        <v>10036016</v>
      </c>
      <c r="B58" t="s">
        <v>122</v>
      </c>
      <c r="C58" s="126">
        <v>324.59199999999998</v>
      </c>
      <c r="D58" s="126">
        <v>20.143999999999998</v>
      </c>
      <c r="E58" s="126">
        <v>14.192</v>
      </c>
    </row>
    <row r="59" spans="1:5" x14ac:dyDescent="0.2">
      <c r="A59">
        <v>10036320</v>
      </c>
      <c r="B59" t="s">
        <v>75</v>
      </c>
      <c r="C59" s="126">
        <v>1479.0650000000001</v>
      </c>
      <c r="D59" s="126">
        <v>145.15399999999997</v>
      </c>
      <c r="E59" s="126">
        <v>128.084</v>
      </c>
    </row>
    <row r="60" spans="1:5" x14ac:dyDescent="0.2">
      <c r="A60">
        <v>10036531</v>
      </c>
      <c r="B60" t="s">
        <v>176</v>
      </c>
      <c r="C60" s="126">
        <v>283.31200000000001</v>
      </c>
      <c r="D60" s="126">
        <v>16.029</v>
      </c>
      <c r="E60" s="126">
        <v>11.309999999999999</v>
      </c>
    </row>
    <row r="61" spans="1:5" x14ac:dyDescent="0.2">
      <c r="A61">
        <v>10036590</v>
      </c>
      <c r="B61" t="s">
        <v>136</v>
      </c>
      <c r="C61" s="126">
        <v>969.53099999999995</v>
      </c>
      <c r="D61" s="126">
        <v>55.805999999999997</v>
      </c>
      <c r="E61" s="126">
        <v>35.835000000000001</v>
      </c>
    </row>
    <row r="62" spans="1:5" x14ac:dyDescent="0.2">
      <c r="A62">
        <v>10036633</v>
      </c>
      <c r="B62" t="s">
        <v>58</v>
      </c>
      <c r="C62" s="126">
        <v>611.98599999999999</v>
      </c>
      <c r="D62" s="126">
        <v>141.226</v>
      </c>
      <c r="E62" s="126">
        <v>131.93200000000002</v>
      </c>
    </row>
    <row r="63" spans="1:5" x14ac:dyDescent="0.2">
      <c r="A63">
        <v>10036639</v>
      </c>
      <c r="B63" t="s">
        <v>177</v>
      </c>
      <c r="C63" s="126">
        <v>1714.7349999999999</v>
      </c>
      <c r="D63" s="126">
        <v>98.67</v>
      </c>
      <c r="E63" s="126">
        <v>7.593</v>
      </c>
    </row>
    <row r="64" spans="1:5" x14ac:dyDescent="0.2">
      <c r="A64">
        <v>10036735</v>
      </c>
      <c r="B64" t="s">
        <v>15</v>
      </c>
      <c r="C64" s="126">
        <v>194.90299999999999</v>
      </c>
      <c r="D64" s="126">
        <v>194.90299999999999</v>
      </c>
      <c r="E64" s="126">
        <v>194.90299999999999</v>
      </c>
    </row>
    <row r="65" spans="1:5" x14ac:dyDescent="0.2">
      <c r="A65">
        <v>10037290</v>
      </c>
      <c r="B65" t="s">
        <v>79</v>
      </c>
      <c r="C65" s="126">
        <v>220</v>
      </c>
      <c r="D65" s="126">
        <v>220</v>
      </c>
      <c r="E65" s="126">
        <v>220</v>
      </c>
    </row>
    <row r="66" spans="1:5" x14ac:dyDescent="0.2">
      <c r="A66">
        <v>10037576</v>
      </c>
      <c r="B66" t="s">
        <v>1457</v>
      </c>
      <c r="C66" s="126">
        <v>1799</v>
      </c>
      <c r="D66" s="126">
        <v>27.908999999999999</v>
      </c>
      <c r="E66" s="126">
        <v>0</v>
      </c>
    </row>
    <row r="67" spans="1:5" x14ac:dyDescent="0.2">
      <c r="A67">
        <v>10037680</v>
      </c>
      <c r="B67" t="s">
        <v>427</v>
      </c>
      <c r="C67" s="126">
        <v>1553.171</v>
      </c>
      <c r="D67" s="126">
        <v>49.56</v>
      </c>
      <c r="E67" s="126">
        <v>0</v>
      </c>
    </row>
    <row r="68" spans="1:5" x14ac:dyDescent="0.2">
      <c r="A68">
        <v>10037684</v>
      </c>
      <c r="B68" t="s">
        <v>1501</v>
      </c>
      <c r="C68" s="126">
        <v>233.95299999999997</v>
      </c>
      <c r="D68" s="126">
        <v>233.953</v>
      </c>
      <c r="E68" s="126">
        <v>233.953</v>
      </c>
    </row>
    <row r="69" spans="1:5" x14ac:dyDescent="0.2">
      <c r="A69">
        <v>10037788</v>
      </c>
      <c r="B69" t="s">
        <v>150</v>
      </c>
      <c r="C69" s="126">
        <v>209.16499999999999</v>
      </c>
      <c r="D69" s="126">
        <v>209.16499999999999</v>
      </c>
      <c r="E69" s="126">
        <v>209.16500000000002</v>
      </c>
    </row>
    <row r="70" spans="1:5" x14ac:dyDescent="0.2">
      <c r="A70">
        <v>10037863</v>
      </c>
      <c r="B70" t="s">
        <v>21</v>
      </c>
      <c r="C70" s="126">
        <v>100.053</v>
      </c>
      <c r="D70" s="126">
        <v>100.053</v>
      </c>
      <c r="E70" s="126">
        <v>100.053</v>
      </c>
    </row>
    <row r="71" spans="1:5" x14ac:dyDescent="0.2">
      <c r="A71">
        <v>10037883</v>
      </c>
      <c r="B71" t="s">
        <v>94</v>
      </c>
      <c r="C71" s="126">
        <v>936.98</v>
      </c>
      <c r="D71" s="126">
        <v>228.54299999999995</v>
      </c>
      <c r="E71" s="126">
        <v>163.577</v>
      </c>
    </row>
    <row r="72" spans="1:5" x14ac:dyDescent="0.2">
      <c r="A72">
        <v>10038000</v>
      </c>
      <c r="B72" t="s">
        <v>105</v>
      </c>
      <c r="C72" s="126">
        <v>378.15</v>
      </c>
      <c r="D72" s="126">
        <v>378.15</v>
      </c>
      <c r="E72" s="126">
        <v>378.15</v>
      </c>
    </row>
    <row r="73" spans="1:5" x14ac:dyDescent="0.2">
      <c r="A73">
        <v>10038047</v>
      </c>
      <c r="B73" t="s">
        <v>18</v>
      </c>
      <c r="C73" s="126">
        <v>215.12718999999998</v>
      </c>
      <c r="D73" s="126">
        <v>215.12719000000001</v>
      </c>
      <c r="E73" s="126">
        <v>215.12718999999998</v>
      </c>
    </row>
    <row r="74" spans="1:5" x14ac:dyDescent="0.2">
      <c r="A74">
        <v>10038116</v>
      </c>
      <c r="B74" t="s">
        <v>4</v>
      </c>
      <c r="C74" s="126">
        <v>180.57155</v>
      </c>
      <c r="D74" s="126">
        <v>180.57155</v>
      </c>
      <c r="E74" s="126">
        <v>180.57155</v>
      </c>
    </row>
    <row r="75" spans="1:5" x14ac:dyDescent="0.2">
      <c r="A75">
        <v>10038148</v>
      </c>
      <c r="B75" t="s">
        <v>390</v>
      </c>
      <c r="C75" s="126">
        <v>249.23699999999999</v>
      </c>
      <c r="D75" s="126">
        <v>14.085000000000001</v>
      </c>
      <c r="E75" s="126">
        <v>1.353</v>
      </c>
    </row>
    <row r="76" spans="1:5" x14ac:dyDescent="0.2">
      <c r="A76">
        <v>10038249</v>
      </c>
      <c r="B76" t="s">
        <v>180</v>
      </c>
      <c r="C76" s="126">
        <v>1096.4629</v>
      </c>
      <c r="D76" s="126">
        <v>66.078000000000003</v>
      </c>
      <c r="E76" s="126">
        <v>41.165999999999997</v>
      </c>
    </row>
    <row r="77" spans="1:5" x14ac:dyDescent="0.2">
      <c r="A77">
        <v>10038259</v>
      </c>
      <c r="B77" t="s">
        <v>181</v>
      </c>
      <c r="C77" s="126">
        <v>541.98009999999999</v>
      </c>
      <c r="D77" s="126">
        <v>29.96</v>
      </c>
      <c r="E77" s="126">
        <v>23.847999999999999</v>
      </c>
    </row>
    <row r="78" spans="1:5" x14ac:dyDescent="0.2">
      <c r="A78">
        <v>10038298</v>
      </c>
      <c r="B78" t="s">
        <v>28</v>
      </c>
      <c r="C78" s="126">
        <v>170.792</v>
      </c>
      <c r="D78" s="126">
        <v>170.792</v>
      </c>
      <c r="E78" s="126">
        <v>170.792</v>
      </c>
    </row>
    <row r="79" spans="1:5" x14ac:dyDescent="0.2">
      <c r="A79">
        <v>10038304</v>
      </c>
      <c r="B79" t="s">
        <v>2</v>
      </c>
      <c r="C79" s="126">
        <v>140.11969999999999</v>
      </c>
      <c r="D79" s="126">
        <v>140.11969999999999</v>
      </c>
      <c r="E79" s="126">
        <v>140.11969999999999</v>
      </c>
    </row>
    <row r="80" spans="1:5" x14ac:dyDescent="0.2">
      <c r="A80">
        <v>10038346</v>
      </c>
      <c r="B80" t="s">
        <v>90</v>
      </c>
      <c r="C80" s="126">
        <v>1600.6979999999999</v>
      </c>
      <c r="D80" s="126">
        <v>82.953000000000003</v>
      </c>
      <c r="E80" s="126">
        <v>56.826999999999998</v>
      </c>
    </row>
    <row r="81" spans="1:5" x14ac:dyDescent="0.2">
      <c r="A81">
        <v>10038434</v>
      </c>
      <c r="B81" t="s">
        <v>71</v>
      </c>
      <c r="C81" s="126">
        <v>715.86900000000003</v>
      </c>
      <c r="D81" s="126">
        <v>715.86900000000003</v>
      </c>
      <c r="E81" s="126">
        <v>715.86900000000003</v>
      </c>
    </row>
    <row r="82" spans="1:5" x14ac:dyDescent="0.2">
      <c r="A82">
        <v>10038463</v>
      </c>
      <c r="B82" t="s">
        <v>182</v>
      </c>
      <c r="C82" s="126">
        <v>347.39400000000001</v>
      </c>
      <c r="D82" s="126">
        <v>38.32</v>
      </c>
      <c r="E82" s="126">
        <v>10.291</v>
      </c>
    </row>
    <row r="83" spans="1:5" x14ac:dyDescent="0.2">
      <c r="A83">
        <v>10038513</v>
      </c>
      <c r="B83" t="s">
        <v>428</v>
      </c>
      <c r="C83" s="126">
        <v>659.97699999999998</v>
      </c>
      <c r="D83" s="126">
        <v>6.9779999999999998</v>
      </c>
      <c r="E83" s="126">
        <v>1.274</v>
      </c>
    </row>
    <row r="84" spans="1:5" x14ac:dyDescent="0.2">
      <c r="A84">
        <v>10038606</v>
      </c>
      <c r="B84" t="s">
        <v>1502</v>
      </c>
      <c r="C84" s="126">
        <v>139.36750000000001</v>
      </c>
      <c r="D84" s="126">
        <v>139.36750000000001</v>
      </c>
      <c r="E84" s="126">
        <v>139.36750000000001</v>
      </c>
    </row>
    <row r="85" spans="1:5" x14ac:dyDescent="0.2">
      <c r="A85">
        <v>10038671</v>
      </c>
      <c r="B85" t="s">
        <v>429</v>
      </c>
      <c r="C85" s="126">
        <v>370.80939999999998</v>
      </c>
      <c r="D85" s="126">
        <v>13.125</v>
      </c>
      <c r="E85" s="126">
        <v>0</v>
      </c>
    </row>
    <row r="86" spans="1:5" x14ac:dyDescent="0.2">
      <c r="A86">
        <v>10038694</v>
      </c>
      <c r="B86" t="s">
        <v>183</v>
      </c>
      <c r="C86" s="126">
        <v>2157.0328</v>
      </c>
      <c r="D86" s="126">
        <v>36.607999999999997</v>
      </c>
      <c r="E86" s="126">
        <v>22.236000000000001</v>
      </c>
    </row>
    <row r="87" spans="1:5" x14ac:dyDescent="0.2">
      <c r="A87">
        <v>10038792</v>
      </c>
      <c r="B87" t="s">
        <v>430</v>
      </c>
      <c r="C87" s="126">
        <v>232.14</v>
      </c>
      <c r="D87" s="126">
        <v>3.7039999999999997</v>
      </c>
      <c r="E87" s="126">
        <v>1.0629999999999999</v>
      </c>
    </row>
    <row r="88" spans="1:5" x14ac:dyDescent="0.2">
      <c r="A88">
        <v>10039210</v>
      </c>
      <c r="B88" t="s">
        <v>111</v>
      </c>
      <c r="C88" s="126">
        <v>380.61600000000004</v>
      </c>
      <c r="D88" s="126">
        <v>123.41399999999999</v>
      </c>
      <c r="E88" s="126">
        <v>100.35499999999999</v>
      </c>
    </row>
    <row r="89" spans="1:5" x14ac:dyDescent="0.2">
      <c r="A89">
        <v>10039216</v>
      </c>
      <c r="B89" t="s">
        <v>50</v>
      </c>
      <c r="C89" s="126">
        <v>164.16299999999998</v>
      </c>
      <c r="D89" s="126">
        <v>164.16300000000001</v>
      </c>
      <c r="E89" s="126">
        <v>164.16299999999998</v>
      </c>
    </row>
    <row r="90" spans="1:5" x14ac:dyDescent="0.2">
      <c r="A90">
        <v>10039242</v>
      </c>
      <c r="B90" t="s">
        <v>140</v>
      </c>
      <c r="C90" s="126">
        <v>254.14599999999999</v>
      </c>
      <c r="D90" s="126">
        <v>21.203999999999997</v>
      </c>
      <c r="E90" s="126">
        <v>16.140999999999998</v>
      </c>
    </row>
    <row r="91" spans="1:5" x14ac:dyDescent="0.2">
      <c r="A91">
        <v>10039905</v>
      </c>
      <c r="B91" t="s">
        <v>1503</v>
      </c>
      <c r="C91" s="126">
        <v>137</v>
      </c>
      <c r="D91" s="126">
        <v>137</v>
      </c>
      <c r="E91" s="126">
        <v>137</v>
      </c>
    </row>
    <row r="92" spans="1:5" x14ac:dyDescent="0.2">
      <c r="A92">
        <v>10040095</v>
      </c>
      <c r="B92" t="s">
        <v>188</v>
      </c>
      <c r="C92" s="126">
        <v>255.917</v>
      </c>
      <c r="D92" s="126">
        <v>29.117999999999999</v>
      </c>
      <c r="E92" s="126">
        <v>20.841999999999999</v>
      </c>
    </row>
    <row r="93" spans="1:5" x14ac:dyDescent="0.2">
      <c r="A93">
        <v>10040545</v>
      </c>
      <c r="B93" t="s">
        <v>88</v>
      </c>
      <c r="C93" s="126">
        <v>251.82300000000001</v>
      </c>
      <c r="D93" s="126">
        <v>65.472000000000008</v>
      </c>
      <c r="E93" s="126">
        <v>54.587000000000003</v>
      </c>
    </row>
    <row r="94" spans="1:5" x14ac:dyDescent="0.2">
      <c r="A94">
        <v>10040639</v>
      </c>
      <c r="B94" t="s">
        <v>185</v>
      </c>
      <c r="C94" s="126">
        <v>2143.89</v>
      </c>
      <c r="D94" s="126">
        <v>32.218000000000004</v>
      </c>
      <c r="E94" s="126">
        <v>9.4730000000000008</v>
      </c>
    </row>
    <row r="95" spans="1:5" x14ac:dyDescent="0.2">
      <c r="A95">
        <v>10040990</v>
      </c>
      <c r="B95" t="s">
        <v>186</v>
      </c>
      <c r="C95" s="126">
        <v>354.88310000000001</v>
      </c>
      <c r="D95" s="126">
        <v>6.5600000000000005</v>
      </c>
      <c r="E95" s="126">
        <v>3.2</v>
      </c>
    </row>
    <row r="96" spans="1:5" x14ac:dyDescent="0.2">
      <c r="A96">
        <v>10041141</v>
      </c>
      <c r="B96" t="s">
        <v>187</v>
      </c>
      <c r="C96" s="126">
        <v>995.79349999999999</v>
      </c>
      <c r="D96" s="126">
        <v>76.768000000000001</v>
      </c>
      <c r="E96" s="126">
        <v>36.783999999999999</v>
      </c>
    </row>
    <row r="97" spans="1:5" x14ac:dyDescent="0.2">
      <c r="A97">
        <v>10041259</v>
      </c>
      <c r="B97" t="s">
        <v>189</v>
      </c>
      <c r="C97" s="126">
        <v>803.43799999999999</v>
      </c>
      <c r="D97" s="126">
        <v>8.3579999999999988</v>
      </c>
      <c r="E97" s="126">
        <v>8.3580000000000005</v>
      </c>
    </row>
    <row r="98" spans="1:5" x14ac:dyDescent="0.2">
      <c r="A98">
        <v>10041441</v>
      </c>
      <c r="B98" t="s">
        <v>190</v>
      </c>
      <c r="C98" s="126">
        <v>567.79060000000004</v>
      </c>
      <c r="D98" s="126">
        <v>5.056</v>
      </c>
      <c r="E98" s="126">
        <v>2.5759999999999996</v>
      </c>
    </row>
    <row r="99" spans="1:5" x14ac:dyDescent="0.2">
      <c r="A99">
        <v>10041502</v>
      </c>
      <c r="B99" t="s">
        <v>126</v>
      </c>
      <c r="C99" s="126">
        <v>2922.7309999999998</v>
      </c>
      <c r="D99" s="126">
        <v>142.39499999999998</v>
      </c>
      <c r="E99" s="126">
        <v>57.271999999999998</v>
      </c>
    </row>
    <row r="100" spans="1:5" x14ac:dyDescent="0.2">
      <c r="A100">
        <v>10041592</v>
      </c>
      <c r="B100" t="s">
        <v>73</v>
      </c>
      <c r="C100" s="126">
        <v>400</v>
      </c>
      <c r="D100" s="126">
        <v>217.238</v>
      </c>
      <c r="E100" s="126">
        <v>167.614</v>
      </c>
    </row>
    <row r="101" spans="1:5" x14ac:dyDescent="0.2">
      <c r="A101">
        <v>10041740</v>
      </c>
      <c r="B101" t="s">
        <v>113</v>
      </c>
      <c r="C101" s="126">
        <v>290.88499999999999</v>
      </c>
      <c r="D101" s="126">
        <v>27.856000000000002</v>
      </c>
      <c r="E101" s="126">
        <v>23.259999999999998</v>
      </c>
    </row>
    <row r="102" spans="1:5" x14ac:dyDescent="0.2">
      <c r="A102">
        <v>10041888</v>
      </c>
      <c r="B102" t="s">
        <v>83</v>
      </c>
      <c r="C102" s="126">
        <v>497.40000000000003</v>
      </c>
      <c r="D102" s="126">
        <v>193.31900000000002</v>
      </c>
      <c r="E102" s="126">
        <v>131.84399999999999</v>
      </c>
    </row>
    <row r="103" spans="1:5" x14ac:dyDescent="0.2">
      <c r="A103">
        <v>10042063</v>
      </c>
      <c r="B103" t="s">
        <v>431</v>
      </c>
      <c r="C103" s="126">
        <v>222.38900000000001</v>
      </c>
      <c r="D103" s="126">
        <v>3</v>
      </c>
      <c r="E103" s="126">
        <v>0</v>
      </c>
    </row>
    <row r="104" spans="1:5" x14ac:dyDescent="0.2">
      <c r="A104">
        <v>10044981</v>
      </c>
      <c r="B104" t="s">
        <v>124</v>
      </c>
      <c r="C104" s="126">
        <v>404.67899999999997</v>
      </c>
      <c r="D104" s="126">
        <v>52.520999999999994</v>
      </c>
      <c r="E104" s="126">
        <v>42.521000000000001</v>
      </c>
    </row>
    <row r="105" spans="1:5" x14ac:dyDescent="0.2">
      <c r="A105">
        <v>10045809</v>
      </c>
      <c r="B105" t="s">
        <v>101</v>
      </c>
      <c r="C105" s="126">
        <v>605.33400000000006</v>
      </c>
      <c r="D105" s="126">
        <v>57.483999999999995</v>
      </c>
      <c r="E105" s="126">
        <v>35.254000000000005</v>
      </c>
    </row>
    <row r="106" spans="1:5" x14ac:dyDescent="0.2">
      <c r="A106">
        <v>10046527</v>
      </c>
      <c r="B106" t="s">
        <v>53</v>
      </c>
      <c r="C106" s="126">
        <v>531.95799999999997</v>
      </c>
      <c r="D106" s="126">
        <v>312.12599999999998</v>
      </c>
      <c r="E106" s="126">
        <v>312.12599999999998</v>
      </c>
    </row>
    <row r="107" spans="1:5" x14ac:dyDescent="0.2">
      <c r="A107">
        <v>10046570</v>
      </c>
      <c r="B107" t="s">
        <v>118</v>
      </c>
      <c r="C107" s="126">
        <v>884.44200000000001</v>
      </c>
      <c r="D107" s="126">
        <v>89.271000000000001</v>
      </c>
      <c r="E107" s="126">
        <v>54.197000000000003</v>
      </c>
    </row>
    <row r="108" spans="1:5" x14ac:dyDescent="0.2">
      <c r="A108">
        <v>10046731</v>
      </c>
      <c r="B108" t="s">
        <v>184</v>
      </c>
      <c r="C108" s="126">
        <v>852.24400000000003</v>
      </c>
      <c r="D108" s="126">
        <v>96.783999999999992</v>
      </c>
      <c r="E108" s="126">
        <v>15.472</v>
      </c>
    </row>
    <row r="109" spans="1:5" x14ac:dyDescent="0.2">
      <c r="A109">
        <v>10046812</v>
      </c>
      <c r="B109" t="s">
        <v>156</v>
      </c>
      <c r="C109" s="126">
        <v>837.27199999999993</v>
      </c>
      <c r="D109" s="126">
        <v>108.592</v>
      </c>
      <c r="E109" s="126">
        <v>85.478999999999985</v>
      </c>
    </row>
    <row r="110" spans="1:5" x14ac:dyDescent="0.2">
      <c r="A110">
        <v>10047292</v>
      </c>
      <c r="B110" t="s">
        <v>128</v>
      </c>
      <c r="C110" s="126">
        <v>1705.3829000000001</v>
      </c>
      <c r="D110" s="126">
        <v>109.55</v>
      </c>
      <c r="E110" s="126">
        <v>20.716999999999999</v>
      </c>
    </row>
    <row r="111" spans="1:5" x14ac:dyDescent="0.2">
      <c r="A111">
        <v>10047340</v>
      </c>
      <c r="B111" t="s">
        <v>98</v>
      </c>
      <c r="C111" s="126">
        <v>259.53100000000001</v>
      </c>
      <c r="D111" s="126">
        <v>259.53100000000001</v>
      </c>
      <c r="E111" s="126">
        <v>259.53100000000001</v>
      </c>
    </row>
    <row r="112" spans="1:5" x14ac:dyDescent="0.2">
      <c r="A112">
        <v>10047520</v>
      </c>
      <c r="B112" t="s">
        <v>23</v>
      </c>
      <c r="C112" s="126">
        <v>441.55145799999997</v>
      </c>
      <c r="D112" s="126">
        <v>441.55145799999997</v>
      </c>
      <c r="E112" s="126">
        <v>441.55145799999997</v>
      </c>
    </row>
    <row r="113" spans="1:5" x14ac:dyDescent="0.2">
      <c r="A113">
        <v>10050471</v>
      </c>
      <c r="B113" t="s">
        <v>432</v>
      </c>
      <c r="C113" s="126">
        <v>221.839</v>
      </c>
      <c r="D113" s="126">
        <v>7.13</v>
      </c>
      <c r="E113" s="126">
        <v>0</v>
      </c>
    </row>
    <row r="114" spans="1:5" x14ac:dyDescent="0.2">
      <c r="A114">
        <v>10053087</v>
      </c>
      <c r="B114" t="s">
        <v>381</v>
      </c>
      <c r="C114" s="126">
        <v>196.23956000000001</v>
      </c>
      <c r="D114" s="126">
        <v>196.23955999999998</v>
      </c>
      <c r="E114" s="126">
        <v>0</v>
      </c>
    </row>
    <row r="115" spans="1:5" x14ac:dyDescent="0.2">
      <c r="A115">
        <v>10060702</v>
      </c>
      <c r="B115" t="s">
        <v>109</v>
      </c>
      <c r="C115" s="126">
        <v>536.54999999999995</v>
      </c>
      <c r="D115" s="126">
        <v>52.704000000000001</v>
      </c>
      <c r="E115" s="126">
        <v>35.423999999999999</v>
      </c>
    </row>
    <row r="116" spans="1:5" x14ac:dyDescent="0.2">
      <c r="A116">
        <v>10061981</v>
      </c>
      <c r="B116" t="s">
        <v>175</v>
      </c>
      <c r="C116" s="126">
        <v>513.91079999999999</v>
      </c>
      <c r="D116" s="126">
        <v>10.335000000000001</v>
      </c>
      <c r="E116" s="126">
        <v>3.6269999999999998</v>
      </c>
    </row>
    <row r="117" spans="1:5" x14ac:dyDescent="0.2">
      <c r="A117">
        <v>10063044</v>
      </c>
      <c r="B117" t="s">
        <v>382</v>
      </c>
      <c r="C117" s="126">
        <v>1171.729</v>
      </c>
      <c r="D117" s="126">
        <v>128.69720000000001</v>
      </c>
      <c r="E117" s="126">
        <v>91.196000000000012</v>
      </c>
    </row>
    <row r="118" spans="1:5" x14ac:dyDescent="0.2">
      <c r="A118">
        <v>10066681</v>
      </c>
      <c r="B118" t="s">
        <v>1441</v>
      </c>
      <c r="C118" s="126">
        <v>553.04399999999998</v>
      </c>
      <c r="D118" s="126">
        <v>4</v>
      </c>
      <c r="E118" s="126">
        <v>0</v>
      </c>
    </row>
    <row r="119" spans="1:5" x14ac:dyDescent="0.2">
      <c r="A119">
        <v>10067520</v>
      </c>
      <c r="B119" t="s">
        <v>56</v>
      </c>
      <c r="C119" s="126">
        <v>145.15100000000001</v>
      </c>
      <c r="D119" s="126">
        <v>120.14100000000001</v>
      </c>
      <c r="E119" s="126">
        <v>120.14099999999999</v>
      </c>
    </row>
    <row r="120" spans="1:5" x14ac:dyDescent="0.2">
      <c r="A120">
        <v>10067605</v>
      </c>
      <c r="B120" t="s">
        <v>433</v>
      </c>
      <c r="C120" s="126">
        <v>686.85469699999999</v>
      </c>
      <c r="D120" s="126">
        <v>17.414000000000001</v>
      </c>
      <c r="E120" s="126">
        <v>0</v>
      </c>
    </row>
    <row r="121" spans="1:5" x14ac:dyDescent="0.2">
      <c r="A121">
        <v>10068728</v>
      </c>
      <c r="B121" t="s">
        <v>434</v>
      </c>
      <c r="C121" s="126">
        <v>862.13728200000003</v>
      </c>
      <c r="D121" s="126">
        <v>27.44</v>
      </c>
      <c r="E121" s="126">
        <v>10.704000000000001</v>
      </c>
    </row>
    <row r="122" spans="1:5" x14ac:dyDescent="0.2">
      <c r="A122">
        <v>10069147</v>
      </c>
      <c r="B122" t="s">
        <v>92</v>
      </c>
      <c r="C122" s="126">
        <v>721.09800000000007</v>
      </c>
      <c r="D122" s="126">
        <v>185.10900000000001</v>
      </c>
      <c r="E122" s="126">
        <v>126.639</v>
      </c>
    </row>
    <row r="123" spans="1:5" x14ac:dyDescent="0.2">
      <c r="A123">
        <v>10069441</v>
      </c>
      <c r="B123" t="s">
        <v>435</v>
      </c>
      <c r="C123" s="126">
        <v>590.11506399999996</v>
      </c>
      <c r="D123" s="126">
        <v>8.9409999999999989</v>
      </c>
      <c r="E123" s="126">
        <v>3.375</v>
      </c>
    </row>
    <row r="124" spans="1:5" x14ac:dyDescent="0.2">
      <c r="A124">
        <v>10070268</v>
      </c>
      <c r="B124" t="s">
        <v>81</v>
      </c>
      <c r="C124" s="126">
        <v>632.32600000000002</v>
      </c>
      <c r="D124" s="126">
        <v>92.063999999999993</v>
      </c>
      <c r="E124" s="126">
        <v>79.58</v>
      </c>
    </row>
    <row r="125" spans="1:5" x14ac:dyDescent="0.2">
      <c r="A125">
        <v>10070515</v>
      </c>
      <c r="B125" t="s">
        <v>41</v>
      </c>
      <c r="C125" s="126">
        <v>146.643</v>
      </c>
      <c r="D125" s="126">
        <v>146.643</v>
      </c>
      <c r="E125" s="126">
        <v>146.643</v>
      </c>
    </row>
    <row r="126" spans="1:5" x14ac:dyDescent="0.2">
      <c r="A126">
        <v>10071000</v>
      </c>
      <c r="B126" t="s">
        <v>1445</v>
      </c>
      <c r="C126" s="126">
        <v>964.66526599999997</v>
      </c>
      <c r="D126" s="126">
        <v>6.24</v>
      </c>
      <c r="E126" s="126">
        <v>0</v>
      </c>
    </row>
    <row r="127" spans="1:5" x14ac:dyDescent="0.2">
      <c r="A127">
        <v>10073012</v>
      </c>
      <c r="B127" t="s">
        <v>1469</v>
      </c>
      <c r="C127" s="126">
        <v>592.75373300000001</v>
      </c>
      <c r="D127" s="126">
        <v>13.151999999999999</v>
      </c>
      <c r="E127" s="126">
        <v>0</v>
      </c>
    </row>
    <row r="128" spans="1:5" x14ac:dyDescent="0.2">
      <c r="A128">
        <v>10074449</v>
      </c>
      <c r="B128" t="s">
        <v>69</v>
      </c>
      <c r="C128" s="126">
        <v>117.27416699999999</v>
      </c>
      <c r="D128" s="126">
        <v>20.481999999999999</v>
      </c>
      <c r="E128" s="126">
        <v>12.084000000000001</v>
      </c>
    </row>
    <row r="129" spans="1:5" x14ac:dyDescent="0.2">
      <c r="A129">
        <v>10075257</v>
      </c>
      <c r="B129" t="s">
        <v>389</v>
      </c>
      <c r="C129" s="126">
        <v>330</v>
      </c>
      <c r="D129" s="126">
        <v>10.271999999999998</v>
      </c>
      <c r="E129" s="126">
        <v>0</v>
      </c>
    </row>
    <row r="130" spans="1:5" x14ac:dyDescent="0.2">
      <c r="A130">
        <v>10078174</v>
      </c>
      <c r="B130" t="s">
        <v>60</v>
      </c>
      <c r="C130" s="126">
        <v>239</v>
      </c>
      <c r="D130" s="126">
        <v>239</v>
      </c>
      <c r="E130" s="126">
        <v>239</v>
      </c>
    </row>
    <row r="131" spans="1:5" x14ac:dyDescent="0.2">
      <c r="A131">
        <v>10081683</v>
      </c>
      <c r="B131" t="s">
        <v>383</v>
      </c>
      <c r="C131" s="126">
        <v>252.02177</v>
      </c>
      <c r="D131" s="126">
        <v>252.02177</v>
      </c>
      <c r="E131" s="126">
        <v>0</v>
      </c>
    </row>
    <row r="132" spans="1:5" x14ac:dyDescent="0.2">
      <c r="A132">
        <v>10082404</v>
      </c>
      <c r="B132" t="s">
        <v>436</v>
      </c>
      <c r="C132" s="126">
        <v>710.767875</v>
      </c>
      <c r="D132" s="126">
        <v>14.32</v>
      </c>
      <c r="E132" s="126">
        <v>14.32</v>
      </c>
    </row>
    <row r="133" spans="1:5" x14ac:dyDescent="0.2">
      <c r="A133">
        <v>10086279</v>
      </c>
      <c r="B133" t="s">
        <v>138</v>
      </c>
      <c r="C133" s="126">
        <v>276.46046999999999</v>
      </c>
      <c r="D133" s="126">
        <v>276.46046999999999</v>
      </c>
      <c r="E133" s="126">
        <v>276.46046999999999</v>
      </c>
    </row>
    <row r="134" spans="1:5" x14ac:dyDescent="0.2">
      <c r="A134">
        <v>10089241</v>
      </c>
      <c r="B134" t="s">
        <v>1451</v>
      </c>
      <c r="C134" s="126">
        <v>520.08656699999995</v>
      </c>
      <c r="D134" s="126">
        <v>0.35199999999999998</v>
      </c>
      <c r="E134" s="126">
        <v>0</v>
      </c>
    </row>
    <row r="135" spans="1:5" x14ac:dyDescent="0.2">
      <c r="A135">
        <v>10091292</v>
      </c>
      <c r="B135" t="s">
        <v>437</v>
      </c>
      <c r="C135" s="126">
        <v>329.70859999999999</v>
      </c>
      <c r="D135" s="126">
        <v>4.976</v>
      </c>
      <c r="E135" s="126">
        <v>0</v>
      </c>
    </row>
    <row r="136" spans="1:5" x14ac:dyDescent="0.2">
      <c r="A136">
        <v>10092105</v>
      </c>
      <c r="B136" t="s">
        <v>47</v>
      </c>
      <c r="C136" s="126">
        <v>73.512999999999991</v>
      </c>
      <c r="D136" s="126">
        <v>73.513000000000005</v>
      </c>
      <c r="E136" s="126">
        <v>73.513000000000005</v>
      </c>
    </row>
    <row r="137" spans="1:5" x14ac:dyDescent="0.2">
      <c r="A137">
        <v>10096603</v>
      </c>
      <c r="B137" t="s">
        <v>438</v>
      </c>
      <c r="C137" s="126">
        <v>2254.6824299999998</v>
      </c>
      <c r="D137" s="126">
        <v>10.905999999999999</v>
      </c>
      <c r="E137" s="126">
        <v>3.4489999999999998</v>
      </c>
    </row>
    <row r="138" spans="1:5" x14ac:dyDescent="0.2">
      <c r="A138">
        <v>10099847</v>
      </c>
      <c r="B138" t="s">
        <v>439</v>
      </c>
      <c r="C138" s="126">
        <v>688.65480200000002</v>
      </c>
      <c r="D138" s="126">
        <v>31.782</v>
      </c>
      <c r="E138" s="126">
        <v>0</v>
      </c>
    </row>
    <row r="139" spans="1:5" x14ac:dyDescent="0.2">
      <c r="A139">
        <v>10100887</v>
      </c>
      <c r="B139" t="s">
        <v>1504</v>
      </c>
      <c r="C139" s="126">
        <v>219.9</v>
      </c>
      <c r="D139" s="126">
        <v>219.91999970000001</v>
      </c>
      <c r="E139" s="126">
        <v>219.91999970000001</v>
      </c>
    </row>
    <row r="140" spans="1:5" x14ac:dyDescent="0.2">
      <c r="A140">
        <v>10103688</v>
      </c>
      <c r="B140" t="s">
        <v>178</v>
      </c>
      <c r="C140" s="126">
        <v>739.47429999999997</v>
      </c>
      <c r="D140" s="126">
        <v>52</v>
      </c>
      <c r="E140" s="126">
        <v>30.329000000000001</v>
      </c>
    </row>
    <row r="141" spans="1:5" x14ac:dyDescent="0.2">
      <c r="A141">
        <v>10105796</v>
      </c>
      <c r="B141" t="s">
        <v>440</v>
      </c>
      <c r="C141" s="126">
        <v>285</v>
      </c>
      <c r="D141" s="126">
        <v>285</v>
      </c>
      <c r="E141" s="126">
        <v>0</v>
      </c>
    </row>
  </sheetData>
  <phoneticPr fontId="2" type="noConversion"/>
  <pageMargins left="0.7" right="0.7" top="0.75" bottom="0.75" header="0.3" footer="0.3"/>
  <pageSetup paperSize="9" orientation="portrait" r:id="rId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AC138"/>
  <sheetViews>
    <sheetView workbookViewId="0">
      <selection activeCell="E28" sqref="E28"/>
    </sheetView>
  </sheetViews>
  <sheetFormatPr defaultColWidth="9.140625" defaultRowHeight="12.75" x14ac:dyDescent="0.2"/>
  <cols>
    <col min="1" max="1" width="9.7109375" style="1" bestFit="1" customWidth="1"/>
    <col min="2" max="2" width="36.140625" style="1" bestFit="1" customWidth="1"/>
    <col min="3" max="28" width="11.85546875" style="1" bestFit="1" customWidth="1"/>
    <col min="29" max="29" width="13" style="1" bestFit="1" customWidth="1"/>
    <col min="30" max="16384" width="9.140625" style="1"/>
  </cols>
  <sheetData>
    <row r="3" spans="1:29" x14ac:dyDescent="0.2">
      <c r="A3" s="3" t="s">
        <v>162</v>
      </c>
      <c r="C3" s="3" t="s">
        <v>310</v>
      </c>
      <c r="D3" s="3" t="s">
        <v>309</v>
      </c>
    </row>
    <row r="4" spans="1:29" x14ac:dyDescent="0.2">
      <c r="C4" s="1" t="s">
        <v>0</v>
      </c>
      <c r="D4" s="1" t="s">
        <v>0</v>
      </c>
      <c r="E4" s="1" t="s">
        <v>9</v>
      </c>
      <c r="F4" s="1" t="s">
        <v>9</v>
      </c>
      <c r="G4" s="1" t="s">
        <v>16</v>
      </c>
      <c r="H4" s="1" t="s">
        <v>16</v>
      </c>
      <c r="I4" s="1" t="s">
        <v>19</v>
      </c>
      <c r="J4" s="1" t="s">
        <v>19</v>
      </c>
      <c r="K4" s="1" t="s">
        <v>26</v>
      </c>
      <c r="L4" s="1" t="s">
        <v>26</v>
      </c>
      <c r="M4" s="1" t="s">
        <v>35</v>
      </c>
      <c r="N4" s="1" t="s">
        <v>35</v>
      </c>
      <c r="O4" s="1" t="s">
        <v>48</v>
      </c>
      <c r="P4" s="1" t="s">
        <v>48</v>
      </c>
      <c r="Q4" s="1" t="s">
        <v>51</v>
      </c>
      <c r="R4" s="1" t="s">
        <v>51</v>
      </c>
      <c r="S4" s="1" t="s">
        <v>54</v>
      </c>
      <c r="T4" s="1" t="s">
        <v>54</v>
      </c>
      <c r="U4" s="1" t="s">
        <v>67</v>
      </c>
      <c r="V4" s="1" t="s">
        <v>67</v>
      </c>
      <c r="W4" s="1" t="s">
        <v>84</v>
      </c>
      <c r="X4" s="1" t="s">
        <v>84</v>
      </c>
      <c r="Y4" s="1" t="s">
        <v>99</v>
      </c>
      <c r="Z4" s="1" t="s">
        <v>99</v>
      </c>
      <c r="AA4" s="1" t="s">
        <v>116</v>
      </c>
      <c r="AB4" s="1" t="s">
        <v>116</v>
      </c>
      <c r="AC4" s="1" t="s">
        <v>160</v>
      </c>
    </row>
    <row r="5" spans="1:29" x14ac:dyDescent="0.2">
      <c r="A5" s="3" t="s">
        <v>157</v>
      </c>
      <c r="B5" s="3" t="s">
        <v>158</v>
      </c>
      <c r="C5" s="1" t="s">
        <v>192</v>
      </c>
      <c r="D5" s="1" t="s">
        <v>191</v>
      </c>
      <c r="E5" s="1" t="s">
        <v>192</v>
      </c>
      <c r="F5" s="1" t="s">
        <v>191</v>
      </c>
      <c r="G5" s="1" t="s">
        <v>192</v>
      </c>
      <c r="H5" s="1" t="s">
        <v>191</v>
      </c>
      <c r="I5" s="1" t="s">
        <v>192</v>
      </c>
      <c r="J5" s="1" t="s">
        <v>191</v>
      </c>
      <c r="K5" s="1" t="s">
        <v>192</v>
      </c>
      <c r="L5" s="1" t="s">
        <v>191</v>
      </c>
      <c r="M5" s="1" t="s">
        <v>192</v>
      </c>
      <c r="N5" s="1" t="s">
        <v>191</v>
      </c>
      <c r="O5" s="1" t="s">
        <v>192</v>
      </c>
      <c r="P5" s="1" t="s">
        <v>191</v>
      </c>
      <c r="Q5" s="1" t="s">
        <v>192</v>
      </c>
      <c r="R5" s="1" t="s">
        <v>191</v>
      </c>
      <c r="S5" s="1" t="s">
        <v>192</v>
      </c>
      <c r="T5" s="1" t="s">
        <v>191</v>
      </c>
      <c r="U5" s="1" t="s">
        <v>192</v>
      </c>
      <c r="V5" s="1" t="s">
        <v>191</v>
      </c>
      <c r="W5" s="1" t="s">
        <v>192</v>
      </c>
      <c r="X5" s="1" t="s">
        <v>191</v>
      </c>
      <c r="Y5" s="1" t="s">
        <v>192</v>
      </c>
      <c r="Z5" s="1" t="s">
        <v>191</v>
      </c>
      <c r="AA5" s="1" t="s">
        <v>192</v>
      </c>
      <c r="AB5" s="1" t="s">
        <v>191</v>
      </c>
    </row>
    <row r="6" spans="1:29" x14ac:dyDescent="0.2">
      <c r="A6" s="1" t="s">
        <v>308</v>
      </c>
      <c r="B6" s="1" t="s">
        <v>307</v>
      </c>
      <c r="C6" s="2"/>
      <c r="D6" s="2">
        <v>5440000</v>
      </c>
      <c r="E6" s="2"/>
      <c r="F6" s="2">
        <v>2700000</v>
      </c>
      <c r="G6" s="2"/>
      <c r="H6" s="2">
        <v>800000</v>
      </c>
      <c r="I6" s="2"/>
      <c r="J6" s="2">
        <v>8100000</v>
      </c>
      <c r="K6" s="2"/>
      <c r="L6" s="2">
        <v>6200000</v>
      </c>
      <c r="M6" s="2"/>
      <c r="N6" s="2">
        <v>8520000</v>
      </c>
      <c r="O6" s="2"/>
      <c r="P6" s="2">
        <v>5400000</v>
      </c>
      <c r="Q6" s="2"/>
      <c r="R6" s="2">
        <v>8900000</v>
      </c>
      <c r="S6" s="2"/>
      <c r="T6" s="2">
        <v>6200000</v>
      </c>
      <c r="U6" s="2"/>
      <c r="V6" s="2">
        <v>8100000</v>
      </c>
      <c r="W6" s="2"/>
      <c r="X6" s="2">
        <v>3500000</v>
      </c>
      <c r="Y6" s="2"/>
      <c r="Z6" s="2">
        <v>2700000</v>
      </c>
      <c r="AA6" s="2"/>
      <c r="AB6" s="2">
        <v>8900000</v>
      </c>
      <c r="AC6" s="2">
        <v>75460000</v>
      </c>
    </row>
    <row r="7" spans="1:29" x14ac:dyDescent="0.2">
      <c r="A7" s="1" t="s">
        <v>114</v>
      </c>
      <c r="B7" s="1" t="s">
        <v>115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>
        <v>1180000</v>
      </c>
      <c r="Z7" s="2"/>
      <c r="AA7" s="2"/>
      <c r="AB7" s="2"/>
      <c r="AC7" s="2">
        <v>1180000</v>
      </c>
    </row>
    <row r="8" spans="1:29" x14ac:dyDescent="0.2">
      <c r="A8" s="1" t="s">
        <v>29</v>
      </c>
      <c r="B8" s="1" t="s">
        <v>30</v>
      </c>
      <c r="C8" s="2"/>
      <c r="D8" s="2"/>
      <c r="E8" s="2"/>
      <c r="F8" s="2"/>
      <c r="G8" s="2"/>
      <c r="H8" s="2"/>
      <c r="I8" s="2"/>
      <c r="J8" s="2"/>
      <c r="K8" s="2">
        <v>125000000</v>
      </c>
      <c r="L8" s="2"/>
      <c r="M8" s="2"/>
      <c r="N8" s="2"/>
      <c r="O8" s="2"/>
      <c r="P8" s="2"/>
      <c r="Q8" s="2">
        <v>1204000</v>
      </c>
      <c r="R8" s="2"/>
      <c r="S8" s="2">
        <v>12748000</v>
      </c>
      <c r="T8" s="2"/>
      <c r="U8" s="2">
        <v>15113000</v>
      </c>
      <c r="V8" s="2"/>
      <c r="W8" s="2">
        <v>14691000</v>
      </c>
      <c r="X8" s="2"/>
      <c r="Y8" s="2">
        <v>16287000</v>
      </c>
      <c r="Z8" s="2"/>
      <c r="AA8" s="2">
        <v>22155000</v>
      </c>
      <c r="AB8" s="2"/>
      <c r="AC8" s="2">
        <v>207198000</v>
      </c>
    </row>
    <row r="9" spans="1:29" x14ac:dyDescent="0.2">
      <c r="A9" s="1" t="s">
        <v>306</v>
      </c>
      <c r="B9" s="1" t="s">
        <v>305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  <c r="AB9" s="2">
        <v>330000</v>
      </c>
      <c r="AC9" s="2">
        <v>330000</v>
      </c>
    </row>
    <row r="10" spans="1:29" x14ac:dyDescent="0.2">
      <c r="A10" s="1" t="s">
        <v>169</v>
      </c>
      <c r="B10" s="1" t="s">
        <v>170</v>
      </c>
      <c r="C10" s="2"/>
      <c r="D10" s="2">
        <v>12330000</v>
      </c>
      <c r="E10" s="2"/>
      <c r="F10" s="2">
        <v>11978000</v>
      </c>
      <c r="G10" s="2"/>
      <c r="H10" s="2">
        <v>36768000</v>
      </c>
      <c r="I10" s="2"/>
      <c r="J10" s="2">
        <v>5812000</v>
      </c>
      <c r="K10" s="2"/>
      <c r="L10" s="2">
        <v>25362000</v>
      </c>
      <c r="M10" s="2"/>
      <c r="N10" s="2">
        <v>31560000</v>
      </c>
      <c r="O10" s="2"/>
      <c r="P10" s="2">
        <v>39220000</v>
      </c>
      <c r="Q10" s="2"/>
      <c r="R10" s="2">
        <v>21800000</v>
      </c>
      <c r="S10" s="2"/>
      <c r="T10" s="2">
        <v>36380000</v>
      </c>
      <c r="U10" s="2"/>
      <c r="V10" s="2">
        <v>26380000</v>
      </c>
      <c r="W10" s="2"/>
      <c r="X10" s="2">
        <v>2420000</v>
      </c>
      <c r="Y10" s="2"/>
      <c r="Z10" s="2">
        <v>54640000</v>
      </c>
      <c r="AA10" s="2"/>
      <c r="AB10" s="2">
        <v>29660000</v>
      </c>
      <c r="AC10" s="2">
        <v>334310000</v>
      </c>
    </row>
    <row r="11" spans="1:29" x14ac:dyDescent="0.2">
      <c r="A11" s="1" t="s">
        <v>133</v>
      </c>
      <c r="B11" s="1" t="s">
        <v>134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>
        <v>2692000</v>
      </c>
      <c r="AB11" s="2"/>
      <c r="AC11" s="2">
        <v>2692000</v>
      </c>
    </row>
    <row r="12" spans="1:29" x14ac:dyDescent="0.2">
      <c r="A12" s="1" t="s">
        <v>141</v>
      </c>
      <c r="B12" s="1" t="s">
        <v>142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>
        <v>2649000</v>
      </c>
      <c r="AB12" s="2"/>
      <c r="AC12" s="2">
        <v>2649000</v>
      </c>
    </row>
    <row r="13" spans="1:29" x14ac:dyDescent="0.2">
      <c r="A13" s="1" t="s">
        <v>304</v>
      </c>
      <c r="B13" s="1" t="s">
        <v>303</v>
      </c>
      <c r="C13" s="2"/>
      <c r="D13" s="2"/>
      <c r="E13" s="2"/>
      <c r="F13" s="2">
        <v>8602050</v>
      </c>
      <c r="G13" s="2"/>
      <c r="H13" s="2">
        <v>3440820</v>
      </c>
      <c r="I13" s="2"/>
      <c r="J13" s="2">
        <v>3440820</v>
      </c>
      <c r="K13" s="2"/>
      <c r="L13" s="2"/>
      <c r="M13" s="2"/>
      <c r="N13" s="2">
        <v>3682350</v>
      </c>
      <c r="O13" s="2"/>
      <c r="P13" s="2"/>
      <c r="Q13" s="2"/>
      <c r="R13" s="2"/>
      <c r="S13" s="2"/>
      <c r="T13" s="2"/>
      <c r="U13" s="2"/>
      <c r="V13" s="2">
        <v>0</v>
      </c>
      <c r="W13" s="2"/>
      <c r="X13" s="2"/>
      <c r="Y13" s="2"/>
      <c r="Z13" s="2"/>
      <c r="AA13" s="2"/>
      <c r="AB13" s="2"/>
      <c r="AC13" s="2">
        <v>19166040</v>
      </c>
    </row>
    <row r="14" spans="1:29" x14ac:dyDescent="0.2">
      <c r="A14" s="1" t="s">
        <v>131</v>
      </c>
      <c r="B14" s="1" t="s">
        <v>132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>
        <v>3742000</v>
      </c>
      <c r="AB14" s="2"/>
      <c r="AC14" s="2">
        <v>3742000</v>
      </c>
    </row>
    <row r="15" spans="1:29" x14ac:dyDescent="0.2">
      <c r="A15" s="1" t="s">
        <v>302</v>
      </c>
      <c r="B15" s="1" t="s">
        <v>301</v>
      </c>
      <c r="C15" s="2"/>
      <c r="D15" s="2">
        <v>17523000</v>
      </c>
      <c r="E15" s="2"/>
      <c r="F15" s="2"/>
      <c r="G15" s="2"/>
      <c r="H15" s="2">
        <v>7812000</v>
      </c>
      <c r="I15" s="2"/>
      <c r="J15" s="2">
        <v>7812000</v>
      </c>
      <c r="K15" s="2"/>
      <c r="L15" s="2">
        <v>7812000</v>
      </c>
      <c r="M15" s="2"/>
      <c r="N15" s="2">
        <v>10323000</v>
      </c>
      <c r="O15" s="2"/>
      <c r="P15" s="2">
        <v>15624000</v>
      </c>
      <c r="Q15" s="2"/>
      <c r="R15" s="2">
        <v>7812000</v>
      </c>
      <c r="S15" s="2"/>
      <c r="T15" s="2">
        <v>8928000</v>
      </c>
      <c r="U15" s="2"/>
      <c r="V15" s="2">
        <v>15624000</v>
      </c>
      <c r="W15" s="2"/>
      <c r="X15" s="2">
        <v>12306000</v>
      </c>
      <c r="Y15" s="2"/>
      <c r="Z15" s="2">
        <v>7812000</v>
      </c>
      <c r="AA15" s="2"/>
      <c r="AB15" s="2">
        <v>7811998</v>
      </c>
      <c r="AC15" s="2">
        <v>127199998</v>
      </c>
    </row>
    <row r="16" spans="1:29" x14ac:dyDescent="0.2">
      <c r="A16" s="1" t="s">
        <v>300</v>
      </c>
      <c r="B16" s="1" t="s">
        <v>299</v>
      </c>
      <c r="C16" s="2"/>
      <c r="D16" s="2">
        <v>2700000</v>
      </c>
      <c r="E16" s="2"/>
      <c r="F16" s="2">
        <v>-107988</v>
      </c>
      <c r="G16" s="2"/>
      <c r="H16" s="2"/>
      <c r="I16" s="2"/>
      <c r="J16" s="2">
        <v>5292012</v>
      </c>
      <c r="K16" s="2"/>
      <c r="L16" s="2"/>
      <c r="M16" s="2"/>
      <c r="N16" s="2">
        <v>21168048</v>
      </c>
      <c r="O16" s="2"/>
      <c r="P16" s="2"/>
      <c r="Q16" s="2"/>
      <c r="R16" s="2">
        <v>13230030</v>
      </c>
      <c r="S16" s="2"/>
      <c r="T16" s="2">
        <v>5292012</v>
      </c>
      <c r="U16" s="2"/>
      <c r="V16" s="2">
        <v>16092012</v>
      </c>
      <c r="W16" s="2"/>
      <c r="X16" s="2">
        <v>2646006</v>
      </c>
      <c r="Y16" s="2"/>
      <c r="Z16" s="2">
        <v>3600003</v>
      </c>
      <c r="AA16" s="2"/>
      <c r="AB16" s="2"/>
      <c r="AC16" s="2">
        <v>69912135</v>
      </c>
    </row>
    <row r="17" spans="1:29" x14ac:dyDescent="0.2">
      <c r="A17" s="1" t="s">
        <v>298</v>
      </c>
      <c r="B17" s="1" t="s">
        <v>297</v>
      </c>
      <c r="C17" s="2"/>
      <c r="D17" s="2">
        <v>1865640</v>
      </c>
      <c r="E17" s="2"/>
      <c r="F17" s="2">
        <v>3731280</v>
      </c>
      <c r="G17" s="2"/>
      <c r="H17" s="2">
        <v>1399230</v>
      </c>
      <c r="I17" s="2"/>
      <c r="J17" s="2">
        <v>1865640</v>
      </c>
      <c r="K17" s="2"/>
      <c r="L17" s="2">
        <v>3731280</v>
      </c>
      <c r="M17" s="2"/>
      <c r="N17" s="2">
        <v>932820</v>
      </c>
      <c r="O17" s="2"/>
      <c r="P17" s="2">
        <v>1865640</v>
      </c>
      <c r="Q17" s="2"/>
      <c r="R17" s="2">
        <v>2332050</v>
      </c>
      <c r="S17" s="2"/>
      <c r="T17" s="2">
        <v>1399230</v>
      </c>
      <c r="U17" s="2"/>
      <c r="V17" s="2">
        <v>932820</v>
      </c>
      <c r="W17" s="2"/>
      <c r="X17" s="2"/>
      <c r="Y17" s="2"/>
      <c r="Z17" s="2">
        <v>466410</v>
      </c>
      <c r="AA17" s="2"/>
      <c r="AB17" s="2"/>
      <c r="AC17" s="2">
        <v>20522040</v>
      </c>
    </row>
    <row r="18" spans="1:29" x14ac:dyDescent="0.2">
      <c r="A18" s="1" t="s">
        <v>296</v>
      </c>
      <c r="B18" s="1" t="s">
        <v>295</v>
      </c>
      <c r="C18" s="2"/>
      <c r="D18" s="2"/>
      <c r="E18" s="2"/>
      <c r="F18" s="2">
        <v>9000000</v>
      </c>
      <c r="G18" s="2"/>
      <c r="H18" s="2">
        <v>3600000</v>
      </c>
      <c r="I18" s="2"/>
      <c r="J18" s="2"/>
      <c r="K18" s="2"/>
      <c r="L18" s="2"/>
      <c r="M18" s="2"/>
      <c r="N18" s="2">
        <v>9000000</v>
      </c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  <c r="AB18" s="2"/>
      <c r="AC18" s="2">
        <v>21600000</v>
      </c>
    </row>
    <row r="19" spans="1:29" x14ac:dyDescent="0.2">
      <c r="A19" s="1" t="s">
        <v>42</v>
      </c>
      <c r="B19" s="1" t="s">
        <v>43</v>
      </c>
      <c r="C19" s="2"/>
      <c r="D19" s="2"/>
      <c r="E19" s="2"/>
      <c r="F19" s="2"/>
      <c r="G19" s="2"/>
      <c r="H19" s="2"/>
      <c r="I19" s="2"/>
      <c r="J19" s="2"/>
      <c r="K19" s="2"/>
      <c r="L19" s="2"/>
      <c r="M19" s="2">
        <v>203000000</v>
      </c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>
        <v>-203000000</v>
      </c>
      <c r="AB19" s="2"/>
      <c r="AC19" s="2">
        <v>0</v>
      </c>
    </row>
    <row r="20" spans="1:29" x14ac:dyDescent="0.2">
      <c r="A20" s="1" t="s">
        <v>294</v>
      </c>
      <c r="B20" s="1" t="s">
        <v>293</v>
      </c>
      <c r="C20" s="2"/>
      <c r="D20" s="2">
        <v>3000000</v>
      </c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>
        <v>3000000</v>
      </c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  <c r="AB20" s="2"/>
      <c r="AC20" s="2">
        <v>6000000</v>
      </c>
    </row>
    <row r="21" spans="1:29" x14ac:dyDescent="0.2">
      <c r="A21" s="1" t="s">
        <v>292</v>
      </c>
      <c r="B21" s="1" t="s">
        <v>291</v>
      </c>
      <c r="C21" s="2"/>
      <c r="D21" s="2">
        <v>1160000</v>
      </c>
      <c r="E21" s="2"/>
      <c r="F21" s="2"/>
      <c r="G21" s="2"/>
      <c r="H21" s="2">
        <v>3000000</v>
      </c>
      <c r="I21" s="2"/>
      <c r="J21" s="2"/>
      <c r="K21" s="2"/>
      <c r="L21" s="2">
        <v>3000000</v>
      </c>
      <c r="M21" s="2"/>
      <c r="N21" s="2"/>
      <c r="O21" s="2"/>
      <c r="P21" s="2"/>
      <c r="Q21" s="2"/>
      <c r="R21" s="2"/>
      <c r="S21" s="2"/>
      <c r="T21" s="2">
        <v>3000000</v>
      </c>
      <c r="U21" s="2"/>
      <c r="V21" s="2"/>
      <c r="W21" s="2"/>
      <c r="X21" s="2">
        <v>3000000</v>
      </c>
      <c r="Y21" s="2"/>
      <c r="Z21" s="2"/>
      <c r="AA21" s="2"/>
      <c r="AB21" s="2">
        <v>3000000</v>
      </c>
      <c r="AC21" s="2">
        <v>16160000</v>
      </c>
    </row>
    <row r="22" spans="1:29" x14ac:dyDescent="0.2">
      <c r="A22" s="1" t="s">
        <v>36</v>
      </c>
      <c r="B22" s="1" t="s">
        <v>37</v>
      </c>
      <c r="C22" s="2"/>
      <c r="D22" s="2"/>
      <c r="E22" s="2"/>
      <c r="F22" s="2"/>
      <c r="G22" s="2"/>
      <c r="H22" s="2"/>
      <c r="I22" s="2"/>
      <c r="J22" s="2"/>
      <c r="K22" s="2"/>
      <c r="L22" s="2"/>
      <c r="M22" s="2">
        <v>98145000</v>
      </c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  <c r="AB22" s="2"/>
      <c r="AC22" s="2">
        <v>98145000</v>
      </c>
    </row>
    <row r="23" spans="1:29" x14ac:dyDescent="0.2">
      <c r="A23" s="1" t="s">
        <v>5</v>
      </c>
      <c r="B23" s="1" t="s">
        <v>6</v>
      </c>
      <c r="C23" s="2">
        <v>112436100</v>
      </c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>
        <v>1279000</v>
      </c>
      <c r="R23" s="2"/>
      <c r="S23" s="2">
        <v>4617000</v>
      </c>
      <c r="T23" s="2"/>
      <c r="U23" s="2">
        <v>5008000</v>
      </c>
      <c r="V23" s="2"/>
      <c r="W23" s="2">
        <v>5709000</v>
      </c>
      <c r="X23" s="2"/>
      <c r="Y23" s="2">
        <v>5098000</v>
      </c>
      <c r="Z23" s="2"/>
      <c r="AA23" s="2">
        <v>4804000</v>
      </c>
      <c r="AB23" s="2"/>
      <c r="AC23" s="2">
        <v>138951100</v>
      </c>
    </row>
    <row r="24" spans="1:29" x14ac:dyDescent="0.2">
      <c r="A24" s="1" t="s">
        <v>85</v>
      </c>
      <c r="B24" s="1" t="s">
        <v>86</v>
      </c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v>1155000</v>
      </c>
      <c r="X24" s="2"/>
      <c r="Y24" s="2">
        <v>1450000</v>
      </c>
      <c r="Z24" s="2"/>
      <c r="AA24" s="2">
        <v>1450000</v>
      </c>
      <c r="AB24" s="2"/>
      <c r="AC24" s="2">
        <v>4055000</v>
      </c>
    </row>
    <row r="25" spans="1:29" x14ac:dyDescent="0.2">
      <c r="A25" s="1" t="s">
        <v>290</v>
      </c>
      <c r="B25" s="1" t="s">
        <v>289</v>
      </c>
      <c r="C25" s="2"/>
      <c r="D25" s="2">
        <v>594000</v>
      </c>
      <c r="E25" s="2"/>
      <c r="F25" s="2">
        <v>594000</v>
      </c>
      <c r="G25" s="2"/>
      <c r="H25" s="2"/>
      <c r="I25" s="2"/>
      <c r="J25" s="2">
        <v>594000</v>
      </c>
      <c r="K25" s="2"/>
      <c r="L25" s="2"/>
      <c r="M25" s="2"/>
      <c r="N25" s="2">
        <v>594000</v>
      </c>
      <c r="O25" s="2"/>
      <c r="P25" s="2">
        <v>594000</v>
      </c>
      <c r="Q25" s="2"/>
      <c r="R25" s="2"/>
      <c r="S25" s="2"/>
      <c r="T25" s="2">
        <v>594000</v>
      </c>
      <c r="U25" s="2"/>
      <c r="V25" s="2">
        <v>594000</v>
      </c>
      <c r="W25" s="2"/>
      <c r="X25" s="2">
        <v>594000</v>
      </c>
      <c r="Y25" s="2"/>
      <c r="Z25" s="2"/>
      <c r="AA25" s="2"/>
      <c r="AB25" s="2">
        <v>891000</v>
      </c>
      <c r="AC25" s="2">
        <v>5643000</v>
      </c>
    </row>
    <row r="26" spans="1:29" x14ac:dyDescent="0.2">
      <c r="A26" s="1" t="s">
        <v>288</v>
      </c>
      <c r="B26" s="1" t="s">
        <v>287</v>
      </c>
      <c r="C26" s="2"/>
      <c r="D26" s="2">
        <v>541100</v>
      </c>
      <c r="E26" s="2"/>
      <c r="F26" s="2"/>
      <c r="G26" s="2"/>
      <c r="H26" s="2">
        <v>1092420</v>
      </c>
      <c r="I26" s="2"/>
      <c r="J26" s="2"/>
      <c r="K26" s="2"/>
      <c r="L26" s="2"/>
      <c r="M26" s="2"/>
      <c r="N26" s="2">
        <v>932820</v>
      </c>
      <c r="O26" s="2"/>
      <c r="P26" s="2">
        <v>1313340</v>
      </c>
      <c r="Q26" s="2"/>
      <c r="R26" s="2">
        <v>4656520</v>
      </c>
      <c r="S26" s="2"/>
      <c r="T26" s="2"/>
      <c r="U26" s="2"/>
      <c r="V26" s="2">
        <v>1082900</v>
      </c>
      <c r="W26" s="2"/>
      <c r="X26" s="2">
        <v>2713770</v>
      </c>
      <c r="Y26" s="2"/>
      <c r="Z26" s="2">
        <v>2165800</v>
      </c>
      <c r="AA26" s="2"/>
      <c r="AB26" s="2">
        <v>451865</v>
      </c>
      <c r="AC26" s="2">
        <v>14950535</v>
      </c>
    </row>
    <row r="27" spans="1:29" x14ac:dyDescent="0.2">
      <c r="A27" s="1" t="s">
        <v>147</v>
      </c>
      <c r="B27" s="1" t="s">
        <v>148</v>
      </c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>
        <v>3524000</v>
      </c>
      <c r="AB27" s="2"/>
      <c r="AC27" s="2">
        <v>3524000</v>
      </c>
    </row>
    <row r="28" spans="1:29" x14ac:dyDescent="0.2">
      <c r="A28" s="1" t="s">
        <v>61</v>
      </c>
      <c r="B28" s="1" t="s">
        <v>62</v>
      </c>
      <c r="C28" s="2"/>
      <c r="D28" s="2">
        <v>60000000</v>
      </c>
      <c r="E28" s="2"/>
      <c r="F28" s="2">
        <v>4800000</v>
      </c>
      <c r="G28" s="2"/>
      <c r="H28" s="2"/>
      <c r="I28" s="2"/>
      <c r="J28" s="2">
        <v>7420000</v>
      </c>
      <c r="K28" s="2"/>
      <c r="L28" s="2">
        <v>6048000</v>
      </c>
      <c r="M28" s="2"/>
      <c r="N28" s="2">
        <v>24556000</v>
      </c>
      <c r="O28" s="2"/>
      <c r="P28" s="2">
        <v>14868000</v>
      </c>
      <c r="Q28" s="2"/>
      <c r="R28" s="2">
        <v>21564000</v>
      </c>
      <c r="S28" s="2">
        <v>145000000</v>
      </c>
      <c r="T28" s="2">
        <v>2100000</v>
      </c>
      <c r="U28" s="2"/>
      <c r="V28" s="2">
        <v>28056000</v>
      </c>
      <c r="W28" s="2"/>
      <c r="X28" s="2">
        <v>27582000</v>
      </c>
      <c r="Y28" s="2"/>
      <c r="Z28" s="2">
        <v>92085000</v>
      </c>
      <c r="AA28" s="2"/>
      <c r="AB28" s="2">
        <v>5985000</v>
      </c>
      <c r="AC28" s="2">
        <v>440064000</v>
      </c>
    </row>
    <row r="29" spans="1:29" x14ac:dyDescent="0.2">
      <c r="A29" s="1" t="s">
        <v>286</v>
      </c>
      <c r="B29" s="1" t="s">
        <v>285</v>
      </c>
      <c r="C29" s="2"/>
      <c r="D29" s="2"/>
      <c r="E29" s="2"/>
      <c r="F29" s="2">
        <v>8100000</v>
      </c>
      <c r="G29" s="2"/>
      <c r="H29" s="2"/>
      <c r="I29" s="2"/>
      <c r="J29" s="2"/>
      <c r="K29" s="2"/>
      <c r="L29" s="2">
        <v>6300000</v>
      </c>
      <c r="M29" s="2"/>
      <c r="N29" s="2"/>
      <c r="O29" s="2"/>
      <c r="P29" s="2"/>
      <c r="Q29" s="2"/>
      <c r="R29" s="2">
        <v>16300000</v>
      </c>
      <c r="S29" s="2"/>
      <c r="T29" s="2"/>
      <c r="U29" s="2"/>
      <c r="V29" s="2"/>
      <c r="W29" s="2"/>
      <c r="X29" s="2"/>
      <c r="Y29" s="2"/>
      <c r="Z29" s="2">
        <v>6300000</v>
      </c>
      <c r="AA29" s="2"/>
      <c r="AB29" s="2">
        <v>8100000</v>
      </c>
      <c r="AC29" s="2">
        <v>45100000</v>
      </c>
    </row>
    <row r="30" spans="1:29" x14ac:dyDescent="0.2">
      <c r="A30" s="1" t="s">
        <v>284</v>
      </c>
      <c r="B30" s="1" t="s">
        <v>283</v>
      </c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>
        <v>2380000</v>
      </c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  <c r="AC30" s="2">
        <v>2380000</v>
      </c>
    </row>
    <row r="31" spans="1:29" x14ac:dyDescent="0.2">
      <c r="A31" s="1" t="s">
        <v>282</v>
      </c>
      <c r="B31" s="1" t="s">
        <v>281</v>
      </c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>
        <v>8660000</v>
      </c>
      <c r="AC31" s="2">
        <v>8660000</v>
      </c>
    </row>
    <row r="32" spans="1:29" x14ac:dyDescent="0.2">
      <c r="A32" s="1" t="s">
        <v>280</v>
      </c>
      <c r="B32" s="1" t="s">
        <v>279</v>
      </c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>
        <v>15000000</v>
      </c>
      <c r="AA32" s="2"/>
      <c r="AB32" s="2"/>
      <c r="AC32" s="2">
        <v>15000000</v>
      </c>
    </row>
    <row r="33" spans="1:29" x14ac:dyDescent="0.2">
      <c r="A33" s="1" t="s">
        <v>33</v>
      </c>
      <c r="B33" s="1" t="s">
        <v>34</v>
      </c>
      <c r="C33" s="2"/>
      <c r="D33" s="2"/>
      <c r="E33" s="2"/>
      <c r="F33" s="2">
        <v>1180000</v>
      </c>
      <c r="G33" s="2"/>
      <c r="H33" s="2">
        <v>1500000</v>
      </c>
      <c r="I33" s="2"/>
      <c r="J33" s="2"/>
      <c r="K33" s="2">
        <v>310938000</v>
      </c>
      <c r="L33" s="2">
        <v>9000000</v>
      </c>
      <c r="M33" s="2"/>
      <c r="N33" s="2">
        <v>3000000</v>
      </c>
      <c r="O33" s="2"/>
      <c r="P33" s="2">
        <v>1500000</v>
      </c>
      <c r="Q33" s="2">
        <v>149065000</v>
      </c>
      <c r="R33" s="2">
        <v>4500000</v>
      </c>
      <c r="S33" s="2">
        <v>17864000</v>
      </c>
      <c r="T33" s="2">
        <v>1500000</v>
      </c>
      <c r="U33" s="2"/>
      <c r="V33" s="2">
        <v>3000000</v>
      </c>
      <c r="W33" s="2"/>
      <c r="X33" s="2">
        <v>1500000</v>
      </c>
      <c r="Y33" s="2"/>
      <c r="Z33" s="2">
        <v>3000000</v>
      </c>
      <c r="AA33" s="2"/>
      <c r="AB33" s="2">
        <v>1500000</v>
      </c>
      <c r="AC33" s="2">
        <v>509047000</v>
      </c>
    </row>
    <row r="34" spans="1:29" x14ac:dyDescent="0.2">
      <c r="A34" s="1" t="s">
        <v>278</v>
      </c>
      <c r="B34" s="1" t="s">
        <v>277</v>
      </c>
      <c r="C34" s="2"/>
      <c r="D34" s="2">
        <v>4200000</v>
      </c>
      <c r="E34" s="2"/>
      <c r="F34" s="2"/>
      <c r="G34" s="2"/>
      <c r="H34" s="2">
        <v>2520000</v>
      </c>
      <c r="I34" s="2"/>
      <c r="J34" s="2"/>
      <c r="K34" s="2"/>
      <c r="L34" s="2">
        <v>1680000</v>
      </c>
      <c r="M34" s="2"/>
      <c r="N34" s="2">
        <v>1680000</v>
      </c>
      <c r="O34" s="2"/>
      <c r="P34" s="2">
        <v>1680000</v>
      </c>
      <c r="Q34" s="2"/>
      <c r="R34" s="2">
        <v>1680000</v>
      </c>
      <c r="S34" s="2"/>
      <c r="T34" s="2"/>
      <c r="U34" s="2"/>
      <c r="V34" s="2">
        <v>1680000</v>
      </c>
      <c r="W34" s="2"/>
      <c r="X34" s="2"/>
      <c r="Y34" s="2"/>
      <c r="Z34" s="2">
        <v>1680000</v>
      </c>
      <c r="AA34" s="2"/>
      <c r="AB34" s="2">
        <v>1260000</v>
      </c>
      <c r="AC34" s="2">
        <v>18060000</v>
      </c>
    </row>
    <row r="35" spans="1:29" x14ac:dyDescent="0.2">
      <c r="A35" s="1" t="s">
        <v>276</v>
      </c>
      <c r="B35" s="1" t="s">
        <v>275</v>
      </c>
      <c r="C35" s="2"/>
      <c r="D35" s="2"/>
      <c r="E35" s="2"/>
      <c r="F35" s="2">
        <v>2400000</v>
      </c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>
        <v>2400000</v>
      </c>
      <c r="AA35" s="2"/>
      <c r="AB35" s="2"/>
      <c r="AC35" s="2">
        <v>4800000</v>
      </c>
    </row>
    <row r="36" spans="1:29" x14ac:dyDescent="0.2">
      <c r="A36" s="1" t="s">
        <v>274</v>
      </c>
      <c r="B36" s="1" t="s">
        <v>273</v>
      </c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>
        <v>3000000</v>
      </c>
      <c r="O36" s="2"/>
      <c r="P36" s="2">
        <v>6000000</v>
      </c>
      <c r="Q36" s="2"/>
      <c r="R36" s="2">
        <v>7500000</v>
      </c>
      <c r="S36" s="2"/>
      <c r="T36" s="2">
        <v>15000000</v>
      </c>
      <c r="U36" s="2"/>
      <c r="V36" s="2">
        <v>12000000</v>
      </c>
      <c r="W36" s="2"/>
      <c r="X36" s="2">
        <v>15000000</v>
      </c>
      <c r="Y36" s="2"/>
      <c r="Z36" s="2">
        <v>10500000</v>
      </c>
      <c r="AA36" s="2"/>
      <c r="AB36" s="2">
        <v>13500000</v>
      </c>
      <c r="AC36" s="2">
        <v>82500000</v>
      </c>
    </row>
    <row r="37" spans="1:29" x14ac:dyDescent="0.2">
      <c r="A37" s="1" t="s">
        <v>151</v>
      </c>
      <c r="B37" s="1" t="s">
        <v>152</v>
      </c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>
        <v>8413000</v>
      </c>
      <c r="AB37" s="2"/>
      <c r="AC37" s="2">
        <v>8413000</v>
      </c>
    </row>
    <row r="38" spans="1:29" x14ac:dyDescent="0.2">
      <c r="A38" s="1" t="s">
        <v>95</v>
      </c>
      <c r="B38" s="1" t="s">
        <v>96</v>
      </c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>
        <v>2800000</v>
      </c>
      <c r="S38" s="2"/>
      <c r="T38" s="2">
        <v>3050000</v>
      </c>
      <c r="U38" s="2"/>
      <c r="V38" s="2">
        <v>650000</v>
      </c>
      <c r="W38" s="2">
        <v>695000</v>
      </c>
      <c r="X38" s="2"/>
      <c r="Y38" s="2">
        <v>-695000</v>
      </c>
      <c r="Z38" s="2"/>
      <c r="AA38" s="2"/>
      <c r="AB38" s="2"/>
      <c r="AC38" s="2">
        <v>6500000</v>
      </c>
    </row>
    <row r="39" spans="1:29" x14ac:dyDescent="0.2">
      <c r="A39" s="1" t="s">
        <v>272</v>
      </c>
      <c r="B39" s="1" t="s">
        <v>271</v>
      </c>
      <c r="C39" s="2"/>
      <c r="D39" s="2"/>
      <c r="E39" s="2"/>
      <c r="F39" s="2">
        <v>9000000</v>
      </c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>
        <v>9000000</v>
      </c>
      <c r="S39" s="2"/>
      <c r="T39" s="2"/>
      <c r="U39" s="2"/>
      <c r="V39" s="2"/>
      <c r="W39" s="2"/>
      <c r="X39" s="2"/>
      <c r="Y39" s="2"/>
      <c r="Z39" s="2"/>
      <c r="AA39" s="2"/>
      <c r="AB39" s="2"/>
      <c r="AC39" s="2">
        <v>18000000</v>
      </c>
    </row>
    <row r="40" spans="1:29" x14ac:dyDescent="0.2">
      <c r="A40" s="1" t="s">
        <v>102</v>
      </c>
      <c r="B40" s="1" t="s">
        <v>103</v>
      </c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>
        <v>2687000</v>
      </c>
      <c r="Z40" s="2"/>
      <c r="AA40" s="2">
        <v>6576000</v>
      </c>
      <c r="AB40" s="2"/>
      <c r="AC40" s="2">
        <v>9263000</v>
      </c>
    </row>
    <row r="41" spans="1:29" x14ac:dyDescent="0.2">
      <c r="A41" s="1" t="s">
        <v>76</v>
      </c>
      <c r="B41" s="1" t="s">
        <v>77</v>
      </c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>
        <v>52158000</v>
      </c>
      <c r="V41" s="2"/>
      <c r="W41" s="2">
        <v>45991000</v>
      </c>
      <c r="X41" s="2"/>
      <c r="Y41" s="2">
        <v>39868000</v>
      </c>
      <c r="Z41" s="2"/>
      <c r="AA41" s="2">
        <v>40104000</v>
      </c>
      <c r="AB41" s="2"/>
      <c r="AC41" s="2">
        <v>178121000</v>
      </c>
    </row>
    <row r="42" spans="1:29" x14ac:dyDescent="0.2">
      <c r="A42" s="1" t="s">
        <v>270</v>
      </c>
      <c r="B42" s="1" t="s">
        <v>269</v>
      </c>
      <c r="C42" s="2"/>
      <c r="D42" s="2">
        <v>2340000</v>
      </c>
      <c r="E42" s="2"/>
      <c r="F42" s="2">
        <v>3900000</v>
      </c>
      <c r="G42" s="2"/>
      <c r="H42" s="2">
        <v>3900000</v>
      </c>
      <c r="I42" s="2"/>
      <c r="J42" s="2"/>
      <c r="K42" s="2"/>
      <c r="L42" s="2">
        <v>7800000</v>
      </c>
      <c r="M42" s="2"/>
      <c r="N42" s="2"/>
      <c r="O42" s="2"/>
      <c r="P42" s="2">
        <v>3900000</v>
      </c>
      <c r="Q42" s="2"/>
      <c r="R42" s="2">
        <v>2340000</v>
      </c>
      <c r="S42" s="2"/>
      <c r="T42" s="2">
        <v>3900000</v>
      </c>
      <c r="U42" s="2"/>
      <c r="V42" s="2">
        <v>3900000</v>
      </c>
      <c r="W42" s="2"/>
      <c r="X42" s="2"/>
      <c r="Y42" s="2"/>
      <c r="Z42" s="2">
        <v>3900000</v>
      </c>
      <c r="AA42" s="2"/>
      <c r="AB42" s="2">
        <v>3900000</v>
      </c>
      <c r="AC42" s="2">
        <v>39780000</v>
      </c>
    </row>
    <row r="43" spans="1:29" x14ac:dyDescent="0.2">
      <c r="A43" s="1" t="s">
        <v>129</v>
      </c>
      <c r="B43" s="1" t="s">
        <v>130</v>
      </c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>
        <v>10003000</v>
      </c>
      <c r="AB43" s="2"/>
      <c r="AC43" s="2">
        <v>10003000</v>
      </c>
    </row>
    <row r="44" spans="1:29" x14ac:dyDescent="0.2">
      <c r="A44" s="1" t="s">
        <v>268</v>
      </c>
      <c r="B44" s="1" t="s">
        <v>267</v>
      </c>
      <c r="C44" s="2"/>
      <c r="D44" s="2">
        <v>1684935</v>
      </c>
      <c r="E44" s="2"/>
      <c r="F44" s="2">
        <v>5054805</v>
      </c>
      <c r="G44" s="2"/>
      <c r="H44" s="2">
        <v>8424675</v>
      </c>
      <c r="I44" s="2"/>
      <c r="J44" s="2">
        <v>3369870</v>
      </c>
      <c r="K44" s="2"/>
      <c r="L44" s="2">
        <v>3606418</v>
      </c>
      <c r="M44" s="2"/>
      <c r="N44" s="2">
        <v>19200000</v>
      </c>
      <c r="O44" s="2"/>
      <c r="P44" s="2"/>
      <c r="Q44" s="2"/>
      <c r="R44" s="2">
        <v>3606418</v>
      </c>
      <c r="S44" s="2"/>
      <c r="T44" s="2"/>
      <c r="U44" s="2"/>
      <c r="V44" s="2"/>
      <c r="W44" s="2"/>
      <c r="X44" s="2">
        <v>1803209</v>
      </c>
      <c r="Y44" s="2"/>
      <c r="Z44" s="2"/>
      <c r="AA44" s="2"/>
      <c r="AB44" s="2"/>
      <c r="AC44" s="2">
        <v>46750330</v>
      </c>
    </row>
    <row r="45" spans="1:29" x14ac:dyDescent="0.2">
      <c r="A45" s="1" t="s">
        <v>266</v>
      </c>
      <c r="B45" s="1" t="s">
        <v>265</v>
      </c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>
        <v>2700000</v>
      </c>
      <c r="Y45" s="2"/>
      <c r="Z45" s="2"/>
      <c r="AA45" s="2"/>
      <c r="AB45" s="2"/>
      <c r="AC45" s="2">
        <v>2700000</v>
      </c>
    </row>
    <row r="46" spans="1:29" x14ac:dyDescent="0.2">
      <c r="A46" s="1" t="s">
        <v>264</v>
      </c>
      <c r="B46" s="1" t="s">
        <v>263</v>
      </c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>
        <v>4200000</v>
      </c>
      <c r="U46" s="2"/>
      <c r="V46" s="2"/>
      <c r="W46" s="2"/>
      <c r="X46" s="2"/>
      <c r="Y46" s="2"/>
      <c r="Z46" s="2">
        <v>11200000</v>
      </c>
      <c r="AA46" s="2"/>
      <c r="AB46" s="2"/>
      <c r="AC46" s="2">
        <v>15400000</v>
      </c>
    </row>
    <row r="47" spans="1:29" x14ac:dyDescent="0.2">
      <c r="A47" s="1" t="s">
        <v>262</v>
      </c>
      <c r="B47" s="1" t="s">
        <v>261</v>
      </c>
      <c r="C47" s="2"/>
      <c r="D47" s="2">
        <v>6000000</v>
      </c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>
        <v>4800000</v>
      </c>
      <c r="S47" s="2"/>
      <c r="T47" s="2"/>
      <c r="U47" s="2"/>
      <c r="V47" s="2"/>
      <c r="W47" s="2"/>
      <c r="X47" s="2"/>
      <c r="Y47" s="2"/>
      <c r="Z47" s="2"/>
      <c r="AA47" s="2"/>
      <c r="AB47" s="2">
        <v>22300000</v>
      </c>
      <c r="AC47" s="2">
        <v>33100000</v>
      </c>
    </row>
    <row r="48" spans="1:29" x14ac:dyDescent="0.2">
      <c r="A48" s="1" t="s">
        <v>260</v>
      </c>
      <c r="B48" s="1" t="s">
        <v>259</v>
      </c>
      <c r="C48" s="2"/>
      <c r="D48" s="2">
        <v>9000000</v>
      </c>
      <c r="E48" s="2"/>
      <c r="F48" s="2">
        <v>6000000</v>
      </c>
      <c r="G48" s="2"/>
      <c r="H48" s="2">
        <v>6000000</v>
      </c>
      <c r="I48" s="2"/>
      <c r="J48" s="2">
        <v>6000000</v>
      </c>
      <c r="K48" s="2"/>
      <c r="L48" s="2">
        <v>6000000</v>
      </c>
      <c r="M48" s="2"/>
      <c r="N48" s="2">
        <v>3000000</v>
      </c>
      <c r="O48" s="2"/>
      <c r="P48" s="2">
        <v>11320000</v>
      </c>
      <c r="Q48" s="2"/>
      <c r="R48" s="2">
        <v>6000000</v>
      </c>
      <c r="S48" s="2"/>
      <c r="T48" s="2">
        <v>6000000</v>
      </c>
      <c r="U48" s="2"/>
      <c r="V48" s="2">
        <v>6000000</v>
      </c>
      <c r="W48" s="2"/>
      <c r="X48" s="2">
        <v>6000000</v>
      </c>
      <c r="Y48" s="2"/>
      <c r="Z48" s="2">
        <v>6000000</v>
      </c>
      <c r="AA48" s="2"/>
      <c r="AB48" s="2">
        <v>6000000</v>
      </c>
      <c r="AC48" s="2">
        <v>83320000</v>
      </c>
    </row>
    <row r="49" spans="1:29" x14ac:dyDescent="0.2">
      <c r="A49" s="1" t="s">
        <v>44</v>
      </c>
      <c r="B49" s="1" t="s">
        <v>45</v>
      </c>
      <c r="C49" s="2"/>
      <c r="D49" s="2"/>
      <c r="E49" s="2"/>
      <c r="F49" s="2"/>
      <c r="G49" s="2"/>
      <c r="H49" s="2"/>
      <c r="I49" s="2"/>
      <c r="J49" s="2"/>
      <c r="K49" s="2"/>
      <c r="L49" s="2"/>
      <c r="M49" s="2">
        <v>133103000</v>
      </c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  <c r="AC49" s="2">
        <v>133103000</v>
      </c>
    </row>
    <row r="50" spans="1:29" x14ac:dyDescent="0.2">
      <c r="A50" s="1" t="s">
        <v>258</v>
      </c>
      <c r="B50" s="1" t="s">
        <v>257</v>
      </c>
      <c r="C50" s="2"/>
      <c r="D50" s="2"/>
      <c r="E50" s="2"/>
      <c r="F50" s="2"/>
      <c r="G50" s="2"/>
      <c r="H50" s="2"/>
      <c r="I50" s="2"/>
      <c r="J50" s="2">
        <v>4800000</v>
      </c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>
        <v>4800000</v>
      </c>
      <c r="W50" s="2"/>
      <c r="X50" s="2"/>
      <c r="Y50" s="2"/>
      <c r="Z50" s="2"/>
      <c r="AA50" s="2"/>
      <c r="AB50" s="2"/>
      <c r="AC50" s="2">
        <v>9600000</v>
      </c>
    </row>
    <row r="51" spans="1:29" x14ac:dyDescent="0.2">
      <c r="A51" s="1" t="s">
        <v>38</v>
      </c>
      <c r="B51" s="1" t="s">
        <v>39</v>
      </c>
      <c r="C51" s="2"/>
      <c r="D51" s="2"/>
      <c r="E51" s="2"/>
      <c r="F51" s="2"/>
      <c r="G51" s="2"/>
      <c r="H51" s="2"/>
      <c r="I51" s="2"/>
      <c r="J51" s="2"/>
      <c r="K51" s="2"/>
      <c r="L51" s="2"/>
      <c r="M51" s="2">
        <v>190000000</v>
      </c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  <c r="AC51" s="2">
        <v>190000000</v>
      </c>
    </row>
    <row r="52" spans="1:29" x14ac:dyDescent="0.2">
      <c r="A52" s="1" t="s">
        <v>24</v>
      </c>
      <c r="B52" s="1" t="s">
        <v>25</v>
      </c>
      <c r="C52" s="2"/>
      <c r="D52" s="2"/>
      <c r="E52" s="2"/>
      <c r="F52" s="2"/>
      <c r="G52" s="2"/>
      <c r="H52" s="2"/>
      <c r="I52" s="2">
        <v>965498000</v>
      </c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  <c r="AC52" s="2">
        <v>965498000</v>
      </c>
    </row>
    <row r="53" spans="1:29" x14ac:dyDescent="0.2">
      <c r="A53" s="1" t="s">
        <v>145</v>
      </c>
      <c r="B53" s="1" t="s">
        <v>146</v>
      </c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>
        <v>37219000</v>
      </c>
      <c r="AB53" s="2"/>
      <c r="AC53" s="2">
        <v>37219000</v>
      </c>
    </row>
    <row r="54" spans="1:29" x14ac:dyDescent="0.2">
      <c r="A54" s="1" t="s">
        <v>256</v>
      </c>
      <c r="B54" s="1" t="s">
        <v>255</v>
      </c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>
        <v>395000</v>
      </c>
      <c r="S54" s="2"/>
      <c r="T54" s="2"/>
      <c r="U54" s="2"/>
      <c r="V54" s="2"/>
      <c r="W54" s="2"/>
      <c r="X54" s="2"/>
      <c r="Y54" s="2"/>
      <c r="Z54" s="2">
        <v>2100000</v>
      </c>
      <c r="AA54" s="2"/>
      <c r="AB54" s="2"/>
      <c r="AC54" s="2">
        <v>2495000</v>
      </c>
    </row>
    <row r="55" spans="1:29" x14ac:dyDescent="0.2">
      <c r="A55" s="1" t="s">
        <v>106</v>
      </c>
      <c r="B55" s="1" t="s">
        <v>107</v>
      </c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>
        <v>420564000</v>
      </c>
      <c r="Z55" s="2"/>
      <c r="AA55" s="2"/>
      <c r="AB55" s="2"/>
      <c r="AC55" s="2">
        <v>420564000</v>
      </c>
    </row>
    <row r="56" spans="1:29" x14ac:dyDescent="0.2">
      <c r="A56" s="1" t="s">
        <v>254</v>
      </c>
      <c r="B56" s="1" t="s">
        <v>253</v>
      </c>
      <c r="C56" s="2"/>
      <c r="D56" s="2"/>
      <c r="E56" s="2"/>
      <c r="F56" s="2">
        <v>800000</v>
      </c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>
        <v>800000</v>
      </c>
      <c r="AA56" s="2"/>
      <c r="AB56" s="2"/>
      <c r="AC56" s="2">
        <v>1600000</v>
      </c>
    </row>
    <row r="57" spans="1:29" x14ac:dyDescent="0.2">
      <c r="A57" s="1" t="s">
        <v>252</v>
      </c>
      <c r="B57" s="1" t="s">
        <v>251</v>
      </c>
      <c r="C57" s="2"/>
      <c r="D57" s="2"/>
      <c r="E57" s="2"/>
      <c r="F57" s="2"/>
      <c r="G57" s="2"/>
      <c r="H57" s="2">
        <v>5600000</v>
      </c>
      <c r="I57" s="2"/>
      <c r="J57" s="2">
        <v>0</v>
      </c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  <c r="AB57" s="2"/>
      <c r="AC57" s="2">
        <v>5600000</v>
      </c>
    </row>
    <row r="58" spans="1:29" x14ac:dyDescent="0.2">
      <c r="A58" s="1" t="s">
        <v>119</v>
      </c>
      <c r="B58" s="1" t="s">
        <v>120</v>
      </c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>
        <v>7759000</v>
      </c>
      <c r="AB58" s="2"/>
      <c r="AC58" s="2">
        <v>7759000</v>
      </c>
    </row>
    <row r="59" spans="1:29" x14ac:dyDescent="0.2">
      <c r="A59" s="1" t="s">
        <v>250</v>
      </c>
      <c r="B59" s="1" t="s">
        <v>249</v>
      </c>
      <c r="C59" s="2"/>
      <c r="D59" s="2"/>
      <c r="E59" s="2"/>
      <c r="F59" s="2">
        <v>12600000</v>
      </c>
      <c r="G59" s="2"/>
      <c r="H59" s="2"/>
      <c r="I59" s="2"/>
      <c r="J59" s="2"/>
      <c r="K59" s="2"/>
      <c r="L59" s="2">
        <v>24600000</v>
      </c>
      <c r="M59" s="2"/>
      <c r="N59" s="2">
        <v>12600000</v>
      </c>
      <c r="O59" s="2"/>
      <c r="P59" s="2"/>
      <c r="Q59" s="2"/>
      <c r="R59" s="2">
        <v>12600000</v>
      </c>
      <c r="S59" s="2"/>
      <c r="T59" s="2">
        <v>12600000</v>
      </c>
      <c r="U59" s="2"/>
      <c r="V59" s="2">
        <v>12600000</v>
      </c>
      <c r="W59" s="2"/>
      <c r="X59" s="2">
        <v>12600000</v>
      </c>
      <c r="Y59" s="2"/>
      <c r="Z59" s="2">
        <v>12600000</v>
      </c>
      <c r="AA59" s="2"/>
      <c r="AB59" s="2">
        <v>12600000</v>
      </c>
      <c r="AC59" s="2">
        <v>125400000</v>
      </c>
    </row>
    <row r="60" spans="1:29" x14ac:dyDescent="0.2">
      <c r="A60" s="1" t="s">
        <v>248</v>
      </c>
      <c r="B60" s="1" t="s">
        <v>247</v>
      </c>
      <c r="C60" s="2"/>
      <c r="D60" s="2">
        <v>27000000</v>
      </c>
      <c r="E60" s="2"/>
      <c r="F60" s="2"/>
      <c r="G60" s="2"/>
      <c r="H60" s="2"/>
      <c r="I60" s="2"/>
      <c r="J60" s="2"/>
      <c r="K60" s="2"/>
      <c r="L60" s="2">
        <v>27000000</v>
      </c>
      <c r="M60" s="2"/>
      <c r="N60" s="2">
        <v>12600000</v>
      </c>
      <c r="O60" s="2"/>
      <c r="P60" s="2"/>
      <c r="Q60" s="2"/>
      <c r="R60" s="2">
        <v>27000000</v>
      </c>
      <c r="S60" s="2"/>
      <c r="T60" s="2">
        <v>1260000</v>
      </c>
      <c r="U60" s="2"/>
      <c r="V60" s="2"/>
      <c r="W60" s="2"/>
      <c r="X60" s="2"/>
      <c r="Y60" s="2"/>
      <c r="Z60" s="2">
        <v>27000000</v>
      </c>
      <c r="AA60" s="2"/>
      <c r="AB60" s="2"/>
      <c r="AC60" s="2">
        <v>121860000</v>
      </c>
    </row>
    <row r="61" spans="1:29" x14ac:dyDescent="0.2">
      <c r="A61" s="1" t="s">
        <v>65</v>
      </c>
      <c r="B61" s="1" t="s">
        <v>66</v>
      </c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>
        <v>5342000</v>
      </c>
      <c r="T61" s="2"/>
      <c r="U61" s="2">
        <v>50708800</v>
      </c>
      <c r="V61" s="2"/>
      <c r="W61" s="2">
        <v>47751600</v>
      </c>
      <c r="X61" s="2"/>
      <c r="Y61" s="2">
        <v>47417200</v>
      </c>
      <c r="Z61" s="2"/>
      <c r="AA61" s="2"/>
      <c r="AB61" s="2"/>
      <c r="AC61" s="2">
        <v>151219600</v>
      </c>
    </row>
    <row r="62" spans="1:29" x14ac:dyDescent="0.2">
      <c r="A62" s="1" t="s">
        <v>143</v>
      </c>
      <c r="B62" s="1" t="s">
        <v>144</v>
      </c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>
        <v>2000000</v>
      </c>
      <c r="AB62" s="2"/>
      <c r="AC62" s="2">
        <v>2000000</v>
      </c>
    </row>
    <row r="63" spans="1:29" x14ac:dyDescent="0.2">
      <c r="A63" s="1" t="s">
        <v>246</v>
      </c>
      <c r="B63" s="1" t="s">
        <v>245</v>
      </c>
      <c r="C63" s="2"/>
      <c r="D63" s="2"/>
      <c r="E63" s="2"/>
      <c r="F63" s="2">
        <v>3000000</v>
      </c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>
        <v>9000000</v>
      </c>
      <c r="U63" s="2"/>
      <c r="V63" s="2">
        <v>9000000</v>
      </c>
      <c r="W63" s="2"/>
      <c r="X63" s="2">
        <v>9000000</v>
      </c>
      <c r="Y63" s="2"/>
      <c r="Z63" s="2"/>
      <c r="AA63" s="2"/>
      <c r="AB63" s="2">
        <v>6000000</v>
      </c>
      <c r="AC63" s="2">
        <v>36000000</v>
      </c>
    </row>
    <row r="64" spans="1:29" x14ac:dyDescent="0.2">
      <c r="A64" s="1" t="s">
        <v>244</v>
      </c>
      <c r="B64" s="1" t="s">
        <v>243</v>
      </c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>
        <v>400000</v>
      </c>
      <c r="O64" s="2"/>
      <c r="P64" s="2">
        <v>4567500</v>
      </c>
      <c r="Q64" s="2"/>
      <c r="R64" s="2">
        <v>9900000</v>
      </c>
      <c r="S64" s="2"/>
      <c r="T64" s="2">
        <v>1500000</v>
      </c>
      <c r="U64" s="2"/>
      <c r="V64" s="2">
        <v>3000000</v>
      </c>
      <c r="W64" s="2"/>
      <c r="X64" s="2">
        <v>4500000</v>
      </c>
      <c r="Y64" s="2"/>
      <c r="Z64" s="2">
        <v>3160000</v>
      </c>
      <c r="AA64" s="2"/>
      <c r="AB64" s="2">
        <v>4500000</v>
      </c>
      <c r="AC64" s="2">
        <v>31527500</v>
      </c>
    </row>
    <row r="65" spans="1:29" x14ac:dyDescent="0.2">
      <c r="A65" s="1" t="s">
        <v>7</v>
      </c>
      <c r="B65" s="1" t="s">
        <v>8</v>
      </c>
      <c r="C65" s="2">
        <v>240000000</v>
      </c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  <c r="AC65" s="2">
        <v>240000000</v>
      </c>
    </row>
    <row r="66" spans="1:29" x14ac:dyDescent="0.2">
      <c r="A66" s="1" t="s">
        <v>242</v>
      </c>
      <c r="B66" s="1" t="s">
        <v>241</v>
      </c>
      <c r="C66" s="2"/>
      <c r="D66" s="2"/>
      <c r="E66" s="2"/>
      <c r="F66" s="2">
        <v>5214300</v>
      </c>
      <c r="G66" s="2"/>
      <c r="H66" s="2">
        <v>6952400</v>
      </c>
      <c r="I66" s="2"/>
      <c r="J66" s="2"/>
      <c r="K66" s="2"/>
      <c r="L66" s="2">
        <v>27300535</v>
      </c>
      <c r="M66" s="2"/>
      <c r="N66" s="2">
        <v>10580214</v>
      </c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>
        <v>12000000</v>
      </c>
      <c r="AA66" s="2"/>
      <c r="AB66" s="2"/>
      <c r="AC66" s="2">
        <v>62047449</v>
      </c>
    </row>
    <row r="67" spans="1:29" x14ac:dyDescent="0.2">
      <c r="A67" s="1" t="s">
        <v>240</v>
      </c>
      <c r="B67" s="1" t="s">
        <v>239</v>
      </c>
      <c r="C67" s="2"/>
      <c r="D67" s="2">
        <v>231000</v>
      </c>
      <c r="E67" s="2"/>
      <c r="F67" s="2"/>
      <c r="G67" s="2"/>
      <c r="H67" s="2"/>
      <c r="I67" s="2"/>
      <c r="J67" s="2"/>
      <c r="K67" s="2"/>
      <c r="L67" s="2">
        <v>462000</v>
      </c>
      <c r="M67" s="2"/>
      <c r="N67" s="2">
        <v>1001000</v>
      </c>
      <c r="O67" s="2"/>
      <c r="P67" s="2">
        <v>385000</v>
      </c>
      <c r="Q67" s="2"/>
      <c r="R67" s="2">
        <v>3016000</v>
      </c>
      <c r="S67" s="2"/>
      <c r="T67" s="2">
        <v>770000</v>
      </c>
      <c r="U67" s="2"/>
      <c r="V67" s="2">
        <v>308000</v>
      </c>
      <c r="W67" s="2"/>
      <c r="X67" s="2">
        <v>770000</v>
      </c>
      <c r="Y67" s="2"/>
      <c r="Z67" s="2"/>
      <c r="AA67" s="2"/>
      <c r="AB67" s="2">
        <v>539000</v>
      </c>
      <c r="AC67" s="2">
        <v>7482000</v>
      </c>
    </row>
    <row r="68" spans="1:29" x14ac:dyDescent="0.2">
      <c r="A68" s="1" t="s">
        <v>12</v>
      </c>
      <c r="B68" s="1" t="s">
        <v>13</v>
      </c>
      <c r="C68" s="2"/>
      <c r="D68" s="2">
        <v>2400000</v>
      </c>
      <c r="E68" s="2">
        <v>198000000</v>
      </c>
      <c r="F68" s="2">
        <v>1600000</v>
      </c>
      <c r="G68" s="2"/>
      <c r="H68" s="2">
        <v>1600000</v>
      </c>
      <c r="I68" s="2"/>
      <c r="J68" s="2">
        <v>1600000</v>
      </c>
      <c r="K68" s="2"/>
      <c r="L68" s="2">
        <v>3100000</v>
      </c>
      <c r="M68" s="2"/>
      <c r="N68" s="2">
        <v>3400000</v>
      </c>
      <c r="O68" s="2"/>
      <c r="P68" s="2">
        <v>1600000</v>
      </c>
      <c r="Q68" s="2"/>
      <c r="R68" s="2">
        <v>2400000</v>
      </c>
      <c r="S68" s="2"/>
      <c r="T68" s="2">
        <v>1600000</v>
      </c>
      <c r="U68" s="2"/>
      <c r="V68" s="2">
        <v>1600000</v>
      </c>
      <c r="W68" s="2"/>
      <c r="X68" s="2">
        <v>4900000</v>
      </c>
      <c r="Y68" s="2"/>
      <c r="Z68" s="2">
        <v>1600000</v>
      </c>
      <c r="AA68" s="2"/>
      <c r="AB68" s="2">
        <v>21200000</v>
      </c>
      <c r="AC68" s="2">
        <v>246600000</v>
      </c>
    </row>
    <row r="69" spans="1:29" x14ac:dyDescent="0.2">
      <c r="A69" s="1" t="s">
        <v>238</v>
      </c>
      <c r="B69" s="1" t="s">
        <v>237</v>
      </c>
      <c r="C69" s="2"/>
      <c r="D69" s="2"/>
      <c r="E69" s="2"/>
      <c r="F69" s="2">
        <v>1500000</v>
      </c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  <c r="AC69" s="2">
        <v>1500000</v>
      </c>
    </row>
    <row r="70" spans="1:29" x14ac:dyDescent="0.2">
      <c r="A70" s="1" t="s">
        <v>121</v>
      </c>
      <c r="B70" s="1" t="s">
        <v>122</v>
      </c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>
        <v>1328000</v>
      </c>
      <c r="AB70" s="2"/>
      <c r="AC70" s="2">
        <v>1328000</v>
      </c>
    </row>
    <row r="71" spans="1:29" x14ac:dyDescent="0.2">
      <c r="A71" s="1" t="s">
        <v>74</v>
      </c>
      <c r="B71" s="1" t="s">
        <v>75</v>
      </c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>
        <v>2576000</v>
      </c>
      <c r="V71" s="2"/>
      <c r="W71" s="2">
        <v>12650000</v>
      </c>
      <c r="X71" s="2"/>
      <c r="Y71" s="2">
        <v>15716000</v>
      </c>
      <c r="Z71" s="2"/>
      <c r="AA71" s="2">
        <v>24241000</v>
      </c>
      <c r="AB71" s="2"/>
      <c r="AC71" s="2">
        <v>55183000</v>
      </c>
    </row>
    <row r="72" spans="1:29" x14ac:dyDescent="0.2">
      <c r="A72" s="1" t="s">
        <v>236</v>
      </c>
      <c r="B72" s="1" t="s">
        <v>235</v>
      </c>
      <c r="C72" s="2"/>
      <c r="D72" s="2"/>
      <c r="E72" s="2"/>
      <c r="F72" s="2"/>
      <c r="G72" s="2"/>
      <c r="H72" s="2"/>
      <c r="I72" s="2"/>
      <c r="J72" s="2"/>
      <c r="K72" s="2"/>
      <c r="L72" s="2">
        <v>1500000</v>
      </c>
      <c r="M72" s="2"/>
      <c r="N72" s="2">
        <v>3000000</v>
      </c>
      <c r="O72" s="2"/>
      <c r="P72" s="2">
        <v>1500000</v>
      </c>
      <c r="Q72" s="2"/>
      <c r="R72" s="2">
        <v>9100000</v>
      </c>
      <c r="S72" s="2"/>
      <c r="T72" s="2">
        <v>1500000</v>
      </c>
      <c r="U72" s="2"/>
      <c r="V72" s="2">
        <v>3000000</v>
      </c>
      <c r="W72" s="2"/>
      <c r="X72" s="2">
        <v>3000000</v>
      </c>
      <c r="Y72" s="2"/>
      <c r="Z72" s="2">
        <v>1500000</v>
      </c>
      <c r="AA72" s="2"/>
      <c r="AB72" s="2">
        <v>3000000</v>
      </c>
      <c r="AC72" s="2">
        <v>27100000</v>
      </c>
    </row>
    <row r="73" spans="1:29" x14ac:dyDescent="0.2">
      <c r="A73" s="1" t="s">
        <v>234</v>
      </c>
      <c r="B73" s="1" t="s">
        <v>233</v>
      </c>
      <c r="C73" s="2"/>
      <c r="D73" s="2"/>
      <c r="E73" s="2"/>
      <c r="F73" s="2">
        <v>6000000</v>
      </c>
      <c r="G73" s="2"/>
      <c r="H73" s="2">
        <v>6000000</v>
      </c>
      <c r="I73" s="2"/>
      <c r="J73" s="2">
        <v>12612000</v>
      </c>
      <c r="K73" s="2"/>
      <c r="L73" s="2">
        <v>6000000</v>
      </c>
      <c r="M73" s="2"/>
      <c r="N73" s="2">
        <v>6000000</v>
      </c>
      <c r="O73" s="2"/>
      <c r="P73" s="2"/>
      <c r="Q73" s="2"/>
      <c r="R73" s="2">
        <v>6000000</v>
      </c>
      <c r="S73" s="2"/>
      <c r="T73" s="2">
        <v>6000000</v>
      </c>
      <c r="U73" s="2"/>
      <c r="V73" s="2">
        <v>6000000</v>
      </c>
      <c r="W73" s="2"/>
      <c r="X73" s="2">
        <v>6000000</v>
      </c>
      <c r="Y73" s="2"/>
      <c r="Z73" s="2">
        <v>6000000</v>
      </c>
      <c r="AA73" s="2"/>
      <c r="AB73" s="2">
        <v>3000000</v>
      </c>
      <c r="AC73" s="2">
        <v>69612000</v>
      </c>
    </row>
    <row r="74" spans="1:29" x14ac:dyDescent="0.2">
      <c r="A74" s="1" t="s">
        <v>232</v>
      </c>
      <c r="B74" s="1" t="s">
        <v>231</v>
      </c>
      <c r="C74" s="2"/>
      <c r="D74" s="2">
        <v>10311600</v>
      </c>
      <c r="E74" s="2"/>
      <c r="F74" s="2">
        <v>17186000</v>
      </c>
      <c r="G74" s="2"/>
      <c r="H74" s="2">
        <v>18904600</v>
      </c>
      <c r="I74" s="2"/>
      <c r="J74" s="2">
        <v>3437200</v>
      </c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  <c r="AC74" s="2">
        <v>49839400</v>
      </c>
    </row>
    <row r="75" spans="1:29" x14ac:dyDescent="0.2">
      <c r="A75" s="1" t="s">
        <v>230</v>
      </c>
      <c r="B75" s="1" t="s">
        <v>229</v>
      </c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>
        <v>15000000</v>
      </c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  <c r="AC75" s="2">
        <v>15000000</v>
      </c>
    </row>
    <row r="76" spans="1:29" x14ac:dyDescent="0.2">
      <c r="A76" s="1" t="s">
        <v>135</v>
      </c>
      <c r="B76" s="1" t="s">
        <v>136</v>
      </c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>
        <v>840000</v>
      </c>
      <c r="Q76" s="2"/>
      <c r="R76" s="2">
        <v>252000</v>
      </c>
      <c r="S76" s="2"/>
      <c r="T76" s="2">
        <v>252000</v>
      </c>
      <c r="U76" s="2"/>
      <c r="V76" s="2">
        <v>336000</v>
      </c>
      <c r="W76" s="2"/>
      <c r="X76" s="2">
        <v>252000</v>
      </c>
      <c r="Y76" s="2"/>
      <c r="Z76" s="2">
        <v>336000</v>
      </c>
      <c r="AA76" s="2">
        <v>7696000</v>
      </c>
      <c r="AB76" s="2"/>
      <c r="AC76" s="2">
        <v>9964000</v>
      </c>
    </row>
    <row r="77" spans="1:29" x14ac:dyDescent="0.2">
      <c r="A77" s="1" t="s">
        <v>57</v>
      </c>
      <c r="B77" s="1" t="s">
        <v>58</v>
      </c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>
        <v>4505000</v>
      </c>
      <c r="T77" s="2"/>
      <c r="U77" s="2">
        <v>20613000</v>
      </c>
      <c r="V77" s="2"/>
      <c r="W77" s="2">
        <v>16273000</v>
      </c>
      <c r="X77" s="2"/>
      <c r="Y77" s="2">
        <v>20004000</v>
      </c>
      <c r="Z77" s="2"/>
      <c r="AA77" s="2">
        <v>23364000</v>
      </c>
      <c r="AB77" s="2"/>
      <c r="AC77" s="2">
        <v>84759000</v>
      </c>
    </row>
    <row r="78" spans="1:29" x14ac:dyDescent="0.2">
      <c r="A78" s="1" t="s">
        <v>14</v>
      </c>
      <c r="B78" s="1" t="s">
        <v>15</v>
      </c>
      <c r="C78" s="2"/>
      <c r="D78" s="2"/>
      <c r="E78" s="2">
        <v>194903000</v>
      </c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  <c r="AC78" s="2">
        <v>194903000</v>
      </c>
    </row>
    <row r="79" spans="1:29" x14ac:dyDescent="0.2">
      <c r="A79" s="1" t="s">
        <v>228</v>
      </c>
      <c r="B79" s="1" t="s">
        <v>227</v>
      </c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>
        <v>16300000</v>
      </c>
      <c r="AC79" s="2">
        <v>16300000</v>
      </c>
    </row>
    <row r="80" spans="1:29" x14ac:dyDescent="0.2">
      <c r="A80" s="1" t="s">
        <v>78</v>
      </c>
      <c r="B80" s="1" t="s">
        <v>79</v>
      </c>
      <c r="C80" s="2"/>
      <c r="D80" s="2"/>
      <c r="E80" s="2"/>
      <c r="F80" s="2">
        <v>1785000</v>
      </c>
      <c r="G80" s="2"/>
      <c r="H80" s="2"/>
      <c r="I80" s="2"/>
      <c r="J80" s="2"/>
      <c r="K80" s="2"/>
      <c r="L80" s="2"/>
      <c r="M80" s="2"/>
      <c r="N80" s="2">
        <v>595000</v>
      </c>
      <c r="O80" s="2"/>
      <c r="P80" s="2"/>
      <c r="Q80" s="2"/>
      <c r="R80" s="2">
        <v>1785000</v>
      </c>
      <c r="S80" s="2"/>
      <c r="T80" s="2"/>
      <c r="U80" s="2">
        <v>220000000</v>
      </c>
      <c r="V80" s="2"/>
      <c r="W80" s="2"/>
      <c r="X80" s="2"/>
      <c r="Y80" s="2"/>
      <c r="Z80" s="2"/>
      <c r="AA80" s="2"/>
      <c r="AB80" s="2"/>
      <c r="AC80" s="2">
        <v>224165000</v>
      </c>
    </row>
    <row r="81" spans="1:29" x14ac:dyDescent="0.2">
      <c r="A81" s="1" t="s">
        <v>226</v>
      </c>
      <c r="B81" s="1" t="s">
        <v>225</v>
      </c>
      <c r="C81" s="2"/>
      <c r="D81" s="2">
        <v>2800000</v>
      </c>
      <c r="E81" s="2"/>
      <c r="F81" s="2"/>
      <c r="G81" s="2"/>
      <c r="H81" s="2"/>
      <c r="I81" s="2"/>
      <c r="J81" s="2"/>
      <c r="K81" s="2"/>
      <c r="L81" s="2"/>
      <c r="M81" s="2"/>
      <c r="N81" s="2">
        <v>8400000</v>
      </c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  <c r="AC81" s="2">
        <v>11200000</v>
      </c>
    </row>
    <row r="82" spans="1:29" x14ac:dyDescent="0.2">
      <c r="A82" s="1" t="s">
        <v>63</v>
      </c>
      <c r="B82" s="1" t="s">
        <v>64</v>
      </c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>
        <v>233953000</v>
      </c>
      <c r="T82" s="2"/>
      <c r="U82" s="2"/>
      <c r="V82" s="2"/>
      <c r="W82" s="2"/>
      <c r="X82" s="2"/>
      <c r="Y82" s="2"/>
      <c r="Z82" s="2"/>
      <c r="AA82" s="2"/>
      <c r="AB82" s="2"/>
      <c r="AC82" s="2">
        <v>233953000</v>
      </c>
    </row>
    <row r="83" spans="1:29" x14ac:dyDescent="0.2">
      <c r="A83" s="1" t="s">
        <v>149</v>
      </c>
      <c r="B83" s="1" t="s">
        <v>150</v>
      </c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>
        <v>209165000</v>
      </c>
      <c r="AB83" s="2"/>
      <c r="AC83" s="2">
        <v>209165000</v>
      </c>
    </row>
    <row r="84" spans="1:29" x14ac:dyDescent="0.2">
      <c r="A84" s="1" t="s">
        <v>20</v>
      </c>
      <c r="B84" s="1" t="s">
        <v>21</v>
      </c>
      <c r="C84" s="2"/>
      <c r="D84" s="2"/>
      <c r="E84" s="2"/>
      <c r="F84" s="2"/>
      <c r="G84" s="2"/>
      <c r="H84" s="2"/>
      <c r="I84" s="2">
        <v>100053000</v>
      </c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  <c r="AC84" s="2">
        <v>100053000</v>
      </c>
    </row>
    <row r="85" spans="1:29" x14ac:dyDescent="0.2">
      <c r="A85" s="1" t="s">
        <v>93</v>
      </c>
      <c r="B85" s="1" t="s">
        <v>94</v>
      </c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>
        <v>25390000</v>
      </c>
      <c r="X85" s="2"/>
      <c r="Y85" s="2">
        <v>32179000</v>
      </c>
      <c r="Z85" s="2"/>
      <c r="AA85" s="2">
        <v>28493000</v>
      </c>
      <c r="AB85" s="2"/>
      <c r="AC85" s="2">
        <v>86062000</v>
      </c>
    </row>
    <row r="86" spans="1:29" x14ac:dyDescent="0.2">
      <c r="A86" s="1" t="s">
        <v>224</v>
      </c>
      <c r="B86" s="1" t="s">
        <v>223</v>
      </c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>
        <v>5200000</v>
      </c>
      <c r="U86" s="2"/>
      <c r="V86" s="2"/>
      <c r="W86" s="2"/>
      <c r="X86" s="2">
        <v>6000000</v>
      </c>
      <c r="Y86" s="2"/>
      <c r="Z86" s="2"/>
      <c r="AA86" s="2"/>
      <c r="AB86" s="2"/>
      <c r="AC86" s="2">
        <v>11200000</v>
      </c>
    </row>
    <row r="87" spans="1:29" x14ac:dyDescent="0.2">
      <c r="A87" s="1" t="s">
        <v>104</v>
      </c>
      <c r="B87" s="1" t="s">
        <v>105</v>
      </c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>
        <v>378150000</v>
      </c>
      <c r="Z87" s="2"/>
      <c r="AA87" s="2"/>
      <c r="AB87" s="2"/>
      <c r="AC87" s="2">
        <v>378150000</v>
      </c>
    </row>
    <row r="88" spans="1:29" x14ac:dyDescent="0.2">
      <c r="A88" s="1" t="s">
        <v>17</v>
      </c>
      <c r="B88" s="1" t="s">
        <v>18</v>
      </c>
      <c r="C88" s="2"/>
      <c r="D88" s="2"/>
      <c r="E88" s="2"/>
      <c r="F88" s="2"/>
      <c r="G88" s="2">
        <v>215127190</v>
      </c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  <c r="AC88" s="2">
        <v>215127190</v>
      </c>
    </row>
    <row r="89" spans="1:29" x14ac:dyDescent="0.2">
      <c r="A89" s="1" t="s">
        <v>31</v>
      </c>
      <c r="B89" s="1" t="s">
        <v>32</v>
      </c>
      <c r="C89" s="2"/>
      <c r="D89" s="2"/>
      <c r="E89" s="2"/>
      <c r="F89" s="2"/>
      <c r="G89" s="2"/>
      <c r="H89" s="2"/>
      <c r="I89" s="2"/>
      <c r="J89" s="2"/>
      <c r="K89" s="2">
        <v>195000000</v>
      </c>
      <c r="L89" s="2"/>
      <c r="M89" s="2">
        <v>-195000000</v>
      </c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  <c r="AC89" s="2">
        <v>0</v>
      </c>
    </row>
    <row r="90" spans="1:29" x14ac:dyDescent="0.2">
      <c r="A90" s="1" t="s">
        <v>3</v>
      </c>
      <c r="B90" s="1" t="s">
        <v>4</v>
      </c>
      <c r="C90" s="2">
        <v>180571550</v>
      </c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  <c r="AC90" s="2">
        <v>180571550</v>
      </c>
    </row>
    <row r="91" spans="1:29" x14ac:dyDescent="0.2">
      <c r="A91" s="1" t="s">
        <v>27</v>
      </c>
      <c r="B91" s="1" t="s">
        <v>28</v>
      </c>
      <c r="C91" s="2"/>
      <c r="D91" s="2"/>
      <c r="E91" s="2"/>
      <c r="F91" s="2"/>
      <c r="G91" s="2"/>
      <c r="H91" s="2"/>
      <c r="I91" s="2"/>
      <c r="J91" s="2"/>
      <c r="K91" s="2">
        <v>170792000</v>
      </c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  <c r="AC91" s="2">
        <v>170792000</v>
      </c>
    </row>
    <row r="92" spans="1:29" x14ac:dyDescent="0.2">
      <c r="A92" s="1" t="s">
        <v>1</v>
      </c>
      <c r="B92" s="1" t="s">
        <v>2</v>
      </c>
      <c r="C92" s="2">
        <v>140119700</v>
      </c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  <c r="AC92" s="2">
        <v>140119700</v>
      </c>
    </row>
    <row r="93" spans="1:29" x14ac:dyDescent="0.2">
      <c r="A93" s="1" t="s">
        <v>89</v>
      </c>
      <c r="B93" s="1" t="s">
        <v>90</v>
      </c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>
        <v>328000</v>
      </c>
      <c r="X93" s="2"/>
      <c r="Y93" s="2"/>
      <c r="Z93" s="2"/>
      <c r="AA93" s="2">
        <v>2789000</v>
      </c>
      <c r="AB93" s="2"/>
      <c r="AC93" s="2">
        <v>3117000</v>
      </c>
    </row>
    <row r="94" spans="1:29" x14ac:dyDescent="0.2">
      <c r="A94" s="1" t="s">
        <v>222</v>
      </c>
      <c r="B94" s="1" t="s">
        <v>221</v>
      </c>
      <c r="C94" s="2"/>
      <c r="D94" s="2"/>
      <c r="E94" s="2"/>
      <c r="F94" s="2"/>
      <c r="G94" s="2"/>
      <c r="H94" s="2"/>
      <c r="I94" s="2"/>
      <c r="J94" s="2"/>
      <c r="K94" s="2"/>
      <c r="L94" s="2">
        <v>1160000</v>
      </c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  <c r="AC94" s="2">
        <v>1160000</v>
      </c>
    </row>
    <row r="95" spans="1:29" x14ac:dyDescent="0.2">
      <c r="A95" s="1" t="s">
        <v>70</v>
      </c>
      <c r="B95" s="1" t="s">
        <v>71</v>
      </c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>
        <v>715869000</v>
      </c>
      <c r="V95" s="2"/>
      <c r="W95" s="2"/>
      <c r="X95" s="2"/>
      <c r="Y95" s="2"/>
      <c r="Z95" s="2"/>
      <c r="AA95" s="2"/>
      <c r="AB95" s="2"/>
      <c r="AC95" s="2">
        <v>715869000</v>
      </c>
    </row>
    <row r="96" spans="1:29" x14ac:dyDescent="0.2">
      <c r="A96" s="1" t="s">
        <v>10</v>
      </c>
      <c r="B96" s="1" t="s">
        <v>11</v>
      </c>
      <c r="C96" s="2"/>
      <c r="D96" s="2"/>
      <c r="E96" s="2">
        <v>139367500</v>
      </c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  <c r="AC96" s="2">
        <v>139367500</v>
      </c>
    </row>
    <row r="97" spans="1:29" x14ac:dyDescent="0.2">
      <c r="A97" s="1" t="s">
        <v>220</v>
      </c>
      <c r="B97" s="1" t="s">
        <v>219</v>
      </c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>
        <v>1650000</v>
      </c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  <c r="AC97" s="2">
        <v>1650000</v>
      </c>
    </row>
    <row r="98" spans="1:29" x14ac:dyDescent="0.2">
      <c r="A98" s="1" t="s">
        <v>110</v>
      </c>
      <c r="B98" s="1" t="s">
        <v>111</v>
      </c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>
        <v>17824000</v>
      </c>
      <c r="Z98" s="2"/>
      <c r="AA98" s="2">
        <v>19605000</v>
      </c>
      <c r="AB98" s="2"/>
      <c r="AC98" s="2">
        <v>37429000</v>
      </c>
    </row>
    <row r="99" spans="1:29" x14ac:dyDescent="0.2">
      <c r="A99" s="1" t="s">
        <v>49</v>
      </c>
      <c r="B99" s="1" t="s">
        <v>50</v>
      </c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>
        <v>164163000</v>
      </c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  <c r="AC99" s="2">
        <v>164163000</v>
      </c>
    </row>
    <row r="100" spans="1:29" x14ac:dyDescent="0.2">
      <c r="A100" s="1" t="s">
        <v>139</v>
      </c>
      <c r="B100" s="1" t="s">
        <v>140</v>
      </c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>
        <v>1668000</v>
      </c>
      <c r="AB100" s="2"/>
      <c r="AC100" s="2">
        <v>1668000</v>
      </c>
    </row>
    <row r="101" spans="1:29" x14ac:dyDescent="0.2">
      <c r="A101" s="1" t="s">
        <v>153</v>
      </c>
      <c r="B101" s="1" t="s">
        <v>154</v>
      </c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>
        <v>137000000</v>
      </c>
      <c r="AB101" s="2"/>
      <c r="AC101" s="2">
        <v>137000000</v>
      </c>
    </row>
    <row r="102" spans="1:29" x14ac:dyDescent="0.2">
      <c r="A102" s="1" t="s">
        <v>218</v>
      </c>
      <c r="B102" s="1" t="s">
        <v>217</v>
      </c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>
        <v>1803209</v>
      </c>
      <c r="Q102" s="2"/>
      <c r="R102" s="2">
        <v>5409627</v>
      </c>
      <c r="S102" s="2"/>
      <c r="T102" s="2"/>
      <c r="U102" s="2"/>
      <c r="V102" s="2"/>
      <c r="W102" s="2"/>
      <c r="X102" s="2"/>
      <c r="Y102" s="2"/>
      <c r="Z102" s="2"/>
      <c r="AA102" s="2"/>
      <c r="AB102" s="2"/>
      <c r="AC102" s="2">
        <v>7212836</v>
      </c>
    </row>
    <row r="103" spans="1:29" x14ac:dyDescent="0.2">
      <c r="A103" s="1" t="s">
        <v>87</v>
      </c>
      <c r="B103" s="1" t="s">
        <v>88</v>
      </c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>
        <v>6567000</v>
      </c>
      <c r="X103" s="2"/>
      <c r="Y103" s="2">
        <v>11123000</v>
      </c>
      <c r="Z103" s="2"/>
      <c r="AA103" s="2">
        <v>10490000</v>
      </c>
      <c r="AB103" s="2"/>
      <c r="AC103" s="2">
        <v>28180000</v>
      </c>
    </row>
    <row r="104" spans="1:29" x14ac:dyDescent="0.2">
      <c r="A104" s="1" t="s">
        <v>216</v>
      </c>
      <c r="B104" s="1" t="s">
        <v>215</v>
      </c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>
        <v>4500000</v>
      </c>
      <c r="S104" s="2"/>
      <c r="T104" s="2"/>
      <c r="U104" s="2"/>
      <c r="V104" s="2"/>
      <c r="W104" s="2"/>
      <c r="X104" s="2"/>
      <c r="Y104" s="2"/>
      <c r="Z104" s="2"/>
      <c r="AA104" s="2"/>
      <c r="AB104" s="2"/>
      <c r="AC104" s="2">
        <v>4500000</v>
      </c>
    </row>
    <row r="105" spans="1:29" x14ac:dyDescent="0.2">
      <c r="A105" s="1" t="s">
        <v>214</v>
      </c>
      <c r="B105" s="1" t="s">
        <v>213</v>
      </c>
      <c r="C105" s="2"/>
      <c r="D105" s="2">
        <v>3888000</v>
      </c>
      <c r="E105" s="2"/>
      <c r="F105" s="2">
        <v>1620000</v>
      </c>
      <c r="G105" s="2"/>
      <c r="H105" s="2">
        <v>3888000</v>
      </c>
      <c r="I105" s="2"/>
      <c r="J105" s="2">
        <v>7432000</v>
      </c>
      <c r="K105" s="2"/>
      <c r="L105" s="2">
        <v>10520000</v>
      </c>
      <c r="M105" s="2"/>
      <c r="N105" s="2">
        <v>3564000</v>
      </c>
      <c r="O105" s="2"/>
      <c r="P105" s="2">
        <v>5488000</v>
      </c>
      <c r="Q105" s="2"/>
      <c r="R105" s="2">
        <v>3544000</v>
      </c>
      <c r="S105" s="2"/>
      <c r="T105" s="2">
        <v>5498000</v>
      </c>
      <c r="U105" s="2"/>
      <c r="V105" s="2">
        <v>5488000</v>
      </c>
      <c r="W105" s="2"/>
      <c r="X105" s="2">
        <v>10996000</v>
      </c>
      <c r="Y105" s="2"/>
      <c r="Z105" s="2"/>
      <c r="AA105" s="2"/>
      <c r="AB105" s="2">
        <v>8242000</v>
      </c>
      <c r="AC105" s="2">
        <v>70168000</v>
      </c>
    </row>
    <row r="106" spans="1:29" x14ac:dyDescent="0.2">
      <c r="A106" s="1" t="s">
        <v>212</v>
      </c>
      <c r="B106" s="1" t="s">
        <v>211</v>
      </c>
      <c r="C106" s="2"/>
      <c r="D106" s="2"/>
      <c r="E106" s="2"/>
      <c r="F106" s="2">
        <v>4000000</v>
      </c>
      <c r="G106" s="2"/>
      <c r="H106" s="2"/>
      <c r="I106" s="2"/>
      <c r="J106" s="2"/>
      <c r="K106" s="2"/>
      <c r="L106" s="2">
        <v>4000000</v>
      </c>
      <c r="M106" s="2"/>
      <c r="N106" s="2"/>
      <c r="O106" s="2"/>
      <c r="P106" s="2">
        <v>4000000</v>
      </c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  <c r="AC106" s="2">
        <v>12000000</v>
      </c>
    </row>
    <row r="107" spans="1:29" x14ac:dyDescent="0.2">
      <c r="A107" s="1" t="s">
        <v>210</v>
      </c>
      <c r="B107" s="1" t="s">
        <v>209</v>
      </c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>
        <v>600000</v>
      </c>
      <c r="W107" s="2"/>
      <c r="X107" s="2"/>
      <c r="Y107" s="2"/>
      <c r="Z107" s="2">
        <v>-600000</v>
      </c>
      <c r="AA107" s="2"/>
      <c r="AB107" s="2"/>
      <c r="AC107" s="2">
        <v>0</v>
      </c>
    </row>
    <row r="108" spans="1:29" x14ac:dyDescent="0.2">
      <c r="A108" s="1" t="s">
        <v>125</v>
      </c>
      <c r="B108" s="1" t="s">
        <v>126</v>
      </c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>
        <v>26249000</v>
      </c>
      <c r="AB108" s="2"/>
      <c r="AC108" s="2">
        <v>26249000</v>
      </c>
    </row>
    <row r="109" spans="1:29" x14ac:dyDescent="0.2">
      <c r="A109" s="1" t="s">
        <v>72</v>
      </c>
      <c r="B109" s="1" t="s">
        <v>73</v>
      </c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>
        <v>2251000</v>
      </c>
      <c r="V109" s="2"/>
      <c r="W109" s="2">
        <v>12500000</v>
      </c>
      <c r="X109" s="2"/>
      <c r="Y109" s="2">
        <v>12500000</v>
      </c>
      <c r="Z109" s="2"/>
      <c r="AA109" s="2">
        <v>18531000</v>
      </c>
      <c r="AB109" s="2"/>
      <c r="AC109" s="2">
        <v>45782000</v>
      </c>
    </row>
    <row r="110" spans="1:29" x14ac:dyDescent="0.2">
      <c r="A110" s="1" t="s">
        <v>112</v>
      </c>
      <c r="B110" s="1" t="s">
        <v>113</v>
      </c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>
        <v>795000</v>
      </c>
      <c r="Z110" s="2"/>
      <c r="AA110" s="2">
        <v>6197000</v>
      </c>
      <c r="AB110" s="2"/>
      <c r="AC110" s="2">
        <v>6992000</v>
      </c>
    </row>
    <row r="111" spans="1:29" x14ac:dyDescent="0.2">
      <c r="A111" s="1" t="s">
        <v>82</v>
      </c>
      <c r="B111" s="1" t="s">
        <v>83</v>
      </c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>
        <v>9332000</v>
      </c>
      <c r="V111" s="2"/>
      <c r="W111" s="2"/>
      <c r="X111" s="2"/>
      <c r="Y111" s="2">
        <v>36520000</v>
      </c>
      <c r="Z111" s="2"/>
      <c r="AA111" s="2"/>
      <c r="AB111" s="2"/>
      <c r="AC111" s="2">
        <v>45852000</v>
      </c>
    </row>
    <row r="112" spans="1:29" x14ac:dyDescent="0.2">
      <c r="A112" s="1" t="s">
        <v>123</v>
      </c>
      <c r="B112" s="1" t="s">
        <v>124</v>
      </c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>
        <v>5964000</v>
      </c>
      <c r="AB112" s="2"/>
      <c r="AC112" s="2">
        <v>5964000</v>
      </c>
    </row>
    <row r="113" spans="1:29" x14ac:dyDescent="0.2">
      <c r="A113" s="1" t="s">
        <v>100</v>
      </c>
      <c r="B113" s="1" t="s">
        <v>101</v>
      </c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>
        <v>7031000</v>
      </c>
      <c r="Z113" s="2"/>
      <c r="AA113" s="2"/>
      <c r="AB113" s="2"/>
      <c r="AC113" s="2">
        <v>7031000</v>
      </c>
    </row>
    <row r="114" spans="1:29" x14ac:dyDescent="0.2">
      <c r="A114" s="1" t="s">
        <v>208</v>
      </c>
      <c r="B114" s="1" t="s">
        <v>207</v>
      </c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>
        <v>0</v>
      </c>
      <c r="S114" s="2"/>
      <c r="T114" s="2"/>
      <c r="U114" s="2"/>
      <c r="V114" s="2"/>
      <c r="W114" s="2"/>
      <c r="X114" s="2"/>
      <c r="Y114" s="2"/>
      <c r="Z114" s="2"/>
      <c r="AA114" s="2"/>
      <c r="AB114" s="2"/>
      <c r="AC114" s="2">
        <v>0</v>
      </c>
    </row>
    <row r="115" spans="1:29" x14ac:dyDescent="0.2">
      <c r="A115" s="1" t="s">
        <v>52</v>
      </c>
      <c r="B115" s="1" t="s">
        <v>53</v>
      </c>
      <c r="C115" s="2"/>
      <c r="D115" s="2"/>
      <c r="E115" s="2"/>
      <c r="F115" s="2">
        <v>1180000</v>
      </c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>
        <v>312126000</v>
      </c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  <c r="AC115" s="2">
        <v>313306000</v>
      </c>
    </row>
    <row r="116" spans="1:29" x14ac:dyDescent="0.2">
      <c r="A116" s="1" t="s">
        <v>117</v>
      </c>
      <c r="B116" s="1" t="s">
        <v>118</v>
      </c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>
        <v>3042000</v>
      </c>
      <c r="AB116" s="2"/>
      <c r="AC116" s="2">
        <v>3042000</v>
      </c>
    </row>
    <row r="117" spans="1:29" x14ac:dyDescent="0.2">
      <c r="A117" s="1" t="s">
        <v>155</v>
      </c>
      <c r="B117" s="1" t="s">
        <v>156</v>
      </c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>
        <v>13449000</v>
      </c>
      <c r="AB117" s="2"/>
      <c r="AC117" s="2">
        <v>13449000</v>
      </c>
    </row>
    <row r="118" spans="1:29" x14ac:dyDescent="0.2">
      <c r="A118" s="1" t="s">
        <v>127</v>
      </c>
      <c r="B118" s="1" t="s">
        <v>128</v>
      </c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>
        <v>766000</v>
      </c>
      <c r="AB118" s="2"/>
      <c r="AC118" s="2">
        <v>766000</v>
      </c>
    </row>
    <row r="119" spans="1:29" x14ac:dyDescent="0.2">
      <c r="A119" s="1" t="s">
        <v>97</v>
      </c>
      <c r="B119" s="1" t="s">
        <v>98</v>
      </c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>
        <v>259531000</v>
      </c>
      <c r="X119" s="2"/>
      <c r="Y119" s="2"/>
      <c r="Z119" s="2"/>
      <c r="AA119" s="2"/>
      <c r="AB119" s="2"/>
      <c r="AC119" s="2">
        <v>259531000</v>
      </c>
    </row>
    <row r="120" spans="1:29" x14ac:dyDescent="0.2">
      <c r="A120" s="1" t="s">
        <v>22</v>
      </c>
      <c r="B120" s="1" t="s">
        <v>23</v>
      </c>
      <c r="C120" s="2"/>
      <c r="D120" s="2"/>
      <c r="E120" s="2"/>
      <c r="F120" s="2"/>
      <c r="G120" s="2"/>
      <c r="H120" s="2"/>
      <c r="I120" s="2">
        <v>159521458</v>
      </c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>
        <v>282030000</v>
      </c>
      <c r="AB120" s="2"/>
      <c r="AC120" s="2">
        <v>441551458</v>
      </c>
    </row>
    <row r="121" spans="1:29" x14ac:dyDescent="0.2">
      <c r="A121" s="1" t="s">
        <v>206</v>
      </c>
      <c r="B121" s="1" t="s">
        <v>205</v>
      </c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>
        <v>649740</v>
      </c>
      <c r="Y121" s="2"/>
      <c r="Z121" s="2"/>
      <c r="AA121" s="2"/>
      <c r="AB121" s="2">
        <v>649740</v>
      </c>
      <c r="AC121" s="2">
        <v>1299480</v>
      </c>
    </row>
    <row r="122" spans="1:29" x14ac:dyDescent="0.2">
      <c r="A122" s="1" t="s">
        <v>204</v>
      </c>
      <c r="B122" s="1" t="s">
        <v>203</v>
      </c>
      <c r="C122" s="2"/>
      <c r="D122" s="2"/>
      <c r="E122" s="2"/>
      <c r="F122" s="2">
        <v>9900000</v>
      </c>
      <c r="G122" s="2"/>
      <c r="H122" s="2">
        <v>29700000</v>
      </c>
      <c r="I122" s="2"/>
      <c r="J122" s="2">
        <v>9900000</v>
      </c>
      <c r="K122" s="2"/>
      <c r="L122" s="2">
        <v>29700000</v>
      </c>
      <c r="M122" s="2"/>
      <c r="N122" s="2">
        <v>19800000</v>
      </c>
      <c r="O122" s="2"/>
      <c r="P122" s="2">
        <v>19800000</v>
      </c>
      <c r="Q122" s="2"/>
      <c r="R122" s="2">
        <v>9900000</v>
      </c>
      <c r="S122" s="2"/>
      <c r="T122" s="2">
        <v>5940000</v>
      </c>
      <c r="U122" s="2"/>
      <c r="V122" s="2">
        <v>19800000</v>
      </c>
      <c r="W122" s="2"/>
      <c r="X122" s="2">
        <v>19800000</v>
      </c>
      <c r="Y122" s="2"/>
      <c r="Z122" s="2"/>
      <c r="AA122" s="2"/>
      <c r="AB122" s="2">
        <v>29700000</v>
      </c>
      <c r="AC122" s="2">
        <v>203940000</v>
      </c>
    </row>
    <row r="123" spans="1:29" x14ac:dyDescent="0.2">
      <c r="A123" s="1" t="s">
        <v>108</v>
      </c>
      <c r="B123" s="1" t="s">
        <v>109</v>
      </c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>
        <v>1840000</v>
      </c>
      <c r="Z123" s="2"/>
      <c r="AA123" s="2">
        <v>7312000</v>
      </c>
      <c r="AB123" s="2"/>
      <c r="AC123" s="2">
        <v>9152000</v>
      </c>
    </row>
    <row r="124" spans="1:29" x14ac:dyDescent="0.2">
      <c r="A124" s="1" t="s">
        <v>174</v>
      </c>
      <c r="B124" s="1" t="s">
        <v>175</v>
      </c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>
        <v>11900000</v>
      </c>
      <c r="AC124" s="2">
        <v>11900000</v>
      </c>
    </row>
    <row r="125" spans="1:29" x14ac:dyDescent="0.2">
      <c r="A125" s="1" t="s">
        <v>202</v>
      </c>
      <c r="B125" s="1" t="s">
        <v>201</v>
      </c>
      <c r="C125" s="2"/>
      <c r="D125" s="2"/>
      <c r="E125" s="2"/>
      <c r="F125" s="2"/>
      <c r="G125" s="2"/>
      <c r="H125" s="2"/>
      <c r="I125" s="2"/>
      <c r="J125" s="2"/>
      <c r="K125" s="2"/>
      <c r="L125" s="2">
        <v>1200000</v>
      </c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  <c r="AC125" s="2">
        <v>1200000</v>
      </c>
    </row>
    <row r="126" spans="1:29" x14ac:dyDescent="0.2">
      <c r="A126" s="1" t="s">
        <v>200</v>
      </c>
      <c r="B126" s="1" t="s">
        <v>199</v>
      </c>
      <c r="C126" s="2"/>
      <c r="D126" s="2"/>
      <c r="E126" s="2"/>
      <c r="F126" s="2">
        <v>6952400</v>
      </c>
      <c r="G126" s="2"/>
      <c r="H126" s="2">
        <v>5214300</v>
      </c>
      <c r="I126" s="2"/>
      <c r="J126" s="2">
        <v>10428600</v>
      </c>
      <c r="K126" s="2"/>
      <c r="L126" s="2">
        <v>5580321</v>
      </c>
      <c r="M126" s="2"/>
      <c r="N126" s="2"/>
      <c r="O126" s="2"/>
      <c r="P126" s="2"/>
      <c r="Q126" s="2"/>
      <c r="R126" s="2"/>
      <c r="S126" s="2"/>
      <c r="T126" s="2">
        <v>3720214</v>
      </c>
      <c r="U126" s="2"/>
      <c r="V126" s="2"/>
      <c r="W126" s="2"/>
      <c r="X126" s="2">
        <v>3720214</v>
      </c>
      <c r="Y126" s="2"/>
      <c r="Z126" s="2">
        <v>1860107</v>
      </c>
      <c r="AA126" s="2"/>
      <c r="AB126" s="2"/>
      <c r="AC126" s="2">
        <v>37476156</v>
      </c>
    </row>
    <row r="127" spans="1:29" x14ac:dyDescent="0.2">
      <c r="A127" s="1" t="s">
        <v>55</v>
      </c>
      <c r="B127" s="1" t="s">
        <v>56</v>
      </c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>
        <v>145151000</v>
      </c>
      <c r="T127" s="2"/>
      <c r="U127" s="2"/>
      <c r="V127" s="2"/>
      <c r="W127" s="2"/>
      <c r="X127" s="2"/>
      <c r="Y127" s="2"/>
      <c r="Z127" s="2"/>
      <c r="AA127" s="2"/>
      <c r="AB127" s="2"/>
      <c r="AC127" s="2">
        <v>145151000</v>
      </c>
    </row>
    <row r="128" spans="1:29" x14ac:dyDescent="0.2">
      <c r="A128" s="1" t="s">
        <v>198</v>
      </c>
      <c r="B128" s="1" t="s">
        <v>197</v>
      </c>
      <c r="C128" s="2"/>
      <c r="D128" s="2"/>
      <c r="E128" s="2"/>
      <c r="F128" s="2"/>
      <c r="G128" s="2"/>
      <c r="H128" s="2"/>
      <c r="I128" s="2"/>
      <c r="J128" s="2"/>
      <c r="K128" s="2"/>
      <c r="L128" s="2">
        <v>12000000</v>
      </c>
      <c r="M128" s="2"/>
      <c r="N128" s="2">
        <v>7500000</v>
      </c>
      <c r="O128" s="2"/>
      <c r="P128" s="2">
        <v>6000000</v>
      </c>
      <c r="Q128" s="2"/>
      <c r="R128" s="2">
        <v>12100000</v>
      </c>
      <c r="S128" s="2"/>
      <c r="T128" s="2">
        <v>7500000</v>
      </c>
      <c r="U128" s="2"/>
      <c r="V128" s="2">
        <v>7500000</v>
      </c>
      <c r="W128" s="2"/>
      <c r="X128" s="2">
        <v>7500000</v>
      </c>
      <c r="Y128" s="2"/>
      <c r="Z128" s="2">
        <v>7500000</v>
      </c>
      <c r="AA128" s="2"/>
      <c r="AB128" s="2">
        <v>10200000</v>
      </c>
      <c r="AC128" s="2">
        <v>77800000</v>
      </c>
    </row>
    <row r="129" spans="1:29" x14ac:dyDescent="0.2">
      <c r="A129" s="1" t="s">
        <v>91</v>
      </c>
      <c r="B129" s="1" t="s">
        <v>92</v>
      </c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>
        <v>1613000</v>
      </c>
      <c r="X129" s="2"/>
      <c r="Y129" s="2">
        <v>27262000</v>
      </c>
      <c r="Z129" s="2"/>
      <c r="AA129" s="2">
        <v>29243000</v>
      </c>
      <c r="AB129" s="2"/>
      <c r="AC129" s="2">
        <v>58118000</v>
      </c>
    </row>
    <row r="130" spans="1:29" x14ac:dyDescent="0.2">
      <c r="A130" s="1" t="s">
        <v>80</v>
      </c>
      <c r="B130" s="1" t="s">
        <v>81</v>
      </c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>
        <v>8893000</v>
      </c>
      <c r="V130" s="2"/>
      <c r="W130" s="2">
        <v>10776000</v>
      </c>
      <c r="X130" s="2"/>
      <c r="Y130" s="2">
        <v>12637000</v>
      </c>
      <c r="Z130" s="2"/>
      <c r="AA130" s="2">
        <v>11348000</v>
      </c>
      <c r="AB130" s="2"/>
      <c r="AC130" s="2">
        <v>43654000</v>
      </c>
    </row>
    <row r="131" spans="1:29" x14ac:dyDescent="0.2">
      <c r="A131" s="1" t="s">
        <v>40</v>
      </c>
      <c r="B131" s="1" t="s">
        <v>41</v>
      </c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>
        <v>146643000</v>
      </c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  <c r="AC131" s="2">
        <v>146643000</v>
      </c>
    </row>
    <row r="132" spans="1:29" x14ac:dyDescent="0.2">
      <c r="A132" s="1" t="s">
        <v>68</v>
      </c>
      <c r="B132" s="1" t="s">
        <v>69</v>
      </c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>
        <v>1846000</v>
      </c>
      <c r="V132" s="2"/>
      <c r="W132" s="2">
        <v>2913000</v>
      </c>
      <c r="X132" s="2"/>
      <c r="Y132" s="2">
        <v>1918000</v>
      </c>
      <c r="Z132" s="2"/>
      <c r="AA132" s="2">
        <v>2680000</v>
      </c>
      <c r="AB132" s="2"/>
      <c r="AC132" s="2">
        <v>9357000</v>
      </c>
    </row>
    <row r="133" spans="1:29" x14ac:dyDescent="0.2">
      <c r="A133" s="1" t="s">
        <v>59</v>
      </c>
      <c r="B133" s="1" t="s">
        <v>60</v>
      </c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>
        <v>239000000</v>
      </c>
      <c r="T133" s="2"/>
      <c r="U133" s="2"/>
      <c r="V133" s="2"/>
      <c r="W133" s="2"/>
      <c r="X133" s="2"/>
      <c r="Y133" s="2"/>
      <c r="Z133" s="2"/>
      <c r="AA133" s="2"/>
      <c r="AB133" s="2"/>
      <c r="AC133" s="2">
        <v>239000000</v>
      </c>
    </row>
    <row r="134" spans="1:29" x14ac:dyDescent="0.2">
      <c r="A134" s="1" t="s">
        <v>137</v>
      </c>
      <c r="B134" s="1" t="s">
        <v>138</v>
      </c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>
        <v>276460470</v>
      </c>
      <c r="AB134" s="2"/>
      <c r="AC134" s="2">
        <v>276460470</v>
      </c>
    </row>
    <row r="135" spans="1:29" x14ac:dyDescent="0.2">
      <c r="A135" s="1" t="s">
        <v>196</v>
      </c>
      <c r="B135" s="1" t="s">
        <v>195</v>
      </c>
      <c r="C135" s="2"/>
      <c r="D135" s="2">
        <v>800000</v>
      </c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>
        <v>800000</v>
      </c>
      <c r="Q135" s="2"/>
      <c r="R135" s="2"/>
      <c r="S135" s="2"/>
      <c r="T135" s="2"/>
      <c r="U135" s="2"/>
      <c r="V135" s="2"/>
      <c r="W135" s="2"/>
      <c r="X135" s="2"/>
      <c r="Y135" s="2"/>
      <c r="Z135" s="2">
        <v>800000</v>
      </c>
      <c r="AA135" s="2"/>
      <c r="AB135" s="2"/>
      <c r="AC135" s="2">
        <v>2400000</v>
      </c>
    </row>
    <row r="136" spans="1:29" x14ac:dyDescent="0.2">
      <c r="A136" s="1" t="s">
        <v>46</v>
      </c>
      <c r="B136" s="1" t="s">
        <v>47</v>
      </c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>
        <v>73513000</v>
      </c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  <c r="AC136" s="2">
        <v>73513000</v>
      </c>
    </row>
    <row r="137" spans="1:29" x14ac:dyDescent="0.2">
      <c r="A137" s="1" t="s">
        <v>194</v>
      </c>
      <c r="B137" s="1" t="s">
        <v>193</v>
      </c>
      <c r="C137" s="2"/>
      <c r="D137" s="2">
        <v>0</v>
      </c>
      <c r="E137" s="2"/>
      <c r="F137" s="2"/>
      <c r="G137" s="2"/>
      <c r="H137" s="2"/>
      <c r="I137" s="2"/>
      <c r="J137" s="2"/>
      <c r="K137" s="2"/>
      <c r="L137" s="2"/>
      <c r="M137" s="2"/>
      <c r="N137" s="2">
        <v>2800000</v>
      </c>
      <c r="O137" s="2"/>
      <c r="P137" s="2"/>
      <c r="Q137" s="2"/>
      <c r="R137" s="2"/>
      <c r="S137" s="2"/>
      <c r="T137" s="2"/>
      <c r="U137" s="2"/>
      <c r="V137" s="2">
        <v>3000000</v>
      </c>
      <c r="W137" s="2"/>
      <c r="X137" s="2">
        <v>3000000</v>
      </c>
      <c r="Y137" s="2"/>
      <c r="Z137" s="2"/>
      <c r="AA137" s="2"/>
      <c r="AB137" s="2"/>
      <c r="AC137" s="2">
        <v>8800000</v>
      </c>
    </row>
    <row r="138" spans="1:29" x14ac:dyDescent="0.2">
      <c r="A138" s="1" t="s">
        <v>160</v>
      </c>
      <c r="C138" s="2">
        <v>673127350</v>
      </c>
      <c r="D138" s="2">
        <v>175809275</v>
      </c>
      <c r="E138" s="2">
        <v>532270500</v>
      </c>
      <c r="F138" s="2">
        <v>150269847</v>
      </c>
      <c r="G138" s="2">
        <v>215127190</v>
      </c>
      <c r="H138" s="2">
        <v>158116445</v>
      </c>
      <c r="I138" s="2">
        <v>1225072458</v>
      </c>
      <c r="J138" s="2">
        <v>99916142</v>
      </c>
      <c r="K138" s="2">
        <v>801730000</v>
      </c>
      <c r="L138" s="2">
        <v>240662554</v>
      </c>
      <c r="M138" s="2">
        <v>649404000</v>
      </c>
      <c r="N138" s="2">
        <v>248389252</v>
      </c>
      <c r="O138" s="2">
        <v>164163000</v>
      </c>
      <c r="P138" s="2">
        <v>157098689</v>
      </c>
      <c r="Q138" s="2">
        <v>463674000</v>
      </c>
      <c r="R138" s="2">
        <v>246722645</v>
      </c>
      <c r="S138" s="2">
        <v>808180000</v>
      </c>
      <c r="T138" s="2">
        <v>159883456</v>
      </c>
      <c r="U138" s="2">
        <v>1104367800</v>
      </c>
      <c r="V138" s="2">
        <v>201123732</v>
      </c>
      <c r="W138" s="2">
        <v>464533600</v>
      </c>
      <c r="X138" s="2">
        <v>174452939</v>
      </c>
      <c r="Y138" s="2">
        <v>1109355200</v>
      </c>
      <c r="Z138" s="2">
        <v>300105320</v>
      </c>
      <c r="AA138" s="2">
        <v>1099200470</v>
      </c>
      <c r="AB138" s="2">
        <v>250080603</v>
      </c>
      <c r="AC138" s="2">
        <v>11872836467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11</vt:i4>
      </vt:variant>
      <vt:variant>
        <vt:lpstr>이름이 지정된 범위</vt:lpstr>
      </vt:variant>
      <vt:variant>
        <vt:i4>6</vt:i4>
      </vt:variant>
    </vt:vector>
  </HeadingPairs>
  <TitlesOfParts>
    <vt:vector size="17" baseType="lpstr">
      <vt:lpstr>씽크현황</vt:lpstr>
      <vt:lpstr>씽크현황 (판매)</vt:lpstr>
      <vt:lpstr>씽크현황 (수금)</vt:lpstr>
      <vt:lpstr>Sheet1</vt:lpstr>
      <vt:lpstr>Sheet3</vt:lpstr>
      <vt:lpstr>Sheet2</vt:lpstr>
      <vt:lpstr>Sheet4</vt:lpstr>
      <vt:lpstr>기준</vt:lpstr>
      <vt:lpstr>백병원 관련</vt:lpstr>
      <vt:lpstr>Sheet5</vt:lpstr>
      <vt:lpstr>오더정리</vt:lpstr>
      <vt:lpstr>씽크현황!Print_Area</vt:lpstr>
      <vt:lpstr>'씽크현황 (수금)'!Print_Area</vt:lpstr>
      <vt:lpstr>'씽크현황 (판매)'!Print_Area</vt:lpstr>
      <vt:lpstr>씽크현황!Print_Titles</vt:lpstr>
      <vt:lpstr>'씽크현황 (수금)'!Print_Titles</vt:lpstr>
      <vt:lpstr>'씽크현황 (판매)'!Print_Titles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User</cp:lastModifiedBy>
  <cp:revision>1</cp:revision>
  <cp:lastPrinted>2026-01-09T04:08:54Z</cp:lastPrinted>
  <dcterms:created xsi:type="dcterms:W3CDTF">2026-01-06T04:07:52Z</dcterms:created>
  <dcterms:modified xsi:type="dcterms:W3CDTF">2026-10-13T09:45:29Z</dcterms:modified>
  <cp:category/>
</cp:coreProperties>
</file>