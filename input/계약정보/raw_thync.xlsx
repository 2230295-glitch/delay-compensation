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영업관리1팀\05. 개별공간\송예진\휴지통\"/>
    </mc:Choice>
  </mc:AlternateContent>
  <bookViews>
    <workbookView xWindow="0" yWindow="0" windowWidth="20496" windowHeight="7740"/>
  </bookViews>
  <sheets>
    <sheet name="raw" sheetId="1" r:id="rId1"/>
  </sheets>
  <externalReferences>
    <externalReference r:id="rId2"/>
    <externalReference r:id="rId3"/>
  </externalReferences>
  <definedNames>
    <definedName name="_xlnm._FilterDatabase" localSheetId="0" hidden="1">raw!$A$3:$BD$202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17" i="1" l="1"/>
  <c r="K195" i="1"/>
  <c r="G1" i="1"/>
  <c r="BC1" i="1"/>
  <c r="BD1" i="1"/>
  <c r="J202" i="1" l="1"/>
  <c r="K202" i="1"/>
  <c r="E202" i="1"/>
  <c r="L202" i="1" l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6" i="1"/>
  <c r="K197" i="1"/>
  <c r="K198" i="1"/>
  <c r="K199" i="1"/>
  <c r="K200" i="1"/>
  <c r="K201" i="1"/>
  <c r="K4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D201" i="1"/>
  <c r="D200" i="1"/>
  <c r="D199" i="1"/>
  <c r="D198" i="1"/>
  <c r="D197" i="1"/>
  <c r="D196" i="1"/>
  <c r="D1" i="1" l="1"/>
  <c r="K1" i="1"/>
  <c r="J1" i="1"/>
  <c r="L189" i="1"/>
  <c r="L188" i="1"/>
  <c r="L186" i="1"/>
  <c r="L187" i="1"/>
  <c r="L201" i="1"/>
  <c r="L199" i="1"/>
  <c r="L196" i="1"/>
  <c r="L195" i="1"/>
  <c r="L200" i="1"/>
  <c r="L190" i="1"/>
  <c r="L198" i="1"/>
  <c r="L197" i="1"/>
  <c r="L194" i="1"/>
  <c r="L193" i="1"/>
  <c r="L192" i="1"/>
  <c r="L191" i="1"/>
  <c r="E201" i="1"/>
  <c r="E200" i="1"/>
  <c r="E199" i="1"/>
  <c r="E198" i="1"/>
  <c r="E197" i="1"/>
  <c r="E196" i="1"/>
  <c r="AZ1" i="1" l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BB1" i="1"/>
  <c r="BA1" i="1"/>
  <c r="E188" i="1"/>
  <c r="E189" i="1"/>
  <c r="E190" i="1"/>
  <c r="E191" i="1"/>
  <c r="E192" i="1"/>
  <c r="E193" i="1"/>
  <c r="E194" i="1"/>
  <c r="E195" i="1"/>
  <c r="E187" i="1" l="1"/>
  <c r="E186" i="1"/>
  <c r="E185" i="1"/>
  <c r="E184" i="1"/>
  <c r="E183" i="1"/>
  <c r="E182" i="1"/>
  <c r="L181" i="1"/>
  <c r="E181" i="1"/>
  <c r="E180" i="1"/>
  <c r="E179" i="1"/>
  <c r="E178" i="1"/>
  <c r="E177" i="1"/>
  <c r="L176" i="1"/>
  <c r="E176" i="1"/>
  <c r="E175" i="1"/>
  <c r="E174" i="1"/>
  <c r="E173" i="1"/>
  <c r="E172" i="1"/>
  <c r="E171" i="1"/>
  <c r="L170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L158" i="1"/>
  <c r="E158" i="1"/>
  <c r="E157" i="1"/>
  <c r="E156" i="1"/>
  <c r="E155" i="1"/>
  <c r="E154" i="1"/>
  <c r="E153" i="1"/>
  <c r="L152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1" i="1" l="1"/>
  <c r="L171" i="1"/>
  <c r="L172" i="1"/>
  <c r="L173" i="1"/>
  <c r="L150" i="1"/>
  <c r="L156" i="1"/>
  <c r="L162" i="1"/>
  <c r="L174" i="1"/>
  <c r="L179" i="1"/>
  <c r="L153" i="1"/>
  <c r="L159" i="1"/>
  <c r="L154" i="1"/>
  <c r="L160" i="1"/>
  <c r="L166" i="1"/>
  <c r="L183" i="1"/>
  <c r="L161" i="1"/>
  <c r="L167" i="1"/>
  <c r="L184" i="1"/>
  <c r="L151" i="1"/>
  <c r="L157" i="1"/>
  <c r="L163" i="1"/>
  <c r="L169" i="1"/>
  <c r="L175" i="1"/>
  <c r="L180" i="1"/>
  <c r="L182" i="1"/>
  <c r="L178" i="1"/>
  <c r="L165" i="1"/>
  <c r="L9" i="1"/>
  <c r="L27" i="1"/>
  <c r="L142" i="1"/>
  <c r="L15" i="1"/>
  <c r="L148" i="1"/>
  <c r="L7" i="1"/>
  <c r="L25" i="1"/>
  <c r="L37" i="1"/>
  <c r="L21" i="1"/>
  <c r="L33" i="1"/>
  <c r="L136" i="1"/>
  <c r="L132" i="1"/>
  <c r="L13" i="1"/>
  <c r="L19" i="1"/>
  <c r="L31" i="1"/>
  <c r="L69" i="1"/>
  <c r="L105" i="1"/>
  <c r="L141" i="1"/>
  <c r="L51" i="1"/>
  <c r="L99" i="1"/>
  <c r="L16" i="1"/>
  <c r="L52" i="1"/>
  <c r="L64" i="1"/>
  <c r="L70" i="1"/>
  <c r="L76" i="1"/>
  <c r="L82" i="1"/>
  <c r="L88" i="1"/>
  <c r="L94" i="1"/>
  <c r="L100" i="1"/>
  <c r="L106" i="1"/>
  <c r="L112" i="1"/>
  <c r="L118" i="1"/>
  <c r="L124" i="1"/>
  <c r="L130" i="1"/>
  <c r="L57" i="1"/>
  <c r="L81" i="1"/>
  <c r="L123" i="1"/>
  <c r="L22" i="1"/>
  <c r="L34" i="1"/>
  <c r="L23" i="1"/>
  <c r="L35" i="1"/>
  <c r="L41" i="1"/>
  <c r="L53" i="1"/>
  <c r="L65" i="1"/>
  <c r="L77" i="1"/>
  <c r="L89" i="1"/>
  <c r="L113" i="1"/>
  <c r="L125" i="1"/>
  <c r="L149" i="1"/>
  <c r="L18" i="1"/>
  <c r="L30" i="1"/>
  <c r="L48" i="1"/>
  <c r="L60" i="1"/>
  <c r="L72" i="1"/>
  <c r="L84" i="1"/>
  <c r="L96" i="1"/>
  <c r="L102" i="1"/>
  <c r="L114" i="1"/>
  <c r="L120" i="1"/>
  <c r="L126" i="1"/>
  <c r="L63" i="1"/>
  <c r="L87" i="1"/>
  <c r="L129" i="1"/>
  <c r="L135" i="1"/>
  <c r="L10" i="1"/>
  <c r="L28" i="1"/>
  <c r="L40" i="1"/>
  <c r="L5" i="1"/>
  <c r="L17" i="1"/>
  <c r="L59" i="1"/>
  <c r="L71" i="1"/>
  <c r="L95" i="1"/>
  <c r="L107" i="1"/>
  <c r="L131" i="1"/>
  <c r="L143" i="1"/>
  <c r="L6" i="1"/>
  <c r="L12" i="1"/>
  <c r="L24" i="1"/>
  <c r="L36" i="1"/>
  <c r="L42" i="1"/>
  <c r="L54" i="1"/>
  <c r="L66" i="1"/>
  <c r="L78" i="1"/>
  <c r="L90" i="1"/>
  <c r="L108" i="1"/>
  <c r="L138" i="1"/>
  <c r="L144" i="1"/>
  <c r="L39" i="1"/>
  <c r="L45" i="1"/>
  <c r="L75" i="1"/>
  <c r="L93" i="1"/>
  <c r="L111" i="1"/>
  <c r="L117" i="1"/>
  <c r="L147" i="1"/>
  <c r="L46" i="1"/>
  <c r="L58" i="1"/>
  <c r="L43" i="1"/>
  <c r="L49" i="1"/>
  <c r="L55" i="1"/>
  <c r="L61" i="1"/>
  <c r="L67" i="1"/>
  <c r="L73" i="1"/>
  <c r="L79" i="1"/>
  <c r="L85" i="1"/>
  <c r="L91" i="1"/>
  <c r="L97" i="1"/>
  <c r="L103" i="1"/>
  <c r="L109" i="1"/>
  <c r="L115" i="1"/>
  <c r="L121" i="1"/>
  <c r="L127" i="1"/>
  <c r="L133" i="1"/>
  <c r="L139" i="1"/>
  <c r="L145" i="1"/>
  <c r="L8" i="1"/>
  <c r="L14" i="1"/>
  <c r="L26" i="1"/>
  <c r="L32" i="1"/>
  <c r="L44" i="1"/>
  <c r="L50" i="1"/>
  <c r="L62" i="1"/>
  <c r="L68" i="1"/>
  <c r="L80" i="1"/>
  <c r="L86" i="1"/>
  <c r="L98" i="1"/>
  <c r="L104" i="1"/>
  <c r="L116" i="1"/>
  <c r="L122" i="1"/>
  <c r="L134" i="1"/>
  <c r="L140" i="1"/>
  <c r="L110" i="1"/>
  <c r="L155" i="1"/>
  <c r="L38" i="1"/>
  <c r="L83" i="1"/>
  <c r="L128" i="1"/>
  <c r="L11" i="1"/>
  <c r="L56" i="1"/>
  <c r="L168" i="1"/>
  <c r="L101" i="1"/>
  <c r="L146" i="1"/>
  <c r="L185" i="1"/>
  <c r="L29" i="1"/>
  <c r="L74" i="1"/>
  <c r="L119" i="1"/>
  <c r="L164" i="1"/>
  <c r="L47" i="1"/>
  <c r="L92" i="1"/>
  <c r="L137" i="1"/>
  <c r="L20" i="1"/>
  <c r="L177" i="1"/>
  <c r="L4" i="1"/>
  <c r="L1" i="1" l="1"/>
</calcChain>
</file>

<file path=xl/comments1.xml><?xml version="1.0" encoding="utf-8"?>
<comments xmlns="http://schemas.openxmlformats.org/spreadsheetml/2006/main">
  <authors>
    <author>user</author>
    <author>Unknown Author</author>
  </authors>
  <commentList>
    <comment ref="D68" authorId="0" shapeId="0">
      <text>
        <r>
          <rPr>
            <b/>
            <sz val="9"/>
            <color indexed="81"/>
            <rFont val="Tahoma"/>
            <family val="2"/>
          </rPr>
          <t xml:space="preserve">9/8 </t>
        </r>
        <r>
          <rPr>
            <b/>
            <sz val="9"/>
            <color indexed="81"/>
            <rFont val="돋움"/>
            <family val="3"/>
            <charset val="129"/>
          </rPr>
          <t>병상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B107" authorId="1" shapeId="0">
      <text>
        <r>
          <rPr>
            <sz val="10"/>
            <rFont val="Noto Sans CJK SC"/>
            <family val="2"/>
          </rPr>
          <t>백병원 계열 예외관리처</t>
        </r>
      </text>
    </comment>
    <comment ref="C143" authorId="1" shapeId="0">
      <text>
        <r>
          <rPr>
            <sz val="10"/>
            <rFont val="Noto Sans CJK SC"/>
            <family val="2"/>
          </rPr>
          <t xml:space="preserve">계약금액 변동
변경 사항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계약금액 </t>
        </r>
        <r>
          <rPr>
            <sz val="10"/>
            <rFont val="Arial"/>
            <family val="2"/>
          </rPr>
          <t>(523,988,500</t>
        </r>
        <r>
          <rPr>
            <sz val="10"/>
            <rFont val="Noto Sans CJK SC"/>
            <family val="2"/>
          </rPr>
          <t xml:space="preserve">원 → </t>
        </r>
        <r>
          <rPr>
            <sz val="10"/>
            <rFont val="Arial"/>
            <family val="2"/>
          </rPr>
          <t>553,044,000</t>
        </r>
        <r>
          <rPr>
            <sz val="10"/>
            <rFont val="Noto Sans CJK SC"/>
            <family val="2"/>
          </rPr>
          <t>원</t>
        </r>
        <r>
          <rPr>
            <sz val="10"/>
            <rFont val="Arial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<sst xmlns="http://schemas.openxmlformats.org/spreadsheetml/2006/main" count="1009" uniqueCount="534">
  <si>
    <t>거래처정보</t>
  </si>
  <si>
    <t>계약정보</t>
  </si>
  <si>
    <t>누적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</si>
  <si>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</si>
  <si>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</si>
  <si>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</si>
  <si>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</si>
  <si>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</si>
  <si>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</si>
  <si>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</si>
  <si>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</si>
  <si>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</si>
  <si>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</si>
  <si>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</si>
  <si>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</si>
  <si>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</si>
  <si>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no.</t>
  </si>
  <si>
    <t>실납처</t>
  </si>
  <si>
    <t>실납처명</t>
  </si>
  <si>
    <t>계약금액</t>
  </si>
  <si>
    <t>월목표</t>
  </si>
  <si>
    <t>유형</t>
  </si>
  <si>
    <t>병상수</t>
  </si>
  <si>
    <t>계약시작</t>
  </si>
  <si>
    <t>회전</t>
  </si>
  <si>
    <t>매출누계</t>
  </si>
  <si>
    <t>수금누계</t>
    <phoneticPr fontId="2" type="noConversion"/>
  </si>
  <si>
    <t>수금율</t>
  </si>
  <si>
    <t>매출</t>
  </si>
  <si>
    <t>수금</t>
  </si>
  <si>
    <t>신촌연세병원</t>
  </si>
  <si>
    <t>사용량비례형</t>
  </si>
  <si>
    <t>2025-08-22</t>
  </si>
  <si>
    <t>씨엠병원</t>
  </si>
  <si>
    <t>2025-09-22</t>
  </si>
  <si>
    <t>의료법인은성의료재단좋은선린병원</t>
  </si>
  <si>
    <t>2025-06-27</t>
  </si>
  <si>
    <t>동탄시티병원</t>
  </si>
  <si>
    <t>2025-07-31</t>
  </si>
  <si>
    <t>의료법인백성의료재단안중백병원</t>
  </si>
  <si>
    <t>2025-07-10</t>
  </si>
  <si>
    <t>의료법인영동의료재단의정부백병원</t>
  </si>
  <si>
    <t>2025-06-26</t>
  </si>
  <si>
    <t>메디인병원</t>
  </si>
  <si>
    <t>2025-05-29</t>
  </si>
  <si>
    <t>해븐리병원</t>
  </si>
  <si>
    <t>2025-10-23</t>
  </si>
  <si>
    <t>의료법인우리의료재단</t>
  </si>
  <si>
    <t>2025-08-28</t>
  </si>
  <si>
    <t>구독형</t>
  </si>
  <si>
    <t>2025-09-23</t>
  </si>
  <si>
    <t>서울성심병원</t>
  </si>
  <si>
    <t>2025-07-07</t>
  </si>
  <si>
    <t>신일병원</t>
  </si>
  <si>
    <t>2025-07-11</t>
  </si>
  <si>
    <t>검단탑종합병원</t>
  </si>
  <si>
    <t>2025-05-20</t>
  </si>
  <si>
    <t>사랑플러스병원</t>
  </si>
  <si>
    <t>2025-06-02</t>
  </si>
  <si>
    <t>2025-09-02</t>
  </si>
  <si>
    <t>시원병원</t>
  </si>
  <si>
    <t>2025-08-11</t>
  </si>
  <si>
    <t>당진종합병원</t>
  </si>
  <si>
    <t>2025-06-30</t>
  </si>
  <si>
    <t>현대병원</t>
  </si>
  <si>
    <t>2025-06-25</t>
  </si>
  <si>
    <t>이화의대부속서울병원</t>
  </si>
  <si>
    <t>구축형</t>
  </si>
  <si>
    <t>2025 4Q</t>
  </si>
  <si>
    <t>25.12.31</t>
  </si>
  <si>
    <t>부안성모병원</t>
  </si>
  <si>
    <t>분납형</t>
  </si>
  <si>
    <t>2025-09-08</t>
  </si>
  <si>
    <t>목포기독병원</t>
  </si>
  <si>
    <t>2025-06-17</t>
  </si>
  <si>
    <t>수성한미병원</t>
  </si>
  <si>
    <t>2025-07-16</t>
  </si>
  <si>
    <t>2025-09-16</t>
  </si>
  <si>
    <t>통살적 결제조건</t>
  </si>
  <si>
    <t>의료법인온그룹의료재단온종합병원</t>
  </si>
  <si>
    <t>한라의료원</t>
  </si>
  <si>
    <t>의료법인숭인의료재단김해복음병원</t>
  </si>
  <si>
    <t>2025-06-19</t>
  </si>
  <si>
    <t>더퍼스트병원</t>
  </si>
  <si>
    <t>2025-10-27</t>
  </si>
  <si>
    <t>서울산보람병원</t>
  </si>
  <si>
    <t>중앙대학교광명병원</t>
  </si>
  <si>
    <t>2025-07-21</t>
  </si>
  <si>
    <t>순천에스병원</t>
  </si>
  <si>
    <t>2025-06-13</t>
  </si>
  <si>
    <t>여주새로운병원</t>
  </si>
  <si>
    <t>2025-06-23</t>
  </si>
  <si>
    <t>의료법인백천의료재단</t>
  </si>
  <si>
    <t>2025-07-14</t>
  </si>
  <si>
    <t>의료법인혜인의료재단한국병원</t>
  </si>
  <si>
    <t>광주센트럴병원</t>
  </si>
  <si>
    <t>2025-02-25</t>
  </si>
  <si>
    <t>대전한국병원</t>
  </si>
  <si>
    <t>2025-05-26</t>
  </si>
  <si>
    <t>비에이치에스한서병원</t>
  </si>
  <si>
    <t>2025-05-28</t>
  </si>
  <si>
    <t>2025-09-26</t>
  </si>
  <si>
    <t>시영의료재단영동병원</t>
  </si>
  <si>
    <t>2025-09-03</t>
  </si>
  <si>
    <t>부산본병원</t>
  </si>
  <si>
    <t>2025-07-15</t>
  </si>
  <si>
    <t>2025-04-23</t>
  </si>
  <si>
    <t>의료법인춘곡의료재단</t>
  </si>
  <si>
    <t>2025-06-09</t>
  </si>
  <si>
    <t>화순성심병원</t>
  </si>
  <si>
    <t>예산명지병원</t>
  </si>
  <si>
    <t>천안리턴병원</t>
  </si>
  <si>
    <t>추병원</t>
  </si>
  <si>
    <t>47-1</t>
  </si>
  <si>
    <t>빌리브세웅병원</t>
  </si>
  <si>
    <t>2025-04-01</t>
  </si>
  <si>
    <t>47-2</t>
  </si>
  <si>
    <t>2025-10-13</t>
  </si>
  <si>
    <t>48-1</t>
  </si>
  <si>
    <t>강영의료재단문산중앙병원</t>
  </si>
  <si>
    <t>2024-12-10</t>
  </si>
  <si>
    <t>합의된 기한 내</t>
  </si>
  <si>
    <t>48-2</t>
  </si>
  <si>
    <t>2025-09-29</t>
  </si>
  <si>
    <t>49</t>
  </si>
  <si>
    <t>2025-07-22</t>
  </si>
  <si>
    <t>50</t>
  </si>
  <si>
    <t>2025-03-25</t>
  </si>
  <si>
    <t>리스</t>
  </si>
  <si>
    <t>51</t>
  </si>
  <si>
    <t>의료법인동수원병원</t>
  </si>
  <si>
    <t>2025-05-09</t>
  </si>
  <si>
    <t>52</t>
  </si>
  <si>
    <t>2025-03-19</t>
  </si>
  <si>
    <t>53</t>
  </si>
  <si>
    <t>춘천성심병원</t>
  </si>
  <si>
    <t>2024-11-01</t>
  </si>
  <si>
    <t>54</t>
  </si>
  <si>
    <t>2025-04-14</t>
  </si>
  <si>
    <t>55-1</t>
  </si>
  <si>
    <t>강릉아산병원</t>
  </si>
  <si>
    <t>2024-12-23</t>
  </si>
  <si>
    <t>55-2</t>
  </si>
  <si>
    <t>2026-04-21</t>
  </si>
  <si>
    <t>56</t>
  </si>
  <si>
    <t>비에스종합병원</t>
  </si>
  <si>
    <t>57</t>
  </si>
  <si>
    <t>미래한국병원</t>
  </si>
  <si>
    <t>2024-11-28</t>
  </si>
  <si>
    <t>58</t>
  </si>
  <si>
    <t>용인제일메디병원</t>
  </si>
  <si>
    <t>2025-04-30</t>
  </si>
  <si>
    <t>59</t>
  </si>
  <si>
    <t>2025-05-30</t>
  </si>
  <si>
    <t>60-1</t>
  </si>
  <si>
    <t>광주씨티병원</t>
  </si>
  <si>
    <t>2025-03-12</t>
  </si>
  <si>
    <t>60-2</t>
  </si>
  <si>
    <t>2026-04-03</t>
  </si>
  <si>
    <t>61</t>
  </si>
  <si>
    <t>광주현대병원</t>
  </si>
  <si>
    <t>62</t>
  </si>
  <si>
    <t>광주병원</t>
  </si>
  <si>
    <t>2025-01-24</t>
  </si>
  <si>
    <t>63</t>
  </si>
  <si>
    <t>신가병원</t>
  </si>
  <si>
    <t>2024-10-18</t>
  </si>
  <si>
    <t>64</t>
  </si>
  <si>
    <t>대송의료재단무안병원</t>
  </si>
  <si>
    <t>65</t>
  </si>
  <si>
    <t>의료법인해민의료재단</t>
  </si>
  <si>
    <t>2024-08-30</t>
  </si>
  <si>
    <t>말일</t>
  </si>
  <si>
    <t>66</t>
  </si>
  <si>
    <t>행촌의료재단해남병원</t>
  </si>
  <si>
    <t>2025-07-09</t>
  </si>
  <si>
    <t>67-1</t>
  </si>
  <si>
    <t>67-2</t>
  </si>
  <si>
    <t>2024-12-24</t>
  </si>
  <si>
    <t>68</t>
  </si>
  <si>
    <t>서울아동병원</t>
  </si>
  <si>
    <t>2025-05-02</t>
  </si>
  <si>
    <t>69</t>
  </si>
  <si>
    <t>화순고려병원</t>
  </si>
  <si>
    <t>70-1</t>
  </si>
  <si>
    <t>2025-05-13</t>
  </si>
  <si>
    <t>70-2</t>
  </si>
  <si>
    <t>2025-12-31</t>
  </si>
  <si>
    <t>71</t>
  </si>
  <si>
    <t>명지성모병원</t>
  </si>
  <si>
    <t>2025-05-19</t>
  </si>
  <si>
    <t>72</t>
  </si>
  <si>
    <t>의료법인양진의료재단평택성모병원</t>
  </si>
  <si>
    <t>73</t>
  </si>
  <si>
    <t>의료법인한양의료재단</t>
  </si>
  <si>
    <t>2025-06-24</t>
  </si>
  <si>
    <t>74</t>
  </si>
  <si>
    <t>원주센텀병원</t>
  </si>
  <si>
    <t>75</t>
  </si>
  <si>
    <t>의료법인석경의료재단</t>
  </si>
  <si>
    <t>76</t>
  </si>
  <si>
    <t>청구성심병원</t>
  </si>
  <si>
    <t>2025-09-30</t>
  </si>
  <si>
    <t>77</t>
  </si>
  <si>
    <t>78</t>
  </si>
  <si>
    <t>서울노보스병원</t>
  </si>
  <si>
    <t>79</t>
  </si>
  <si>
    <t>의료법인선덕의료재단대성병원</t>
  </si>
  <si>
    <t>80</t>
  </si>
  <si>
    <t>뿌리병원</t>
  </si>
  <si>
    <t>2025-11-05</t>
  </si>
  <si>
    <t>81</t>
  </si>
  <si>
    <t>건양대학교부여병원</t>
  </si>
  <si>
    <t>2025-08-12</t>
  </si>
  <si>
    <t>82</t>
  </si>
  <si>
    <t>서산중앙병원</t>
  </si>
  <si>
    <t>2025-08-01</t>
  </si>
  <si>
    <t>83</t>
  </si>
  <si>
    <t>동아병원</t>
  </si>
  <si>
    <t>84</t>
  </si>
  <si>
    <t>2025-07-23</t>
  </si>
  <si>
    <t>85</t>
  </si>
  <si>
    <t>86</t>
  </si>
  <si>
    <t>새천년병원</t>
  </si>
  <si>
    <t>87</t>
  </si>
  <si>
    <t>88</t>
  </si>
  <si>
    <t>새통영병원</t>
  </si>
  <si>
    <t>2025-09-24</t>
  </si>
  <si>
    <t>89</t>
  </si>
  <si>
    <t>김해굿모닝병원</t>
  </si>
  <si>
    <t>90</t>
  </si>
  <si>
    <t>의료법인규웅의료재단</t>
  </si>
  <si>
    <t>2025-08-13</t>
  </si>
  <si>
    <t>91</t>
  </si>
  <si>
    <t>의료법인건명의료재단</t>
  </si>
  <si>
    <t>2025-10-30</t>
  </si>
  <si>
    <t>92</t>
  </si>
  <si>
    <t>의료법인명인의료재단</t>
  </si>
  <si>
    <t>93</t>
  </si>
  <si>
    <t>94</t>
  </si>
  <si>
    <t>한빛병원</t>
  </si>
  <si>
    <t>2025-10-29</t>
  </si>
  <si>
    <t>95</t>
  </si>
  <si>
    <t>한림대학교동탄성심병원</t>
  </si>
  <si>
    <t>2025-12-22</t>
  </si>
  <si>
    <t>96</t>
  </si>
  <si>
    <t>2025-08-14</t>
  </si>
  <si>
    <t>97</t>
  </si>
  <si>
    <t>에스포항병원</t>
  </si>
  <si>
    <t>98</t>
  </si>
  <si>
    <t>인제대학교일산백병원</t>
  </si>
  <si>
    <t>2026-02-13</t>
  </si>
  <si>
    <t>99</t>
  </si>
  <si>
    <t>학교법인동의병원</t>
  </si>
  <si>
    <t>2025-09-05</t>
  </si>
  <si>
    <t>100</t>
  </si>
  <si>
    <t>광주한국병원</t>
  </si>
  <si>
    <t>2025-09-11</t>
  </si>
  <si>
    <t>101</t>
  </si>
  <si>
    <t>운암한국병원</t>
  </si>
  <si>
    <t>102</t>
  </si>
  <si>
    <t>의료법인안은의료재단부평세림병원</t>
  </si>
  <si>
    <t>2025-08-08</t>
  </si>
  <si>
    <t>103</t>
  </si>
  <si>
    <t>새손병원</t>
  </si>
  <si>
    <t>104</t>
  </si>
  <si>
    <t>2025-11-28</t>
  </si>
  <si>
    <t>105</t>
  </si>
  <si>
    <t>2025-10-17</t>
  </si>
  <si>
    <t>106</t>
  </si>
  <si>
    <t>연세에스병원</t>
  </si>
  <si>
    <t>107</t>
  </si>
  <si>
    <t>서울대병원</t>
  </si>
  <si>
    <t>108</t>
  </si>
  <si>
    <t>109</t>
  </si>
  <si>
    <t>정병원</t>
  </si>
  <si>
    <t>2025-12-17</t>
  </si>
  <si>
    <t>110</t>
  </si>
  <si>
    <t>해남우리병원</t>
  </si>
  <si>
    <t>2025-11-19</t>
  </si>
  <si>
    <t>111</t>
  </si>
  <si>
    <t>의료법인센텀의료재단센텀종합병원</t>
  </si>
  <si>
    <t>2025-11-24</t>
  </si>
  <si>
    <t>112</t>
  </si>
  <si>
    <t>의료법인대인의료재단다니엘병원</t>
  </si>
  <si>
    <t>2025-12-02</t>
  </si>
  <si>
    <t>113</t>
  </si>
  <si>
    <t>2025-12-16</t>
  </si>
  <si>
    <t>114</t>
  </si>
  <si>
    <t>인천가톨릭학원가톨릭관동대학교국제성모병원</t>
  </si>
  <si>
    <t>2025-12-18</t>
  </si>
  <si>
    <t>115</t>
  </si>
  <si>
    <t>2025-11-27</t>
  </si>
  <si>
    <t>116</t>
  </si>
  <si>
    <t>아산충무병원</t>
  </si>
  <si>
    <t>2025-08-26</t>
  </si>
  <si>
    <t>117</t>
  </si>
  <si>
    <t>원광대학교병원</t>
  </si>
  <si>
    <t>2025-08-20</t>
  </si>
  <si>
    <t>118</t>
  </si>
  <si>
    <t>의료법인장호녹동현대병원</t>
  </si>
  <si>
    <t>2025-09-12</t>
  </si>
  <si>
    <t>119</t>
  </si>
  <si>
    <t>전주고려병원</t>
  </si>
  <si>
    <t>2025-12-04</t>
  </si>
  <si>
    <t>120</t>
  </si>
  <si>
    <t>추새로병원</t>
  </si>
  <si>
    <t>121</t>
  </si>
  <si>
    <t>장튼위튼병원</t>
  </si>
  <si>
    <t>122</t>
  </si>
  <si>
    <t>성지의료재단제천성지병원</t>
  </si>
  <si>
    <t>2025-12-03</t>
  </si>
  <si>
    <t>123</t>
  </si>
  <si>
    <t>124</t>
  </si>
  <si>
    <t>2025-12-09</t>
  </si>
  <si>
    <t>125</t>
  </si>
  <si>
    <t>거인병원</t>
  </si>
  <si>
    <t>2025-12-19</t>
  </si>
  <si>
    <t>126</t>
  </si>
  <si>
    <t>박철홍정형외과의원</t>
  </si>
  <si>
    <t>2025-11-18</t>
  </si>
  <si>
    <t>127</t>
  </si>
  <si>
    <t>의료법인인덕의료재단복주회복병원</t>
  </si>
  <si>
    <t>2026 1Q</t>
  </si>
  <si>
    <t>128</t>
  </si>
  <si>
    <t>더필병원</t>
  </si>
  <si>
    <t>2025-12-05</t>
  </si>
  <si>
    <t>129</t>
  </si>
  <si>
    <t>다솜요양병원</t>
  </si>
  <si>
    <t>2026-02-03</t>
  </si>
  <si>
    <t>130</t>
  </si>
  <si>
    <t>홍익병원</t>
  </si>
  <si>
    <t>131</t>
  </si>
  <si>
    <t>성모윌병원</t>
  </si>
  <si>
    <t>132</t>
  </si>
  <si>
    <t>133</t>
  </si>
  <si>
    <t>134</t>
  </si>
  <si>
    <t>빛가람종합병원</t>
  </si>
  <si>
    <t>135</t>
  </si>
  <si>
    <t>2026-01-13</t>
  </si>
  <si>
    <t>136</t>
  </si>
  <si>
    <t>영암한국병원</t>
  </si>
  <si>
    <t>137</t>
  </si>
  <si>
    <t>미라클병원</t>
  </si>
  <si>
    <t>138</t>
  </si>
  <si>
    <t>의인의료재단차병원</t>
  </si>
  <si>
    <t>139</t>
  </si>
  <si>
    <t>척편한병원</t>
  </si>
  <si>
    <t>2025-12-30</t>
  </si>
  <si>
    <t>140</t>
  </si>
  <si>
    <t>의료법인일심의료재단포천우리병원</t>
  </si>
  <si>
    <t>141</t>
  </si>
  <si>
    <t>부천순천향대학교의과대학부속병원</t>
  </si>
  <si>
    <t>142</t>
  </si>
  <si>
    <t>의료법인양평의료재단</t>
  </si>
  <si>
    <t>을이 지정한 매월 동일일</t>
  </si>
  <si>
    <t>143</t>
  </si>
  <si>
    <t>혜민병원</t>
  </si>
  <si>
    <t>2026-02-24</t>
  </si>
  <si>
    <t>익월 말</t>
  </si>
  <si>
    <t>144</t>
  </si>
  <si>
    <t>씨엔씨재활의학과병원</t>
  </si>
  <si>
    <t>2026-02-09</t>
  </si>
  <si>
    <t>145</t>
  </si>
  <si>
    <t>화순전남대학교병원</t>
  </si>
  <si>
    <t>2026-02-28</t>
  </si>
  <si>
    <t>146</t>
  </si>
  <si>
    <t>석촌의료재단성주무강병원</t>
  </si>
  <si>
    <t>147</t>
  </si>
  <si>
    <t>인제대학교해운대백병원</t>
  </si>
  <si>
    <t>2026-03-00</t>
  </si>
  <si>
    <t>지정기한 내</t>
  </si>
  <si>
    <t>148</t>
  </si>
  <si>
    <t>서일의료재단기장병원</t>
  </si>
  <si>
    <t>2026-02-05</t>
  </si>
  <si>
    <t>149</t>
  </si>
  <si>
    <t>150</t>
  </si>
  <si>
    <t>의료법인남촌의료재단</t>
  </si>
  <si>
    <t>2026-03-13</t>
  </si>
  <si>
    <t>151</t>
  </si>
  <si>
    <t>씨엔씨푸른병원</t>
  </si>
  <si>
    <t>152</t>
  </si>
  <si>
    <t>연세오케이병원</t>
  </si>
  <si>
    <t>2026-03-10</t>
  </si>
  <si>
    <t>153</t>
  </si>
  <si>
    <t>새동산병원</t>
  </si>
  <si>
    <t>154</t>
  </si>
  <si>
    <t>중앙메디컬병원</t>
  </si>
  <si>
    <t>155</t>
  </si>
  <si>
    <t>대구예스병원</t>
  </si>
  <si>
    <t>2026-03-09</t>
  </si>
  <si>
    <t>156</t>
  </si>
  <si>
    <t>희명병원</t>
  </si>
  <si>
    <t>2026-04-14</t>
  </si>
  <si>
    <t>157</t>
  </si>
  <si>
    <t>의료법인자인의료재단더자인병원</t>
  </si>
  <si>
    <t>158</t>
  </si>
  <si>
    <t>159</t>
  </si>
  <si>
    <t>전남대학교병원</t>
  </si>
  <si>
    <t>2026-05-01</t>
  </si>
  <si>
    <t>160</t>
  </si>
  <si>
    <t>동아대학교의료원</t>
  </si>
  <si>
    <t>2026-03-19</t>
  </si>
  <si>
    <t>161</t>
  </si>
  <si>
    <t>인제대학교부산백병원</t>
  </si>
  <si>
    <t>2026-02-20</t>
  </si>
  <si>
    <t>162</t>
  </si>
  <si>
    <t>인당의료재단부민병원</t>
  </si>
  <si>
    <t>2025-08-19</t>
  </si>
  <si>
    <t>163</t>
  </si>
  <si>
    <t>의료법인갑을의료재단갑을장유병원</t>
  </si>
  <si>
    <t>2026-05-08</t>
  </si>
  <si>
    <t>164</t>
  </si>
  <si>
    <t>팔팔병원</t>
  </si>
  <si>
    <t>2026-04-30</t>
  </si>
  <si>
    <t>165</t>
  </si>
  <si>
    <t>2026-04-16</t>
  </si>
  <si>
    <t>166</t>
  </si>
  <si>
    <t>정읍한국병원</t>
  </si>
  <si>
    <t>2026-04-08</t>
  </si>
  <si>
    <t>167</t>
  </si>
  <si>
    <t>아중요양병원</t>
  </si>
  <si>
    <t>168</t>
  </si>
  <si>
    <t>청담해리슨병원</t>
  </si>
  <si>
    <t>169</t>
  </si>
  <si>
    <t>2026-03-25</t>
  </si>
  <si>
    <t>171</t>
  </si>
  <si>
    <t>향동포레요양병원</t>
  </si>
  <si>
    <t>2026-05-11</t>
  </si>
  <si>
    <t>172</t>
  </si>
  <si>
    <t>한양대학교병원</t>
  </si>
  <si>
    <t>2026-01-26</t>
  </si>
  <si>
    <t>173</t>
  </si>
  <si>
    <t>2026-05-06</t>
  </si>
  <si>
    <t>174</t>
  </si>
  <si>
    <t>의료법인서명의료재단세명병원</t>
  </si>
  <si>
    <t>2026-05-07</t>
  </si>
  <si>
    <t>175</t>
  </si>
  <si>
    <t>올바로병원</t>
  </si>
  <si>
    <t>2026-06-30</t>
  </si>
  <si>
    <t>176</t>
  </si>
  <si>
    <t>나은필병원</t>
  </si>
  <si>
    <t>177</t>
  </si>
  <si>
    <t>큰힘병원</t>
  </si>
  <si>
    <t>178</t>
  </si>
  <si>
    <t>더스마트병원</t>
  </si>
  <si>
    <t>2026-04-27</t>
  </si>
  <si>
    <t>179</t>
  </si>
  <si>
    <t>30일</t>
  </si>
  <si>
    <t>클래스병원</t>
  </si>
  <si>
    <t>구로성심병원</t>
  </si>
  <si>
    <t>의료법인한국의료재단</t>
  </si>
  <si>
    <t>우리병원</t>
  </si>
  <si>
    <t>경상국립대학교병원</t>
  </si>
  <si>
    <t>든든한병원</t>
  </si>
  <si>
    <t>분당베스트병원</t>
  </si>
  <si>
    <t>천안우리병원</t>
  </si>
  <si>
    <t>180</t>
  </si>
  <si>
    <t>181</t>
  </si>
  <si>
    <t>182</t>
  </si>
  <si>
    <t>183</t>
  </si>
  <si>
    <t>184</t>
  </si>
  <si>
    <t>185</t>
  </si>
  <si>
    <t>186</t>
  </si>
  <si>
    <t>187</t>
  </si>
  <si>
    <t>8월</t>
    <phoneticPr fontId="2" type="noConversion"/>
  </si>
  <si>
    <t>9월</t>
    <phoneticPr fontId="2" type="noConversion"/>
  </si>
  <si>
    <t>188</t>
  </si>
  <si>
    <t>189</t>
  </si>
  <si>
    <t>190</t>
  </si>
  <si>
    <t>191</t>
  </si>
  <si>
    <t>192</t>
  </si>
  <si>
    <t>193</t>
  </si>
  <si>
    <t>자애요양병원</t>
  </si>
  <si>
    <t>동국대학교의료원(경주)</t>
  </si>
  <si>
    <t>동남원자력의학원</t>
  </si>
  <si>
    <t>서울세계로병원</t>
  </si>
  <si>
    <t>남양주백병원</t>
  </si>
  <si>
    <t>예미담요양병원</t>
  </si>
  <si>
    <t>검사사용량</t>
  </si>
  <si>
    <t>2026-06-18</t>
  </si>
  <si>
    <t>유한회사마이파트너(의료기기)-해피뷰병원(4099125282)</t>
  </si>
  <si>
    <t>단위 : 원 (VAT 포함)</t>
  </si>
  <si>
    <t>1월</t>
  </si>
  <si>
    <t>2월</t>
  </si>
  <si>
    <t>3월</t>
  </si>
  <si>
    <t>4월</t>
  </si>
  <si>
    <t>5월</t>
  </si>
  <si>
    <t>6월</t>
  </si>
  <si>
    <t>7월</t>
  </si>
  <si>
    <t>의료법인영문의료재단(다보스)</t>
  </si>
  <si>
    <t>90일</t>
  </si>
  <si>
    <t>의료법인성지의료재단(성지병원)</t>
  </si>
  <si>
    <t>40일</t>
  </si>
  <si>
    <t>카톨릭병원(대구)</t>
  </si>
  <si>
    <t>60일</t>
  </si>
  <si>
    <t>남양주21세기병원</t>
  </si>
  <si>
    <t>100일</t>
  </si>
  <si>
    <t>의료법인라움의료재단세웅병원 (구. 10041888)</t>
    <phoneticPr fontId="2" type="noConversion"/>
  </si>
  <si>
    <t>의료법인효심의료재단(용인서울병원)</t>
  </si>
  <si>
    <t>180일</t>
  </si>
  <si>
    <t>(의)삼성의료재단</t>
  </si>
  <si>
    <t>의료법인성수의료재단(인천백병원)</t>
  </si>
  <si>
    <t>의료법인루가의료재단나은병원(인천)</t>
  </si>
  <si>
    <t>3개월</t>
  </si>
  <si>
    <t>센트럴병원(원주)</t>
  </si>
  <si>
    <t>의료법인대산의료재단 (익산병원)</t>
  </si>
  <si>
    <t>(의)한마음의료재단제일병원(여수제일)</t>
  </si>
  <si>
    <t>의료법인쓰임받는사람들의료재단(양주예쓰병원)</t>
  </si>
  <si>
    <t>고흥윤호21병원</t>
  </si>
  <si>
    <t>의료법인목포구암의료재단(목포중앙병원)</t>
  </si>
  <si>
    <t>의료법인혜명심의료재단(울산병원)</t>
  </si>
  <si>
    <t>(의)가은의료재단혁신성모병원</t>
  </si>
  <si>
    <t>(의)대진의료재단분당제생병원</t>
  </si>
  <si>
    <t>하남S병원</t>
  </si>
  <si>
    <t>KS병원</t>
  </si>
  <si>
    <t>(의)대아의료재단</t>
  </si>
  <si>
    <t>(의료)길의료재단</t>
  </si>
  <si>
    <t>에이스병원(남양주)</t>
  </si>
  <si>
    <t>의료법인행도의료재단(해동병원)</t>
  </si>
  <si>
    <t>(학)가톨릭대학교부천성모병원</t>
  </si>
  <si>
    <t>(재)예수병원유지재단</t>
  </si>
  <si>
    <t>광주365재활병원</t>
  </si>
  <si>
    <t>익월 27일</t>
  </si>
  <si>
    <t>엠에스(MS)재건병원</t>
  </si>
  <si>
    <t>의료법인효경의료재단(효성요양병원)</t>
  </si>
  <si>
    <t>광주21세기병원</t>
  </si>
  <si>
    <t>엘병원 (구. 10068728)</t>
  </si>
  <si>
    <t>194</t>
    <phoneticPr fontId="2" type="noConversion"/>
  </si>
  <si>
    <t>담대한외과의원</t>
  </si>
  <si>
    <t>사용량비례형</t>
    <phoneticPr fontId="2" type="noConversion"/>
  </si>
  <si>
    <t>강일병원(이슈처_병원운영중단)</t>
    <phoneticPr fontId="2" type="noConversion"/>
  </si>
  <si>
    <t>선한병원(이슈처_개인회생)</t>
    <phoneticPr fontId="2" type="noConversion"/>
  </si>
  <si>
    <t>의료법인나눔과행복의료재단(구. 10015909 나눔과행복병원)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</si>
</sst>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_-;\-* #,##0_-;_-* \-_-;_-@_-"/>
    <numFmt numFmtId="177" formatCode="m/d/yyyy"/>
    <numFmt numFmtId="178" formatCode="_-* #,##0.0_-;\-* #,##0.0_-;_-* \-_-;_-@_-"/>
    <numFmt numFmtId="179" formatCode="_-* #,##0.00_-;\-* #,##0.00_-;_-* \-??_-;_-@_-"/>
  </numFmts>
  <fonts count="12">
    <font>
      <sz val="11"/>
      <color theme="1"/>
      <name val="조선일보명조"/>
      <family val="2"/>
      <charset val="1"/>
    </font>
    <font>
      <i/>
      <sz val="10"/>
      <color theme="1"/>
      <name val="조선일보명조"/>
      <family val="1"/>
      <charset val="129"/>
    </font>
    <font>
      <sz val="8"/>
      <name val="돋움"/>
      <family val="3"/>
      <charset val="129"/>
    </font>
    <font>
      <sz val="10"/>
      <color theme="1"/>
      <name val="조선일보명조"/>
      <family val="1"/>
      <charset val="129"/>
    </font>
    <font>
      <sz val="10"/>
      <name val="조선일보명조"/>
      <family val="1"/>
      <charset val="129"/>
    </font>
    <font>
      <sz val="10"/>
      <name val="Noto Sans CJK SC"/>
      <family val="2"/>
    </font>
    <font>
      <sz val="10"/>
      <name val="Arial"/>
      <family val="2"/>
    </font>
    <font>
      <sz val="11"/>
      <color theme="1"/>
      <name val="조선일보명조"/>
      <family val="2"/>
      <charset val="1"/>
    </font>
    <font>
      <sz val="10"/>
      <color rgb="FFFF0000"/>
      <name val="조선일보명조"/>
      <family val="1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i/>
      <sz val="10"/>
      <color rgb="FFFF0000"/>
      <name val="조선일보명조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D9C6EF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3">
    <xf numFmtId="0" fontId="0" fillId="0" borderId="0"/>
    <xf numFmtId="41" fontId="7" fillId="0" borderId="0" applyFont="0" applyFill="0" applyBorder="0" applyAlignment="0" applyProtection="0">
      <alignment vertical="center"/>
    </xf>
    <xf numFmtId="0" fontId="6" fillId="0" borderId="0"/>
  </cellStyleXfs>
  <cellXfs count="44">
    <xf numFmtId="0" fontId="0" fillId="0" borderId="0" xfId="0"/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vertical="center"/>
    </xf>
    <xf numFmtId="179" fontId="3" fillId="0" borderId="7" xfId="0" applyNumberFormat="1" applyFont="1" applyBorder="1" applyAlignment="1">
      <alignment vertical="center"/>
    </xf>
    <xf numFmtId="178" fontId="3" fillId="0" borderId="7" xfId="0" applyNumberFormat="1" applyFont="1" applyBorder="1" applyAlignment="1">
      <alignment horizontal="center" vertical="center"/>
    </xf>
    <xf numFmtId="9" fontId="3" fillId="0" borderId="7" xfId="0" applyNumberFormat="1" applyFont="1" applyBorder="1" applyAlignment="1">
      <alignment vertical="center"/>
    </xf>
    <xf numFmtId="178" fontId="4" fillId="2" borderId="7" xfId="0" applyNumberFormat="1" applyFont="1" applyFill="1" applyBorder="1" applyAlignment="1">
      <alignment vertical="center"/>
    </xf>
    <xf numFmtId="178" fontId="4" fillId="0" borderId="7" xfId="0" applyNumberFormat="1" applyFont="1" applyBorder="1" applyAlignment="1">
      <alignment vertical="center"/>
    </xf>
    <xf numFmtId="178" fontId="4" fillId="0" borderId="8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1" fontId="3" fillId="0" borderId="0" xfId="1" applyFont="1" applyAlignment="1">
      <alignment vertical="center"/>
    </xf>
    <xf numFmtId="41" fontId="3" fillId="0" borderId="7" xfId="1" applyFont="1" applyBorder="1" applyAlignment="1">
      <alignment vertical="center"/>
    </xf>
    <xf numFmtId="41" fontId="4" fillId="2" borderId="7" xfId="1" applyFont="1" applyFill="1" applyBorder="1" applyAlignment="1">
      <alignment vertical="center"/>
    </xf>
    <xf numFmtId="41" fontId="4" fillId="0" borderId="8" xfId="1" applyFont="1" applyBorder="1" applyAlignment="1">
      <alignment vertical="center"/>
    </xf>
    <xf numFmtId="49" fontId="1" fillId="3" borderId="6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41" fontId="3" fillId="0" borderId="4" xfId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178" fontId="4" fillId="2" borderId="4" xfId="0" applyNumberFormat="1" applyFont="1" applyFill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41" fontId="4" fillId="2" borderId="4" xfId="1" applyFont="1" applyFill="1" applyBorder="1" applyAlignment="1">
      <alignment horizontal="center" vertical="center"/>
    </xf>
    <xf numFmtId="41" fontId="4" fillId="0" borderId="5" xfId="1" applyFont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14" fontId="3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1" fontId="8" fillId="0" borderId="7" xfId="1" applyFont="1" applyBorder="1" applyAlignment="1">
      <alignment vertical="center"/>
    </xf>
    <xf numFmtId="0" fontId="3" fillId="3" borderId="7" xfId="0" applyNumberFormat="1" applyFont="1" applyFill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</cellXfs>
  <cellStyles count="3">
    <cellStyle name="쉼표 [0]" xfId="1" builtinId="6"/>
    <cellStyle name="표준" xfId="0" builtinId="0"/>
    <cellStyle name="표준 2" xfId="2"/>
  </cellStyles>
  <dxfs count="12">
    <dxf>
      <fill>
        <patternFill>
          <bgColor theme="8" tint="0.59996337778862885"/>
        </patternFill>
      </fill>
    </dxf>
    <dxf>
      <fill>
        <patternFill>
          <bgColor theme="8" tint="0.59959715567491678"/>
        </patternFill>
      </fill>
    </dxf>
    <dxf>
      <fill>
        <patternFill>
          <bgColor theme="9" tint="0.39957884456923126"/>
        </patternFill>
      </fill>
    </dxf>
    <dxf>
      <fill>
        <patternFill>
          <bgColor theme="9" tint="0.5995971556749167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59715567491678"/>
        </patternFill>
      </fill>
    </dxf>
    <dxf>
      <fill>
        <patternFill>
          <bgColor theme="9" tint="0.39957884456923126"/>
        </patternFill>
      </fill>
    </dxf>
    <dxf>
      <fill>
        <patternFill>
          <bgColor theme="9" tint="0.5995971556749167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59715567491678"/>
        </patternFill>
      </fill>
    </dxf>
    <dxf>
      <fill>
        <patternFill>
          <bgColor theme="9" tint="0.39957884456923126"/>
        </patternFill>
      </fill>
    </dxf>
    <dxf>
      <fill>
        <patternFill>
          <bgColor theme="9" tint="0.5995971556749167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3.%20&#54032;&#47588;&#44288;&#47532;/00.%20&#50493;&#53356;(Thync)/&#50493;&#53356;%2025&#45380;%20&#54788;&#54889;_2603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3.%20&#54032;&#47588;&#44288;&#47532;/00.%20&#50493;&#53356;(Thync)/&#44228;&#50557;&#49436;/&#9654;%20thynC%20&#44228;&#50557;&#49436;%20&#54788;&#54889;&#44288;&#47532;_&#50689;&#50629;&#44288;&#47532;1&#54016;%20260625~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씽크현황"/>
      <sheetName val="씽크현황 (판매)"/>
      <sheetName val="씽크현황 (수금)"/>
      <sheetName val="Sheet1"/>
      <sheetName val="Sheet3"/>
      <sheetName val="Sheet2"/>
      <sheetName val="Sheet4"/>
      <sheetName val="기준"/>
      <sheetName val="백병원 관련"/>
      <sheetName val="Sheet5"/>
      <sheetName val="오더정리"/>
    </sheetNames>
    <sheetDataSet>
      <sheetData sheetId="0">
        <row r="18">
          <cell r="AS18">
            <v>28.132999999999999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서"/>
      <sheetName val="Sheet1"/>
      <sheetName val="계약서 요약"/>
      <sheetName val="계약서 리스트"/>
      <sheetName val="계약서 리스트(1~100)"/>
      <sheetName val="계약서 리스트(101~160)"/>
      <sheetName val="계약서 리스트(161~179)"/>
      <sheetName val="계약서 리스트(180~199)"/>
      <sheetName val="계약서 리스트(200~220)"/>
      <sheetName val="계약서 리스트(221~)"/>
      <sheetName val="기타이슈"/>
    </sheetNames>
    <sheetDataSet>
      <sheetData sheetId="0">
        <row r="10">
          <cell r="M10" t="str">
            <v xml:space="preserve"> </v>
          </cell>
          <cell r="Q10">
            <v>23371</v>
          </cell>
          <cell r="R10">
            <v>176914561835</v>
          </cell>
        </row>
        <row r="11">
          <cell r="C11" t="str">
            <v>거래처코드</v>
          </cell>
          <cell r="D11" t="str">
            <v>사무소명</v>
          </cell>
          <cell r="E11" t="str">
            <v>담당자</v>
          </cell>
          <cell r="F11" t="str">
            <v>신용등급
(최초)</v>
          </cell>
          <cell r="G11" t="str">
            <v>신용등급
(26.09월)</v>
          </cell>
          <cell r="H11" t="str">
            <v>개인정보동의서
수령여부</v>
          </cell>
          <cell r="I11" t="str">
            <v>개인/법인</v>
          </cell>
          <cell r="J11" t="str">
            <v>판매처 (갑)</v>
          </cell>
          <cell r="K11" t="str">
            <v>갱신/추가</v>
          </cell>
          <cell r="L11" t="str">
            <v>계약유형</v>
          </cell>
          <cell r="M11" t="str">
            <v>사업자등록번호</v>
          </cell>
          <cell r="N11" t="str">
            <v>최초계약 시작일</v>
          </cell>
          <cell r="O11" t="str">
            <v>계약(추가1)일</v>
          </cell>
          <cell r="P11" t="str">
            <v>계약(추가2)일</v>
          </cell>
          <cell r="Q11" t="str">
            <v>계약병상</v>
          </cell>
          <cell r="R11" t="str">
            <v>계약금액
(VAT 포함)</v>
          </cell>
        </row>
        <row r="12">
          <cell r="C12">
            <v>10041888</v>
          </cell>
          <cell r="D12" t="str">
            <v>병원부산2</v>
          </cell>
          <cell r="E12" t="str">
            <v>이도엽</v>
          </cell>
          <cell r="F12" t="str">
            <v>B+</v>
          </cell>
          <cell r="G12" t="str">
            <v>BBB-</v>
          </cell>
          <cell r="H12" t="str">
            <v>미제출</v>
          </cell>
          <cell r="I12" t="str">
            <v>개인</v>
          </cell>
          <cell r="J12" t="str">
            <v>세웅종합병원(부산세웅병원)</v>
          </cell>
          <cell r="L12" t="str">
            <v>검사사용량</v>
          </cell>
          <cell r="M12" t="str">
            <v>6219601338_계약파기</v>
          </cell>
          <cell r="N12" t="str">
            <v>2025-09-26</v>
          </cell>
          <cell r="Q12">
            <v>50</v>
          </cell>
          <cell r="R12">
            <v>326548000</v>
          </cell>
        </row>
        <row r="13">
          <cell r="C13">
            <v>10033479</v>
          </cell>
          <cell r="D13" t="str">
            <v>병원강원</v>
          </cell>
          <cell r="E13" t="str">
            <v>조현일</v>
          </cell>
          <cell r="F13" t="str">
            <v>-</v>
          </cell>
          <cell r="G13" t="str">
            <v>BB+</v>
          </cell>
          <cell r="H13" t="str">
            <v>미대상</v>
          </cell>
          <cell r="I13" t="str">
            <v>법인</v>
          </cell>
          <cell r="J13" t="str">
            <v>의료법인양평의료재단(양평병원)</v>
          </cell>
          <cell r="L13" t="str">
            <v>씨어스월납입</v>
          </cell>
          <cell r="M13">
            <v>1328203391</v>
          </cell>
          <cell r="N13">
            <v>45476</v>
          </cell>
          <cell r="Q13">
            <v>10</v>
          </cell>
          <cell r="R13">
            <v>114172800</v>
          </cell>
        </row>
        <row r="14">
          <cell r="C14">
            <v>10038304</v>
          </cell>
          <cell r="D14" t="str">
            <v>병원광주2</v>
          </cell>
          <cell r="E14" t="str">
            <v>정두리</v>
          </cell>
          <cell r="F14" t="str">
            <v>-</v>
          </cell>
          <cell r="G14" t="str">
            <v>-</v>
          </cell>
          <cell r="H14" t="str">
            <v>미대상</v>
          </cell>
          <cell r="I14" t="str">
            <v>법인</v>
          </cell>
          <cell r="J14" t="str">
            <v>의료법인해민의료재단</v>
          </cell>
          <cell r="L14" t="str">
            <v>구독형</v>
          </cell>
          <cell r="M14" t="str">
            <v>4118210102_계약파기</v>
          </cell>
          <cell r="N14">
            <v>45534</v>
          </cell>
          <cell r="Q14">
            <v>20</v>
          </cell>
          <cell r="R14">
            <v>147119700</v>
          </cell>
        </row>
        <row r="15">
          <cell r="C15">
            <v>10038304</v>
          </cell>
          <cell r="D15" t="str">
            <v>병원광주2</v>
          </cell>
          <cell r="E15" t="str">
            <v>정두리</v>
          </cell>
          <cell r="F15" t="str">
            <v>BB0</v>
          </cell>
          <cell r="G15" t="str">
            <v>BB</v>
          </cell>
          <cell r="H15" t="str">
            <v>미대상</v>
          </cell>
          <cell r="I15" t="str">
            <v>법인</v>
          </cell>
          <cell r="J15" t="str">
            <v>의료법인해민의료재단</v>
          </cell>
          <cell r="K15" t="str">
            <v>갱신1</v>
          </cell>
          <cell r="L15" t="str">
            <v>구독형</v>
          </cell>
          <cell r="M15">
            <v>4118210102</v>
          </cell>
          <cell r="N15">
            <v>45559</v>
          </cell>
          <cell r="O15">
            <v>45559</v>
          </cell>
          <cell r="Q15">
            <v>20</v>
          </cell>
          <cell r="R15">
            <v>140119700</v>
          </cell>
        </row>
        <row r="16">
          <cell r="C16">
            <v>10038116</v>
          </cell>
          <cell r="D16" t="str">
            <v>병원광주2</v>
          </cell>
          <cell r="E16" t="str">
            <v>김치옥</v>
          </cell>
          <cell r="F16" t="str">
            <v>BB0</v>
          </cell>
          <cell r="G16" t="str">
            <v>BB-</v>
          </cell>
          <cell r="H16" t="str">
            <v>미제출</v>
          </cell>
          <cell r="I16" t="str">
            <v>개인</v>
          </cell>
          <cell r="J16" t="str">
            <v>신가병원</v>
          </cell>
          <cell r="L16" t="str">
            <v>구독형</v>
          </cell>
          <cell r="M16">
            <v>4101186287</v>
          </cell>
          <cell r="N16" t="str">
            <v>2024-10-18</v>
          </cell>
          <cell r="Q16">
            <v>20</v>
          </cell>
          <cell r="R16">
            <v>180571550</v>
          </cell>
        </row>
        <row r="17">
          <cell r="C17">
            <v>10035467</v>
          </cell>
          <cell r="D17" t="str">
            <v>병원강원</v>
          </cell>
          <cell r="E17" t="str">
            <v>박혜림</v>
          </cell>
          <cell r="F17" t="str">
            <v xml:space="preserve">AA	</v>
          </cell>
          <cell r="G17" t="str">
            <v>AA</v>
          </cell>
          <cell r="H17" t="str">
            <v>미대상</v>
          </cell>
          <cell r="I17" t="str">
            <v>법인</v>
          </cell>
          <cell r="J17" t="str">
            <v>한림대학교춘천성심병원</v>
          </cell>
          <cell r="L17" t="str">
            <v>구축형</v>
          </cell>
          <cell r="M17">
            <v>2218203051</v>
          </cell>
          <cell r="N17" t="str">
            <v>2024-11-01</v>
          </cell>
          <cell r="Q17">
            <v>30</v>
          </cell>
          <cell r="R17">
            <v>240000000</v>
          </cell>
        </row>
        <row r="18">
          <cell r="C18">
            <v>10036735</v>
          </cell>
          <cell r="D18" t="str">
            <v>병원청주</v>
          </cell>
          <cell r="E18" t="str">
            <v>안치형</v>
          </cell>
          <cell r="F18" t="str">
            <v xml:space="preserve">BB+	</v>
          </cell>
          <cell r="G18" t="str">
            <v>BB+</v>
          </cell>
          <cell r="H18" t="str">
            <v>미제출</v>
          </cell>
          <cell r="I18" t="str">
            <v>개인</v>
          </cell>
          <cell r="J18" t="str">
            <v>미래한국병원</v>
          </cell>
          <cell r="L18" t="str">
            <v>구독형</v>
          </cell>
          <cell r="M18">
            <v>3129153766</v>
          </cell>
          <cell r="N18" t="str">
            <v>2024-11-28</v>
          </cell>
          <cell r="Q18">
            <v>30</v>
          </cell>
          <cell r="R18">
            <v>194903000</v>
          </cell>
        </row>
        <row r="19">
          <cell r="C19">
            <v>10021890</v>
          </cell>
          <cell r="D19" t="str">
            <v>병원중부1</v>
          </cell>
          <cell r="E19" t="str">
            <v>이기범</v>
          </cell>
          <cell r="F19" t="str">
            <v>BB</v>
          </cell>
          <cell r="G19" t="str">
            <v>BB</v>
          </cell>
          <cell r="H19" t="str">
            <v>미대상</v>
          </cell>
          <cell r="I19" t="str">
            <v>법인</v>
          </cell>
          <cell r="J19" t="str">
            <v>강영의료재단 문산중앙병원</v>
          </cell>
          <cell r="L19" t="str">
            <v>구독형</v>
          </cell>
          <cell r="M19">
            <v>1418202789</v>
          </cell>
          <cell r="N19" t="str">
            <v>2024-12-10</v>
          </cell>
          <cell r="Q19">
            <v>12</v>
          </cell>
          <cell r="R19">
            <v>112436100</v>
          </cell>
        </row>
        <row r="20">
          <cell r="C20">
            <v>10035639</v>
          </cell>
          <cell r="D20" t="str">
            <v>병원강원</v>
          </cell>
          <cell r="E20" t="str">
            <v>정현갑</v>
          </cell>
          <cell r="F20" t="str">
            <v xml:space="preserve">AA+	</v>
          </cell>
          <cell r="G20" t="str">
            <v>AA+</v>
          </cell>
          <cell r="H20" t="str">
            <v>미대상</v>
          </cell>
          <cell r="I20" t="str">
            <v>법인</v>
          </cell>
          <cell r="J20" t="str">
            <v>(재)아산사회복지재단 (강릉아산병원)</v>
          </cell>
          <cell r="L20" t="str">
            <v>구축형</v>
          </cell>
          <cell r="M20">
            <v>2268204297</v>
          </cell>
          <cell r="N20" t="str">
            <v>2024-12-23</v>
          </cell>
          <cell r="Q20">
            <v>40</v>
          </cell>
          <cell r="R20">
            <v>198000000</v>
          </cell>
        </row>
        <row r="21">
          <cell r="C21">
            <v>10038606</v>
          </cell>
          <cell r="D21" t="str">
            <v>병원광주2</v>
          </cell>
          <cell r="E21" t="str">
            <v>주병옥</v>
          </cell>
          <cell r="F21" t="str">
            <v>BBB</v>
          </cell>
          <cell r="G21" t="str">
            <v>-</v>
          </cell>
          <cell r="H21" t="str">
            <v>미대상</v>
          </cell>
          <cell r="I21" t="str">
            <v>법인</v>
          </cell>
          <cell r="J21" t="str">
            <v>의료법인한마음의료재단여수제일병원</v>
          </cell>
          <cell r="L21" t="str">
            <v>구독형</v>
          </cell>
          <cell r="M21" t="str">
            <v>4178204011_계약파기</v>
          </cell>
          <cell r="N21" t="str">
            <v>2024-12-24</v>
          </cell>
          <cell r="Q21">
            <v>20</v>
          </cell>
          <cell r="R21">
            <v>139367500</v>
          </cell>
        </row>
        <row r="22">
          <cell r="C22">
            <v>10038047</v>
          </cell>
          <cell r="D22" t="str">
            <v>병원광주2</v>
          </cell>
          <cell r="E22" t="str">
            <v>정두리</v>
          </cell>
          <cell r="F22" t="str">
            <v>BBB0</v>
          </cell>
          <cell r="G22" t="str">
            <v>BBB</v>
          </cell>
          <cell r="H22" t="str">
            <v>미제출</v>
          </cell>
          <cell r="I22" t="str">
            <v>개인</v>
          </cell>
          <cell r="J22" t="str">
            <v>광주병원</v>
          </cell>
          <cell r="L22" t="str">
            <v>분납형</v>
          </cell>
          <cell r="M22">
            <v>4099047917</v>
          </cell>
          <cell r="N22" t="str">
            <v>2025-01-24</v>
          </cell>
          <cell r="Q22">
            <v>30</v>
          </cell>
          <cell r="R22">
            <v>215127190</v>
          </cell>
        </row>
        <row r="23">
          <cell r="C23">
            <v>10047520</v>
          </cell>
          <cell r="D23" t="str">
            <v>병원광주1</v>
          </cell>
          <cell r="E23" t="str">
            <v>김재인</v>
          </cell>
          <cell r="F23" t="str">
            <v>BBB-</v>
          </cell>
          <cell r="G23" t="str">
            <v>BB+</v>
          </cell>
          <cell r="H23" t="str">
            <v>미제출</v>
          </cell>
          <cell r="I23" t="str">
            <v>개인</v>
          </cell>
          <cell r="J23" t="str">
            <v>광주센트럴병원</v>
          </cell>
          <cell r="L23" t="str">
            <v>분납형</v>
          </cell>
          <cell r="M23">
            <v>6969000063</v>
          </cell>
          <cell r="N23" t="str">
            <v>2025-02-25</v>
          </cell>
          <cell r="Q23">
            <v>27</v>
          </cell>
          <cell r="R23">
            <v>159521458</v>
          </cell>
        </row>
        <row r="24">
          <cell r="C24">
            <v>10037863</v>
          </cell>
          <cell r="D24" t="str">
            <v>병원광주2</v>
          </cell>
          <cell r="E24" t="str">
            <v>주병옥</v>
          </cell>
          <cell r="F24" t="str">
            <v>CCC+</v>
          </cell>
          <cell r="G24" t="str">
            <v>BB</v>
          </cell>
          <cell r="H24" t="str">
            <v>미제출</v>
          </cell>
          <cell r="I24" t="str">
            <v>개인</v>
          </cell>
          <cell r="J24" t="str">
            <v>광주씨티병원</v>
          </cell>
          <cell r="L24" t="str">
            <v>분납형</v>
          </cell>
          <cell r="M24">
            <v>4080598358</v>
          </cell>
          <cell r="N24" t="str">
            <v>2025-03-12</v>
          </cell>
          <cell r="Q24">
            <v>10</v>
          </cell>
          <cell r="R24">
            <v>100053000</v>
          </cell>
        </row>
        <row r="25">
          <cell r="C25">
            <v>10033875</v>
          </cell>
          <cell r="D25" t="str">
            <v>병원인천</v>
          </cell>
          <cell r="E25" t="str">
            <v>황희도</v>
          </cell>
          <cell r="F25" t="str">
            <v xml:space="preserve">BB+	</v>
          </cell>
          <cell r="G25" t="str">
            <v>BB-</v>
          </cell>
          <cell r="H25" t="str">
            <v>미대상</v>
          </cell>
          <cell r="I25" t="str">
            <v>법인</v>
          </cell>
          <cell r="J25" t="str">
            <v>의료법인루가의료재단 나은병원</v>
          </cell>
          <cell r="L25" t="str">
            <v>구독형</v>
          </cell>
          <cell r="M25">
            <v>1378200666</v>
          </cell>
          <cell r="N25" t="str">
            <v>2025-03-19</v>
          </cell>
          <cell r="Q25">
            <v>172</v>
          </cell>
          <cell r="R25">
            <v>965498000</v>
          </cell>
        </row>
        <row r="26">
          <cell r="C26">
            <v>10038298</v>
          </cell>
          <cell r="D26" t="str">
            <v>병원광주2</v>
          </cell>
          <cell r="E26" t="str">
            <v>박경환</v>
          </cell>
          <cell r="F26" t="str">
            <v>BB-</v>
          </cell>
          <cell r="G26" t="str">
            <v>BB-</v>
          </cell>
          <cell r="H26" t="str">
            <v>미대상</v>
          </cell>
          <cell r="I26" t="str">
            <v>법인</v>
          </cell>
          <cell r="J26" t="str">
            <v>무안종합병원</v>
          </cell>
          <cell r="L26" t="str">
            <v>분납형</v>
          </cell>
          <cell r="M26">
            <v>4118204274</v>
          </cell>
          <cell r="N26" t="str">
            <v>2025-03-19</v>
          </cell>
          <cell r="Q26">
            <v>30</v>
          </cell>
          <cell r="R26">
            <v>170792000</v>
          </cell>
        </row>
        <row r="27">
          <cell r="C27">
            <v>10032281</v>
          </cell>
          <cell r="D27" t="str">
            <v>병원인천</v>
          </cell>
          <cell r="E27" t="str">
            <v>김형태</v>
          </cell>
          <cell r="F27" t="str">
            <v xml:space="preserve">BB+	</v>
          </cell>
          <cell r="G27" t="str">
            <v>BB+</v>
          </cell>
          <cell r="H27" t="str">
            <v>미대상</v>
          </cell>
          <cell r="I27" t="str">
            <v>법인</v>
          </cell>
          <cell r="J27" t="str">
            <v>의료법인 성수의료재단 인천백병원</v>
          </cell>
          <cell r="L27" t="str">
            <v>구독형</v>
          </cell>
          <cell r="M27">
            <v>1218216353</v>
          </cell>
          <cell r="N27" t="str">
            <v>2025-03-25</v>
          </cell>
          <cell r="Q27">
            <v>54</v>
          </cell>
          <cell r="R27">
            <v>310938000</v>
          </cell>
        </row>
        <row r="28">
          <cell r="C28">
            <v>10003837</v>
          </cell>
          <cell r="D28" t="str">
            <v>병원부산2</v>
          </cell>
          <cell r="E28" t="str">
            <v>임지훈</v>
          </cell>
          <cell r="F28" t="str">
            <v>B+</v>
          </cell>
          <cell r="G28" t="str">
            <v>CCC</v>
          </cell>
          <cell r="H28" t="str">
            <v>미제출</v>
          </cell>
          <cell r="I28" t="str">
            <v>개인</v>
          </cell>
          <cell r="J28" t="str">
            <v>빌리브세웅병원</v>
          </cell>
          <cell r="L28" t="str">
            <v>구독형</v>
          </cell>
          <cell r="M28">
            <v>6173188429</v>
          </cell>
          <cell r="N28" t="str">
            <v>2025-04-01</v>
          </cell>
          <cell r="Q28">
            <v>10</v>
          </cell>
          <cell r="R28">
            <v>125000000</v>
          </cell>
        </row>
        <row r="29">
          <cell r="C29">
            <v>10019136</v>
          </cell>
          <cell r="D29" t="str">
            <v>병원강원</v>
          </cell>
          <cell r="E29" t="str">
            <v>조현일</v>
          </cell>
          <cell r="F29" t="str">
            <v xml:space="preserve">BBB-	</v>
          </cell>
          <cell r="G29" t="str">
            <v>BBB-</v>
          </cell>
          <cell r="H29" t="str">
            <v>미제출</v>
          </cell>
          <cell r="I29" t="str">
            <v>개인</v>
          </cell>
          <cell r="J29" t="str">
            <v>원주센트럴병원</v>
          </cell>
          <cell r="L29" t="str">
            <v>구독형</v>
          </cell>
          <cell r="M29">
            <v>2249099037</v>
          </cell>
          <cell r="N29" t="str">
            <v>2025-04-14</v>
          </cell>
          <cell r="Q29">
            <v>12</v>
          </cell>
          <cell r="R29">
            <v>98145000</v>
          </cell>
        </row>
        <row r="30">
          <cell r="C30">
            <v>10033733</v>
          </cell>
          <cell r="D30" t="str">
            <v>병원경기1</v>
          </cell>
          <cell r="E30" t="str">
            <v>정종양</v>
          </cell>
          <cell r="F30" t="str">
            <v xml:space="preserve">BB-	</v>
          </cell>
          <cell r="G30" t="str">
            <v>BB-</v>
          </cell>
          <cell r="H30" t="str">
            <v>미대상</v>
          </cell>
          <cell r="I30" t="str">
            <v>법인</v>
          </cell>
          <cell r="J30" t="str">
            <v>용인서울병원</v>
          </cell>
          <cell r="L30" t="str">
            <v>구독형</v>
          </cell>
          <cell r="M30">
            <v>1358210284</v>
          </cell>
          <cell r="N30" t="str">
            <v>2025-04-23</v>
          </cell>
          <cell r="Q30">
            <v>30</v>
          </cell>
          <cell r="R30">
            <v>190000000</v>
          </cell>
        </row>
        <row r="31">
          <cell r="C31">
            <v>10070515</v>
          </cell>
          <cell r="D31" t="str">
            <v>병원경기1</v>
          </cell>
          <cell r="E31" t="str">
            <v>정종양</v>
          </cell>
          <cell r="F31" t="str">
            <v xml:space="preserve">B-	</v>
          </cell>
          <cell r="G31" t="str">
            <v>B-</v>
          </cell>
          <cell r="H31" t="str">
            <v>미제출</v>
          </cell>
          <cell r="I31" t="str">
            <v>개인</v>
          </cell>
          <cell r="J31" t="str">
            <v>용인제일메디병원</v>
          </cell>
          <cell r="L31" t="str">
            <v>구독형</v>
          </cell>
          <cell r="M31">
            <v>3449500361</v>
          </cell>
          <cell r="N31" t="str">
            <v>2025-04-30</v>
          </cell>
          <cell r="Q31">
            <v>20</v>
          </cell>
          <cell r="R31">
            <v>146643000</v>
          </cell>
        </row>
        <row r="32">
          <cell r="C32">
            <v>10021890</v>
          </cell>
          <cell r="D32" t="str">
            <v>병원중부1</v>
          </cell>
          <cell r="E32" t="str">
            <v>이기범</v>
          </cell>
          <cell r="F32" t="str">
            <v>BB</v>
          </cell>
          <cell r="G32" t="str">
            <v>BB</v>
          </cell>
          <cell r="H32" t="str">
            <v>미대상</v>
          </cell>
          <cell r="I32" t="str">
            <v>법인</v>
          </cell>
          <cell r="J32" t="str">
            <v>강영의료재단 문산중앙병원</v>
          </cell>
          <cell r="K32" t="str">
            <v>추가1</v>
          </cell>
          <cell r="L32" t="str">
            <v>검사사용량</v>
          </cell>
          <cell r="M32">
            <v>1418202789</v>
          </cell>
          <cell r="N32" t="str">
            <v>2025-05-02</v>
          </cell>
          <cell r="O32" t="str">
            <v>2025-05-02</v>
          </cell>
          <cell r="Q32">
            <v>18</v>
          </cell>
          <cell r="R32">
            <v>143533000</v>
          </cell>
        </row>
        <row r="33">
          <cell r="C33">
            <v>10092105</v>
          </cell>
          <cell r="D33" t="str">
            <v>경남1</v>
          </cell>
          <cell r="E33" t="str">
            <v>김경열</v>
          </cell>
          <cell r="F33" t="str">
            <v xml:space="preserve">BBB	</v>
          </cell>
          <cell r="G33" t="str">
            <v>BBB</v>
          </cell>
          <cell r="H33" t="str">
            <v>미제출</v>
          </cell>
          <cell r="I33" t="str">
            <v>개인</v>
          </cell>
          <cell r="J33" t="str">
            <v>서울아동병원</v>
          </cell>
          <cell r="L33" t="str">
            <v>구독형</v>
          </cell>
          <cell r="M33">
            <v>6089311526</v>
          </cell>
          <cell r="N33" t="str">
            <v>2025-05-02</v>
          </cell>
          <cell r="Q33">
            <v>8</v>
          </cell>
          <cell r="R33">
            <v>73513000</v>
          </cell>
        </row>
        <row r="34">
          <cell r="C34">
            <v>10033726</v>
          </cell>
          <cell r="D34" t="str">
            <v>병원경기2</v>
          </cell>
          <cell r="E34" t="str">
            <v>황성빈</v>
          </cell>
          <cell r="F34" t="str">
            <v xml:space="preserve">AA	</v>
          </cell>
          <cell r="G34" t="str">
            <v>AA</v>
          </cell>
          <cell r="H34" t="str">
            <v>미대상</v>
          </cell>
          <cell r="I34" t="str">
            <v>법인</v>
          </cell>
          <cell r="J34" t="str">
            <v>동수원병원</v>
          </cell>
          <cell r="L34" t="str">
            <v>구축형</v>
          </cell>
          <cell r="M34">
            <v>1358200113</v>
          </cell>
          <cell r="N34" t="str">
            <v>2025-05-09</v>
          </cell>
          <cell r="Q34">
            <v>20</v>
          </cell>
          <cell r="R34">
            <v>133103000</v>
          </cell>
        </row>
        <row r="35">
          <cell r="C35">
            <v>10100887</v>
          </cell>
          <cell r="D35" t="str">
            <v>병원광주2</v>
          </cell>
          <cell r="E35" t="str">
            <v>정두리</v>
          </cell>
          <cell r="F35" t="str">
            <v>-</v>
          </cell>
          <cell r="G35" t="str">
            <v>BB</v>
          </cell>
          <cell r="H35" t="str">
            <v>미대상</v>
          </cell>
          <cell r="I35" t="str">
            <v>법인</v>
          </cell>
          <cell r="J35" t="str">
            <v>유한회사마이파트너</v>
          </cell>
          <cell r="L35" t="str">
            <v>분납형</v>
          </cell>
          <cell r="M35">
            <v>8908701140</v>
          </cell>
          <cell r="N35" t="str">
            <v>2025-05-13</v>
          </cell>
          <cell r="Q35">
            <v>30</v>
          </cell>
          <cell r="R35">
            <v>195000000</v>
          </cell>
        </row>
        <row r="36">
          <cell r="C36">
            <v>10017056</v>
          </cell>
          <cell r="D36" t="str">
            <v>병원중부2</v>
          </cell>
          <cell r="E36" t="str">
            <v>김경열</v>
          </cell>
          <cell r="F36" t="str">
            <v xml:space="preserve">BB-	</v>
          </cell>
          <cell r="G36" t="str">
            <v>-</v>
          </cell>
          <cell r="H36" t="str">
            <v>미제출</v>
          </cell>
          <cell r="I36" t="str">
            <v>개인</v>
          </cell>
          <cell r="J36" t="str">
            <v>명지성모병원</v>
          </cell>
          <cell r="L36" t="str">
            <v>구독형</v>
          </cell>
          <cell r="M36" t="str">
            <v>1189601695_계약파기</v>
          </cell>
          <cell r="N36" t="str">
            <v>2025-05-19</v>
          </cell>
          <cell r="R36">
            <v>203000000</v>
          </cell>
        </row>
        <row r="37">
          <cell r="C37">
            <v>10070268</v>
          </cell>
          <cell r="D37" t="str">
            <v>병원청주</v>
          </cell>
          <cell r="E37" t="str">
            <v>박지우</v>
          </cell>
          <cell r="F37" t="str">
            <v xml:space="preserve">CCC+	</v>
          </cell>
          <cell r="G37" t="str">
            <v>CCC+</v>
          </cell>
          <cell r="H37" t="str">
            <v>미제출</v>
          </cell>
          <cell r="I37" t="str">
            <v>개인</v>
          </cell>
          <cell r="J37" t="str">
            <v>천안리턴병원</v>
          </cell>
          <cell r="L37" t="str">
            <v>검사사용량</v>
          </cell>
          <cell r="M37">
            <v>6719701418</v>
          </cell>
          <cell r="N37" t="str">
            <v>2025-05-20</v>
          </cell>
          <cell r="Q37">
            <v>110</v>
          </cell>
          <cell r="R37">
            <v>632326000</v>
          </cell>
        </row>
        <row r="38">
          <cell r="C38">
            <v>10035069</v>
          </cell>
          <cell r="D38" t="str">
            <v>병원경인</v>
          </cell>
          <cell r="E38" t="str">
            <v>박상우</v>
          </cell>
          <cell r="F38" t="str">
            <v>BB</v>
          </cell>
          <cell r="G38" t="str">
            <v>BBB-</v>
          </cell>
          <cell r="H38" t="str">
            <v>미제출</v>
          </cell>
          <cell r="I38" t="str">
            <v>개인</v>
          </cell>
          <cell r="J38" t="str">
            <v>검단탑병원</v>
          </cell>
          <cell r="L38" t="str">
            <v>검사사용량</v>
          </cell>
          <cell r="M38">
            <v>2129011299</v>
          </cell>
          <cell r="N38" t="str">
            <v>2025-05-20</v>
          </cell>
          <cell r="Q38">
            <v>280</v>
          </cell>
          <cell r="R38">
            <v>1401889000</v>
          </cell>
        </row>
        <row r="39">
          <cell r="C39">
            <v>10003837</v>
          </cell>
          <cell r="D39" t="str">
            <v>병원부산2</v>
          </cell>
          <cell r="E39" t="str">
            <v>임지훈</v>
          </cell>
          <cell r="F39" t="str">
            <v>B+</v>
          </cell>
          <cell r="G39" t="str">
            <v>CCC</v>
          </cell>
          <cell r="H39" t="str">
            <v>미제출</v>
          </cell>
          <cell r="I39" t="str">
            <v>개인</v>
          </cell>
          <cell r="J39" t="str">
            <v>빌리브세웅병원</v>
          </cell>
          <cell r="K39" t="str">
            <v>추가1</v>
          </cell>
          <cell r="L39" t="str">
            <v>검사사용량</v>
          </cell>
          <cell r="M39">
            <v>6173188429</v>
          </cell>
          <cell r="N39" t="str">
            <v>2025-05-22</v>
          </cell>
          <cell r="O39" t="str">
            <v>2025-05-22</v>
          </cell>
          <cell r="Q39">
            <v>40</v>
          </cell>
          <cell r="R39">
            <v>414938000</v>
          </cell>
        </row>
        <row r="40">
          <cell r="C40">
            <v>10038606</v>
          </cell>
          <cell r="D40" t="str">
            <v>병원광주2</v>
          </cell>
          <cell r="E40" t="str">
            <v>주병옥</v>
          </cell>
          <cell r="F40" t="str">
            <v>BBB</v>
          </cell>
          <cell r="G40" t="str">
            <v>BBB-</v>
          </cell>
          <cell r="H40" t="str">
            <v>미대상</v>
          </cell>
          <cell r="I40" t="str">
            <v>법인</v>
          </cell>
          <cell r="J40" t="str">
            <v>의료법인한마음의료재단여수제일병원</v>
          </cell>
          <cell r="K40" t="str">
            <v>갱신1</v>
          </cell>
          <cell r="L40" t="str">
            <v>구독형</v>
          </cell>
          <cell r="M40">
            <v>4178204011</v>
          </cell>
          <cell r="N40" t="str">
            <v>2025-05-26</v>
          </cell>
          <cell r="Q40">
            <v>20</v>
          </cell>
          <cell r="R40">
            <v>139367500</v>
          </cell>
        </row>
        <row r="41">
          <cell r="C41">
            <v>10046527</v>
          </cell>
          <cell r="D41" t="str">
            <v>병원경인</v>
          </cell>
          <cell r="E41" t="str">
            <v>김문식</v>
          </cell>
          <cell r="F41" t="str">
            <v xml:space="preserve">BB+	</v>
          </cell>
          <cell r="G41" t="str">
            <v>BB+</v>
          </cell>
          <cell r="H41" t="str">
            <v>미대상</v>
          </cell>
          <cell r="I41" t="str">
            <v>법인</v>
          </cell>
          <cell r="J41" t="str">
            <v>의료법인성수의료재단 비에스종합병원</v>
          </cell>
          <cell r="L41" t="str">
            <v>구독형</v>
          </cell>
          <cell r="M41">
            <v>2818200245</v>
          </cell>
          <cell r="N41" t="str">
            <v>2025-05-26</v>
          </cell>
          <cell r="Q41">
            <v>52</v>
          </cell>
          <cell r="R41">
            <v>312126000</v>
          </cell>
        </row>
        <row r="42">
          <cell r="C42">
            <v>10036320</v>
          </cell>
          <cell r="D42" t="str">
            <v>병원대전</v>
          </cell>
          <cell r="E42" t="str">
            <v>임혁</v>
          </cell>
          <cell r="F42" t="str">
            <v xml:space="preserve">BBB-	</v>
          </cell>
          <cell r="G42" t="str">
            <v>BB+</v>
          </cell>
          <cell r="H42" t="str">
            <v>미제출</v>
          </cell>
          <cell r="I42" t="str">
            <v>개인</v>
          </cell>
          <cell r="J42" t="str">
            <v>대전한국병원</v>
          </cell>
          <cell r="L42" t="str">
            <v>검사사용량</v>
          </cell>
          <cell r="M42">
            <v>3052075442</v>
          </cell>
          <cell r="N42" t="str">
            <v>2025-05-26</v>
          </cell>
          <cell r="Q42">
            <v>253</v>
          </cell>
          <cell r="R42">
            <v>1479065000</v>
          </cell>
        </row>
        <row r="43">
          <cell r="C43">
            <v>10036633</v>
          </cell>
          <cell r="D43" t="str">
            <v>병원대전</v>
          </cell>
          <cell r="E43" t="str">
            <v>임혁</v>
          </cell>
          <cell r="F43" t="str">
            <v>B</v>
          </cell>
          <cell r="G43" t="str">
            <v>B</v>
          </cell>
          <cell r="H43" t="str">
            <v>미제출</v>
          </cell>
          <cell r="I43" t="str">
            <v>개인</v>
          </cell>
          <cell r="J43" t="str">
            <v>예산명지병원</v>
          </cell>
          <cell r="L43" t="str">
            <v>검사사용량</v>
          </cell>
          <cell r="M43">
            <v>3119038784</v>
          </cell>
          <cell r="N43" t="str">
            <v>2025-05-26</v>
          </cell>
          <cell r="Q43">
            <v>100</v>
          </cell>
          <cell r="R43">
            <v>611986000</v>
          </cell>
        </row>
        <row r="44">
          <cell r="C44">
            <v>10037883</v>
          </cell>
          <cell r="D44" t="str">
            <v>병원광주1</v>
          </cell>
          <cell r="E44" t="str">
            <v>조현준</v>
          </cell>
          <cell r="F44" t="str">
            <v>BB</v>
          </cell>
          <cell r="G44" t="str">
            <v>BB</v>
          </cell>
          <cell r="H44" t="str">
            <v>미제출</v>
          </cell>
          <cell r="I44" t="str">
            <v>개인</v>
          </cell>
          <cell r="J44" t="str">
            <v>화순성심병원</v>
          </cell>
          <cell r="L44" t="str">
            <v>검사사용량</v>
          </cell>
          <cell r="M44">
            <v>4081777598</v>
          </cell>
          <cell r="N44" t="str">
            <v>2025-05-28</v>
          </cell>
          <cell r="Q44">
            <v>150</v>
          </cell>
          <cell r="R44">
            <v>936980000</v>
          </cell>
        </row>
        <row r="45">
          <cell r="C45">
            <v>10041592</v>
          </cell>
          <cell r="D45" t="str">
            <v>병원부산2</v>
          </cell>
          <cell r="E45" t="str">
            <v>임지훈</v>
          </cell>
          <cell r="F45" t="str">
            <v xml:space="preserve">BB	</v>
          </cell>
          <cell r="G45" t="str">
            <v>BBB-</v>
          </cell>
          <cell r="H45" t="str">
            <v>미대상</v>
          </cell>
          <cell r="I45" t="str">
            <v>법인</v>
          </cell>
          <cell r="J45" t="str">
            <v>비에이치에스한서병원</v>
          </cell>
          <cell r="L45" t="str">
            <v>검사사용량</v>
          </cell>
          <cell r="M45">
            <v>6178205191</v>
          </cell>
          <cell r="N45" t="str">
            <v>2025-05-28</v>
          </cell>
          <cell r="Q45">
            <v>50</v>
          </cell>
          <cell r="R45">
            <v>497400000</v>
          </cell>
        </row>
        <row r="46">
          <cell r="C46">
            <v>10033043</v>
          </cell>
          <cell r="D46" t="str">
            <v>병원중부1</v>
          </cell>
          <cell r="E46" t="str">
            <v>남규진</v>
          </cell>
          <cell r="F46" t="str">
            <v xml:space="preserve">BB-	</v>
          </cell>
          <cell r="G46" t="str">
            <v>BB-</v>
          </cell>
          <cell r="H46" t="str">
            <v>미제출</v>
          </cell>
          <cell r="I46" t="str">
            <v>개인</v>
          </cell>
          <cell r="J46" t="str">
            <v>메디인병원</v>
          </cell>
          <cell r="K46" t="str">
            <v>갱신1</v>
          </cell>
          <cell r="L46" t="str">
            <v>검사사용량</v>
          </cell>
          <cell r="M46">
            <v>1289131022</v>
          </cell>
          <cell r="N46">
            <v>45806</v>
          </cell>
          <cell r="Q46">
            <v>30</v>
          </cell>
          <cell r="R46">
            <v>351426000</v>
          </cell>
        </row>
        <row r="47">
          <cell r="C47">
            <v>10033043</v>
          </cell>
          <cell r="D47" t="str">
            <v>병원중부1</v>
          </cell>
          <cell r="E47" t="str">
            <v>남규진</v>
          </cell>
          <cell r="F47" t="str">
            <v xml:space="preserve">BB-	</v>
          </cell>
          <cell r="G47" t="str">
            <v>-</v>
          </cell>
          <cell r="H47" t="str">
            <v>미제출</v>
          </cell>
          <cell r="I47" t="str">
            <v>개인</v>
          </cell>
          <cell r="J47" t="str">
            <v>메디인병원</v>
          </cell>
          <cell r="L47" t="str">
            <v>검사사용량</v>
          </cell>
          <cell r="M47" t="str">
            <v>1289131022_계약파기</v>
          </cell>
          <cell r="N47" t="str">
            <v>2025-05-29</v>
          </cell>
          <cell r="Q47">
            <v>30</v>
          </cell>
          <cell r="R47">
            <v>346947000</v>
          </cell>
        </row>
        <row r="48">
          <cell r="C48">
            <v>10037684</v>
          </cell>
          <cell r="D48" t="str">
            <v>병원전주</v>
          </cell>
          <cell r="E48" t="str">
            <v>하태훈</v>
          </cell>
          <cell r="F48" t="str">
            <v>BBB0</v>
          </cell>
          <cell r="G48" t="str">
            <v>A</v>
          </cell>
          <cell r="H48" t="str">
            <v>미대상</v>
          </cell>
          <cell r="I48" t="str">
            <v>법인</v>
          </cell>
          <cell r="J48" t="str">
            <v>익산병원</v>
          </cell>
          <cell r="L48" t="str">
            <v>구독형</v>
          </cell>
          <cell r="M48">
            <v>4038207697</v>
          </cell>
          <cell r="N48" t="str">
            <v>2025-05-30</v>
          </cell>
          <cell r="Q48">
            <v>40</v>
          </cell>
          <cell r="R48">
            <v>233953000</v>
          </cell>
        </row>
        <row r="49">
          <cell r="C49">
            <v>10035078</v>
          </cell>
          <cell r="D49" t="str">
            <v>병원중부2</v>
          </cell>
          <cell r="E49" t="str">
            <v>이정환</v>
          </cell>
          <cell r="F49" t="str">
            <v xml:space="preserve">BB	</v>
          </cell>
          <cell r="G49" t="str">
            <v>BB-</v>
          </cell>
          <cell r="H49" t="str">
            <v>미제출</v>
          </cell>
          <cell r="I49" t="str">
            <v>개인</v>
          </cell>
          <cell r="J49" t="str">
            <v>사랑플러스병원</v>
          </cell>
          <cell r="L49" t="str">
            <v>검사사용량</v>
          </cell>
          <cell r="M49">
            <v>2129097720</v>
          </cell>
          <cell r="N49" t="str">
            <v>2025-06-02</v>
          </cell>
          <cell r="Q49">
            <v>40</v>
          </cell>
          <cell r="R49">
            <v>279085000</v>
          </cell>
        </row>
        <row r="50">
          <cell r="C50">
            <v>10041888</v>
          </cell>
          <cell r="D50" t="str">
            <v>병원부산2</v>
          </cell>
          <cell r="E50" t="str">
            <v>이도엽</v>
          </cell>
          <cell r="F50" t="str">
            <v>B+</v>
          </cell>
          <cell r="G50" t="str">
            <v>-</v>
          </cell>
          <cell r="H50" t="str">
            <v>미제출</v>
          </cell>
          <cell r="I50" t="str">
            <v>개인</v>
          </cell>
          <cell r="J50" t="str">
            <v>세웅종합병원(부산세웅병원)</v>
          </cell>
          <cell r="K50" t="str">
            <v>갱신1</v>
          </cell>
          <cell r="L50" t="str">
            <v>검사사용량</v>
          </cell>
          <cell r="M50">
            <v>6219601338</v>
          </cell>
          <cell r="N50" t="str">
            <v>2025-06-02</v>
          </cell>
          <cell r="Q50">
            <v>50</v>
          </cell>
          <cell r="R50">
            <v>436766000</v>
          </cell>
        </row>
        <row r="51">
          <cell r="C51">
            <v>10039216</v>
          </cell>
          <cell r="D51" t="str">
            <v>병원대구1</v>
          </cell>
          <cell r="E51" t="str">
            <v>오성훈</v>
          </cell>
          <cell r="F51" t="str">
            <v xml:space="preserve">BB+	</v>
          </cell>
          <cell r="G51" t="str">
            <v>BB+</v>
          </cell>
          <cell r="H51" t="str">
            <v>미대상</v>
          </cell>
          <cell r="I51" t="str">
            <v>법인</v>
          </cell>
          <cell r="J51" t="str">
            <v>의료법인춘곡재단</v>
          </cell>
          <cell r="L51" t="str">
            <v>구축형</v>
          </cell>
          <cell r="M51">
            <v>5028215984</v>
          </cell>
          <cell r="N51" t="str">
            <v>2025-06-09</v>
          </cell>
          <cell r="Q51">
            <v>20</v>
          </cell>
          <cell r="R51">
            <v>164163000</v>
          </cell>
        </row>
        <row r="52">
          <cell r="C52">
            <v>10067520</v>
          </cell>
          <cell r="D52" t="str">
            <v>병원광주2</v>
          </cell>
          <cell r="E52" t="str">
            <v>서선열</v>
          </cell>
          <cell r="F52" t="str">
            <v>BBB-</v>
          </cell>
          <cell r="G52" t="str">
            <v>-</v>
          </cell>
          <cell r="H52" t="str">
            <v>미제출</v>
          </cell>
          <cell r="I52" t="str">
            <v>개인</v>
          </cell>
          <cell r="J52" t="str">
            <v>순천에스병원</v>
          </cell>
          <cell r="L52" t="str">
            <v>분납형</v>
          </cell>
          <cell r="M52" t="str">
            <v>4186500404_계약파기</v>
          </cell>
          <cell r="N52" t="str">
            <v>2025-06-13</v>
          </cell>
          <cell r="Q52">
            <v>20</v>
          </cell>
          <cell r="R52">
            <v>145151000</v>
          </cell>
        </row>
        <row r="53">
          <cell r="C53">
            <v>10038346</v>
          </cell>
          <cell r="D53" t="str">
            <v>병원광주2</v>
          </cell>
          <cell r="E53" t="str">
            <v>정두리</v>
          </cell>
          <cell r="F53" t="str">
            <v>BBB+</v>
          </cell>
          <cell r="G53" t="str">
            <v>BB+</v>
          </cell>
          <cell r="H53" t="str">
            <v>미제출</v>
          </cell>
          <cell r="I53" t="str">
            <v>개인</v>
          </cell>
          <cell r="J53" t="str">
            <v>목포기독병원</v>
          </cell>
          <cell r="L53" t="str">
            <v>검사사용량</v>
          </cell>
          <cell r="M53">
            <v>4119603025</v>
          </cell>
          <cell r="N53" t="str">
            <v>2025-06-17</v>
          </cell>
          <cell r="Q53">
            <v>280</v>
          </cell>
          <cell r="R53">
            <v>1600698000</v>
          </cell>
        </row>
        <row r="54">
          <cell r="C54">
            <v>10022281</v>
          </cell>
          <cell r="D54" t="str">
            <v>병원동부</v>
          </cell>
          <cell r="E54" t="str">
            <v>김태인</v>
          </cell>
          <cell r="F54" t="str">
            <v xml:space="preserve">B-	</v>
          </cell>
          <cell r="G54" t="str">
            <v>B-</v>
          </cell>
          <cell r="H54" t="str">
            <v>미제출</v>
          </cell>
          <cell r="I54" t="str">
            <v>개인</v>
          </cell>
          <cell r="J54" t="str">
            <v>남양주21세기병원</v>
          </cell>
          <cell r="L54" t="str">
            <v>검사사용량</v>
          </cell>
          <cell r="M54">
            <v>6877100016</v>
          </cell>
          <cell r="N54" t="str">
            <v>2025-06-19</v>
          </cell>
          <cell r="Q54">
            <v>29</v>
          </cell>
          <cell r="R54">
            <v>206752000</v>
          </cell>
        </row>
        <row r="55">
          <cell r="C55">
            <v>10032728</v>
          </cell>
          <cell r="D55" t="str">
            <v>병원경기2</v>
          </cell>
          <cell r="E55" t="str">
            <v>이창민</v>
          </cell>
          <cell r="F55" t="str">
            <v xml:space="preserve">AA+	</v>
          </cell>
          <cell r="G55" t="str">
            <v>-</v>
          </cell>
          <cell r="H55" t="str">
            <v>미대상</v>
          </cell>
          <cell r="I55" t="str">
            <v>법인</v>
          </cell>
          <cell r="J55" t="str">
            <v>의료법인 양진의료재단 평택성모병원</v>
          </cell>
          <cell r="L55" t="str">
            <v>검사사용량</v>
          </cell>
          <cell r="M55" t="str">
            <v>1258212553_계약파기</v>
          </cell>
          <cell r="N55">
            <v>45827</v>
          </cell>
          <cell r="Q55">
            <v>359</v>
          </cell>
          <cell r="R55">
            <v>2025000000</v>
          </cell>
        </row>
        <row r="56">
          <cell r="C56">
            <v>10069147</v>
          </cell>
          <cell r="D56" t="str">
            <v>제주</v>
          </cell>
          <cell r="E56" t="str">
            <v>홍창범</v>
          </cell>
          <cell r="F56" t="str">
            <v>BB</v>
          </cell>
          <cell r="G56" t="str">
            <v>BB</v>
          </cell>
          <cell r="H56" t="str">
            <v>미대상</v>
          </cell>
          <cell r="I56" t="str">
            <v>법인</v>
          </cell>
          <cell r="J56" t="str">
            <v>의료법인혜인의료재단한국병원</v>
          </cell>
          <cell r="L56" t="str">
            <v>검사사용량</v>
          </cell>
          <cell r="M56">
            <v>6018206614</v>
          </cell>
          <cell r="N56" t="str">
            <v>2025-06-23</v>
          </cell>
          <cell r="Q56">
            <v>100</v>
          </cell>
          <cell r="R56">
            <v>721098000</v>
          </cell>
        </row>
        <row r="57">
          <cell r="C57">
            <v>10078174</v>
          </cell>
          <cell r="D57" t="str">
            <v>병원광주1</v>
          </cell>
          <cell r="E57" t="str">
            <v>조현준</v>
          </cell>
          <cell r="F57" t="str">
            <v xml:space="preserve">B	</v>
          </cell>
          <cell r="G57" t="str">
            <v>BBB-</v>
          </cell>
          <cell r="H57" t="str">
            <v>미제출</v>
          </cell>
          <cell r="I57" t="str">
            <v>개인</v>
          </cell>
          <cell r="J57" t="str">
            <v>화순고려병원</v>
          </cell>
          <cell r="L57" t="str">
            <v>분납형</v>
          </cell>
          <cell r="M57">
            <v>8039701640</v>
          </cell>
          <cell r="N57" t="str">
            <v>2025-06-23</v>
          </cell>
          <cell r="Q57">
            <v>40</v>
          </cell>
          <cell r="R57">
            <v>239000000</v>
          </cell>
        </row>
        <row r="58">
          <cell r="C58">
            <v>10032805</v>
          </cell>
          <cell r="D58" t="str">
            <v>병원강원</v>
          </cell>
          <cell r="E58" t="str">
            <v>조현일</v>
          </cell>
          <cell r="F58" t="str">
            <v xml:space="preserve">BBB-	</v>
          </cell>
          <cell r="G58" t="str">
            <v>BBB-</v>
          </cell>
          <cell r="H58" t="str">
            <v>미제출</v>
          </cell>
          <cell r="I58" t="str">
            <v>개인</v>
          </cell>
          <cell r="J58" t="str">
            <v>연세새로운병원</v>
          </cell>
          <cell r="L58" t="str">
            <v>검사사용량</v>
          </cell>
          <cell r="M58">
            <v>1269036645</v>
          </cell>
          <cell r="N58" t="str">
            <v>2025-06-23</v>
          </cell>
          <cell r="Q58">
            <v>30</v>
          </cell>
          <cell r="R58">
            <v>234514000</v>
          </cell>
        </row>
        <row r="59">
          <cell r="C59">
            <v>10014151</v>
          </cell>
          <cell r="D59" t="str">
            <v>병원동부</v>
          </cell>
          <cell r="E59" t="str">
            <v>이철민</v>
          </cell>
          <cell r="F59" t="str">
            <v>-</v>
          </cell>
          <cell r="G59" t="str">
            <v>-</v>
          </cell>
          <cell r="H59" t="str">
            <v>미대상</v>
          </cell>
          <cell r="I59" t="str">
            <v>법인</v>
          </cell>
          <cell r="J59" t="str">
            <v>의료법인한양의료재단 남양주한양병원</v>
          </cell>
          <cell r="L59" t="str">
            <v>검사사용량</v>
          </cell>
          <cell r="M59" t="str">
            <v>1328207422_계약파기</v>
          </cell>
          <cell r="N59" t="str">
            <v>2025-06-24</v>
          </cell>
          <cell r="Q59">
            <v>90</v>
          </cell>
          <cell r="R59">
            <v>557149000</v>
          </cell>
        </row>
        <row r="60">
          <cell r="C60">
            <v>10008171</v>
          </cell>
          <cell r="D60" t="str">
            <v>병원청주</v>
          </cell>
          <cell r="E60" t="str">
            <v>이진구</v>
          </cell>
          <cell r="F60" t="str">
            <v xml:space="preserve">BB-	</v>
          </cell>
          <cell r="G60" t="str">
            <v>BB-</v>
          </cell>
          <cell r="H60" t="str">
            <v>미제출</v>
          </cell>
          <cell r="I60" t="str">
            <v>개인</v>
          </cell>
          <cell r="J60" t="str">
            <v>현대병원</v>
          </cell>
          <cell r="L60" t="str">
            <v>검사사용량</v>
          </cell>
          <cell r="M60">
            <v>3129151282</v>
          </cell>
          <cell r="N60" t="str">
            <v>2025-06-25</v>
          </cell>
          <cell r="Q60">
            <v>84</v>
          </cell>
          <cell r="R60">
            <v>476620000</v>
          </cell>
        </row>
        <row r="61">
          <cell r="C61">
            <v>10045809</v>
          </cell>
          <cell r="D61" t="str">
            <v>병원북부</v>
          </cell>
          <cell r="E61" t="str">
            <v>최동식</v>
          </cell>
          <cell r="F61" t="str">
            <v>BBB-</v>
          </cell>
          <cell r="G61" t="str">
            <v>A-</v>
          </cell>
          <cell r="H61" t="str">
            <v>미대상</v>
          </cell>
          <cell r="I61" t="str">
            <v>법인</v>
          </cell>
          <cell r="J61" t="str">
            <v>의료법인 영동의료재단 의정부백병원</v>
          </cell>
          <cell r="L61" t="str">
            <v>검사사용량</v>
          </cell>
          <cell r="M61">
            <v>1278221650</v>
          </cell>
          <cell r="N61" t="str">
            <v>2025-06-26</v>
          </cell>
          <cell r="Q61">
            <v>100</v>
          </cell>
          <cell r="R61">
            <v>605334000</v>
          </cell>
        </row>
        <row r="62">
          <cell r="C62">
            <v>10046812</v>
          </cell>
          <cell r="D62" t="str">
            <v>병원대구2</v>
          </cell>
          <cell r="E62" t="str">
            <v>김혜원</v>
          </cell>
          <cell r="F62" t="str">
            <v>-</v>
          </cell>
          <cell r="G62" t="str">
            <v>-</v>
          </cell>
          <cell r="H62" t="str">
            <v>미대상</v>
          </cell>
          <cell r="I62" t="str">
            <v>법인</v>
          </cell>
          <cell r="J62" t="str">
            <v>의료법인 은성의료재단 좋은선린병원</v>
          </cell>
          <cell r="L62" t="str">
            <v>검사사용량</v>
          </cell>
          <cell r="M62" t="str">
            <v>1138209244_계약파기</v>
          </cell>
          <cell r="N62" t="str">
            <v>2025-06-27</v>
          </cell>
          <cell r="Q62">
            <v>120</v>
          </cell>
          <cell r="R62">
            <v>837272000</v>
          </cell>
        </row>
        <row r="63">
          <cell r="C63">
            <v>10041502</v>
          </cell>
          <cell r="D63" t="str">
            <v>제주</v>
          </cell>
          <cell r="E63" t="str">
            <v>홍창범</v>
          </cell>
          <cell r="F63" t="str">
            <v>B+</v>
          </cell>
          <cell r="G63" t="str">
            <v>CCC+</v>
          </cell>
          <cell r="H63" t="str">
            <v>미대상</v>
          </cell>
          <cell r="I63" t="str">
            <v>법인</v>
          </cell>
          <cell r="J63" t="str">
            <v>제주한라병원</v>
          </cell>
          <cell r="L63" t="str">
            <v>검사사용량</v>
          </cell>
          <cell r="M63">
            <v>6168203453</v>
          </cell>
          <cell r="N63" t="str">
            <v>2025-06-27</v>
          </cell>
          <cell r="Q63">
            <v>500</v>
          </cell>
          <cell r="R63">
            <v>2922731000</v>
          </cell>
        </row>
        <row r="64">
          <cell r="C64">
            <v>10038792</v>
          </cell>
          <cell r="D64" t="str">
            <v>병원강원</v>
          </cell>
          <cell r="E64" t="str">
            <v>김한구</v>
          </cell>
          <cell r="F64" t="str">
            <v>-</v>
          </cell>
          <cell r="G64" t="str">
            <v>BB+</v>
          </cell>
          <cell r="H64" t="str">
            <v>미제출</v>
          </cell>
          <cell r="I64" t="str">
            <v>개인</v>
          </cell>
          <cell r="J64" t="str">
            <v>추새로병원</v>
          </cell>
          <cell r="L64" t="str">
            <v>검사사용량</v>
          </cell>
          <cell r="M64">
            <v>8839200093</v>
          </cell>
          <cell r="N64" t="str">
            <v>2025-06-30</v>
          </cell>
          <cell r="Q64">
            <v>30</v>
          </cell>
          <cell r="R64">
            <v>232140000</v>
          </cell>
        </row>
        <row r="65">
          <cell r="C65">
            <v>10036590</v>
          </cell>
          <cell r="D65" t="str">
            <v>병원대전</v>
          </cell>
          <cell r="E65" t="str">
            <v>정지우</v>
          </cell>
          <cell r="F65" t="str">
            <v>BB</v>
          </cell>
          <cell r="G65" t="str">
            <v>BB</v>
          </cell>
          <cell r="H65" t="str">
            <v>미제출</v>
          </cell>
          <cell r="I65" t="str">
            <v>개인</v>
          </cell>
          <cell r="J65" t="str">
            <v>당진종합병원</v>
          </cell>
          <cell r="L65" t="str">
            <v>검사사용량</v>
          </cell>
          <cell r="M65">
            <v>3109602311</v>
          </cell>
          <cell r="N65" t="str">
            <v>2025-06-30</v>
          </cell>
          <cell r="Q65">
            <v>160</v>
          </cell>
          <cell r="R65">
            <v>969531000</v>
          </cell>
        </row>
        <row r="66">
          <cell r="C66">
            <v>10003599</v>
          </cell>
          <cell r="D66" t="str">
            <v>병원부산1</v>
          </cell>
          <cell r="E66" t="str">
            <v>김주영</v>
          </cell>
          <cell r="F66" t="str">
            <v>NR</v>
          </cell>
          <cell r="G66" t="str">
            <v>A-</v>
          </cell>
          <cell r="H66" t="str">
            <v>미대상</v>
          </cell>
          <cell r="I66" t="str">
            <v>법인</v>
          </cell>
          <cell r="J66" t="str">
            <v>의료법인 온그룹의료재단 온병원</v>
          </cell>
          <cell r="L66" t="str">
            <v>검사사용량</v>
          </cell>
          <cell r="M66">
            <v>6058211399</v>
          </cell>
          <cell r="N66" t="str">
            <v>2025-06-30</v>
          </cell>
          <cell r="Q66">
            <v>39</v>
          </cell>
          <cell r="R66">
            <v>272046000</v>
          </cell>
        </row>
        <row r="67">
          <cell r="C67">
            <v>10041740</v>
          </cell>
          <cell r="D67" t="str">
            <v>병원부산1</v>
          </cell>
          <cell r="E67" t="str">
            <v>박큰솔</v>
          </cell>
          <cell r="F67" t="str">
            <v>AA</v>
          </cell>
          <cell r="G67" t="str">
            <v>AA</v>
          </cell>
          <cell r="H67" t="str">
            <v>미대상</v>
          </cell>
          <cell r="I67" t="str">
            <v>법인</v>
          </cell>
          <cell r="J67" t="str">
            <v>서울산보람병원</v>
          </cell>
          <cell r="L67" t="str">
            <v>검사사용량</v>
          </cell>
          <cell r="M67">
            <v>6208200931</v>
          </cell>
          <cell r="N67" t="str">
            <v>2025-06-30</v>
          </cell>
          <cell r="Q67">
            <v>30</v>
          </cell>
          <cell r="R67">
            <v>290885000</v>
          </cell>
        </row>
        <row r="68">
          <cell r="C68">
            <v>10032898</v>
          </cell>
          <cell r="D68" t="str">
            <v>병원동부</v>
          </cell>
          <cell r="E68" t="str">
            <v>이선구</v>
          </cell>
          <cell r="F68" t="str">
            <v>-</v>
          </cell>
          <cell r="G68" t="str">
            <v>BB+</v>
          </cell>
          <cell r="H68" t="str">
            <v>미대상</v>
          </cell>
          <cell r="I68" t="str">
            <v>법인</v>
          </cell>
          <cell r="J68" t="str">
            <v>양주예쓰병원</v>
          </cell>
          <cell r="L68" t="str">
            <v>검사사용량</v>
          </cell>
          <cell r="M68">
            <v>1278215707</v>
          </cell>
          <cell r="N68" t="str">
            <v>2025-06-30</v>
          </cell>
          <cell r="Q68">
            <v>100</v>
          </cell>
          <cell r="R68">
            <v>573965000</v>
          </cell>
        </row>
        <row r="69">
          <cell r="C69">
            <v>10041592</v>
          </cell>
          <cell r="D69" t="str">
            <v>병원부산2</v>
          </cell>
          <cell r="E69" t="str">
            <v>임지훈</v>
          </cell>
          <cell r="F69" t="str">
            <v xml:space="preserve">BB	</v>
          </cell>
          <cell r="G69" t="str">
            <v>BBB-</v>
          </cell>
          <cell r="H69" t="str">
            <v>미대상</v>
          </cell>
          <cell r="I69" t="str">
            <v>법인</v>
          </cell>
          <cell r="J69" t="str">
            <v>비에이치에스한서병원</v>
          </cell>
          <cell r="K69" t="str">
            <v>추가1</v>
          </cell>
          <cell r="L69" t="str">
            <v>검사사용량</v>
          </cell>
          <cell r="M69">
            <v>6178205191</v>
          </cell>
          <cell r="N69" t="str">
            <v>2025-07-01</v>
          </cell>
          <cell r="Q69">
            <v>250</v>
          </cell>
          <cell r="R69">
            <v>1474061000</v>
          </cell>
        </row>
        <row r="70">
          <cell r="C70">
            <v>10032281</v>
          </cell>
          <cell r="D70" t="str">
            <v>병원인천</v>
          </cell>
          <cell r="E70" t="str">
            <v>김형태</v>
          </cell>
          <cell r="F70" t="str">
            <v xml:space="preserve">BB+	</v>
          </cell>
          <cell r="G70" t="str">
            <v>BB+</v>
          </cell>
          <cell r="H70" t="str">
            <v>미대상</v>
          </cell>
          <cell r="I70" t="str">
            <v>법인</v>
          </cell>
          <cell r="J70" t="str">
            <v>의료법인 성수의료재단 인천백병원</v>
          </cell>
          <cell r="K70" t="str">
            <v>추가1</v>
          </cell>
          <cell r="L70" t="str">
            <v>구독형</v>
          </cell>
          <cell r="M70">
            <v>1218216353</v>
          </cell>
          <cell r="N70" t="str">
            <v>2025-07-04</v>
          </cell>
          <cell r="Q70">
            <v>26</v>
          </cell>
          <cell r="R70">
            <v>166920000</v>
          </cell>
        </row>
        <row r="71">
          <cell r="C71">
            <v>10034679</v>
          </cell>
          <cell r="D71" t="str">
            <v>병원동부</v>
          </cell>
          <cell r="E71" t="str">
            <v>김형섭</v>
          </cell>
          <cell r="F71" t="str">
            <v>BBB-</v>
          </cell>
          <cell r="G71" t="str">
            <v>BB-</v>
          </cell>
          <cell r="H71" t="str">
            <v>미제출</v>
          </cell>
          <cell r="I71" t="str">
            <v>개인</v>
          </cell>
          <cell r="J71" t="str">
            <v>서울성심병원</v>
          </cell>
          <cell r="L71" t="str">
            <v>검사사용량</v>
          </cell>
          <cell r="M71">
            <v>2059615760</v>
          </cell>
          <cell r="N71" t="str">
            <v>2025-07-07</v>
          </cell>
          <cell r="Q71">
            <v>80</v>
          </cell>
          <cell r="R71">
            <v>490298000</v>
          </cell>
        </row>
        <row r="72">
          <cell r="C72">
            <v>10038434</v>
          </cell>
          <cell r="D72" t="str">
            <v>병원광주1</v>
          </cell>
          <cell r="E72" t="str">
            <v>김정란</v>
          </cell>
          <cell r="F72" t="str">
            <v>BBB+</v>
          </cell>
          <cell r="G72" t="str">
            <v>BBB+</v>
          </cell>
          <cell r="H72" t="str">
            <v>미대상</v>
          </cell>
          <cell r="I72" t="str">
            <v>법인</v>
          </cell>
          <cell r="J72" t="str">
            <v>해남종합병원</v>
          </cell>
          <cell r="L72" t="str">
            <v>구축형</v>
          </cell>
          <cell r="M72">
            <v>4158200659</v>
          </cell>
          <cell r="N72" t="str">
            <v>2025-07-09</v>
          </cell>
          <cell r="Q72">
            <v>100</v>
          </cell>
          <cell r="R72">
            <v>715869000</v>
          </cell>
        </row>
        <row r="73">
          <cell r="C73">
            <v>10032706</v>
          </cell>
          <cell r="D73" t="str">
            <v>병원경기2</v>
          </cell>
          <cell r="E73" t="str">
            <v>이창민</v>
          </cell>
          <cell r="F73" t="str">
            <v>BB</v>
          </cell>
          <cell r="G73" t="str">
            <v>BB</v>
          </cell>
          <cell r="H73" t="str">
            <v>미대상</v>
          </cell>
          <cell r="I73" t="str">
            <v>법인</v>
          </cell>
          <cell r="J73" t="str">
            <v>평택안중백병원</v>
          </cell>
          <cell r="L73" t="str">
            <v>검사사용량</v>
          </cell>
          <cell r="M73">
            <v>1258206916</v>
          </cell>
          <cell r="N73" t="str">
            <v>2025-07-10</v>
          </cell>
          <cell r="Q73">
            <v>60</v>
          </cell>
          <cell r="R73">
            <v>429235000</v>
          </cell>
        </row>
        <row r="74">
          <cell r="C74">
            <v>10044981</v>
          </cell>
          <cell r="D74" t="str">
            <v>병원북부</v>
          </cell>
          <cell r="E74" t="str">
            <v>이영준</v>
          </cell>
          <cell r="F74" t="str">
            <v xml:space="preserve">BBB-	</v>
          </cell>
          <cell r="G74" t="str">
            <v>BB</v>
          </cell>
          <cell r="H74" t="str">
            <v>미제출</v>
          </cell>
          <cell r="I74" t="str">
            <v>개인</v>
          </cell>
          <cell r="J74" t="str">
            <v>신일병원</v>
          </cell>
          <cell r="L74" t="str">
            <v>검사사용량</v>
          </cell>
          <cell r="M74">
            <v>2109607113</v>
          </cell>
          <cell r="N74" t="str">
            <v>2025-07-11</v>
          </cell>
          <cell r="Q74">
            <v>50</v>
          </cell>
          <cell r="R74">
            <v>404679000</v>
          </cell>
        </row>
        <row r="75">
          <cell r="C75">
            <v>10032935</v>
          </cell>
          <cell r="D75" t="str">
            <v>병원북부</v>
          </cell>
          <cell r="E75" t="str">
            <v>이삭</v>
          </cell>
          <cell r="F75" t="str">
            <v xml:space="preserve">BB+	</v>
          </cell>
          <cell r="G75" t="str">
            <v>BB+</v>
          </cell>
          <cell r="H75" t="str">
            <v>미제출</v>
          </cell>
          <cell r="I75" t="str">
            <v>개인</v>
          </cell>
          <cell r="J75" t="str">
            <v>추병원</v>
          </cell>
          <cell r="L75" t="str">
            <v>검사사용량</v>
          </cell>
          <cell r="M75">
            <v>1279607029</v>
          </cell>
          <cell r="N75" t="str">
            <v>2025-07-11</v>
          </cell>
          <cell r="Q75">
            <v>169</v>
          </cell>
          <cell r="R75">
            <v>1141151000</v>
          </cell>
        </row>
        <row r="76">
          <cell r="C76">
            <v>10039210</v>
          </cell>
          <cell r="D76" t="str">
            <v>병원대구1</v>
          </cell>
          <cell r="E76" t="str">
            <v>오성훈</v>
          </cell>
          <cell r="F76" t="str">
            <v xml:space="preserve">BBB-	</v>
          </cell>
          <cell r="G76" t="str">
            <v>-</v>
          </cell>
          <cell r="H76" t="str">
            <v>미대상</v>
          </cell>
          <cell r="I76" t="str">
            <v>법인</v>
          </cell>
          <cell r="J76" t="str">
            <v>의료법인 백천의료재단 바로본병원</v>
          </cell>
          <cell r="L76" t="str">
            <v>검사사용량</v>
          </cell>
          <cell r="M76" t="str">
            <v>5028213744_계약파기</v>
          </cell>
          <cell r="N76" t="str">
            <v>2025-07-14</v>
          </cell>
          <cell r="Q76">
            <v>50</v>
          </cell>
          <cell r="R76">
            <v>380616000</v>
          </cell>
        </row>
        <row r="77">
          <cell r="C77">
            <v>10034942</v>
          </cell>
          <cell r="D77" t="str">
            <v>병원북부</v>
          </cell>
          <cell r="E77" t="str">
            <v>문치호</v>
          </cell>
          <cell r="F77" t="str">
            <v>-</v>
          </cell>
          <cell r="G77" t="str">
            <v>BB</v>
          </cell>
          <cell r="H77" t="str">
            <v>미제출</v>
          </cell>
          <cell r="I77" t="str">
            <v>개인</v>
          </cell>
          <cell r="J77" t="str">
            <v>서울노보스병원</v>
          </cell>
          <cell r="L77" t="str">
            <v>검사사용량</v>
          </cell>
          <cell r="M77">
            <v>2109203614</v>
          </cell>
          <cell r="N77" t="str">
            <v>2025-07-15</v>
          </cell>
          <cell r="Q77">
            <v>130</v>
          </cell>
          <cell r="R77">
            <v>886530400</v>
          </cell>
        </row>
        <row r="78">
          <cell r="C78">
            <v>10021506</v>
          </cell>
          <cell r="D78" t="str">
            <v>병원경기2</v>
          </cell>
          <cell r="E78" t="str">
            <v>이창민</v>
          </cell>
          <cell r="F78" t="str">
            <v>-</v>
          </cell>
          <cell r="G78" t="str">
            <v>BBB-</v>
          </cell>
          <cell r="H78" t="str">
            <v>미대상</v>
          </cell>
          <cell r="I78" t="str">
            <v>법인</v>
          </cell>
          <cell r="J78" t="str">
            <v>센트럴병원</v>
          </cell>
          <cell r="L78" t="str">
            <v>검사사용량</v>
          </cell>
          <cell r="M78">
            <v>1408201185</v>
          </cell>
          <cell r="N78" t="str">
            <v>2025-07-15</v>
          </cell>
          <cell r="Q78">
            <v>259</v>
          </cell>
          <cell r="R78">
            <v>1521496500</v>
          </cell>
        </row>
        <row r="79">
          <cell r="C79">
            <v>10070268</v>
          </cell>
          <cell r="D79" t="str">
            <v>병원청주</v>
          </cell>
          <cell r="E79" t="str">
            <v>박지우</v>
          </cell>
          <cell r="F79" t="str">
            <v xml:space="preserve">CCC+	</v>
          </cell>
          <cell r="G79" t="str">
            <v>CCC+</v>
          </cell>
          <cell r="H79" t="str">
            <v>미제출</v>
          </cell>
          <cell r="I79" t="str">
            <v>개인</v>
          </cell>
          <cell r="J79" t="str">
            <v>천안리턴병원</v>
          </cell>
          <cell r="K79" t="str">
            <v>추가1</v>
          </cell>
          <cell r="L79" t="str">
            <v>검사사용량</v>
          </cell>
          <cell r="M79">
            <v>6719701418</v>
          </cell>
          <cell r="N79" t="str">
            <v>2025-07-15</v>
          </cell>
          <cell r="Q79">
            <v>48</v>
          </cell>
          <cell r="R79">
            <v>291049000</v>
          </cell>
        </row>
        <row r="80">
          <cell r="C80">
            <v>10040545</v>
          </cell>
          <cell r="D80" t="str">
            <v>병원부산2</v>
          </cell>
          <cell r="E80" t="str">
            <v>임지훈</v>
          </cell>
          <cell r="F80" t="str">
            <v>BBB</v>
          </cell>
          <cell r="G80" t="str">
            <v>BBB</v>
          </cell>
          <cell r="H80" t="str">
            <v>미제출</v>
          </cell>
          <cell r="I80" t="str">
            <v>개인</v>
          </cell>
          <cell r="J80" t="str">
            <v>부산본병원</v>
          </cell>
          <cell r="L80" t="str">
            <v>검사사용량</v>
          </cell>
          <cell r="M80">
            <v>6039134608</v>
          </cell>
          <cell r="N80" t="str">
            <v>2025-07-15</v>
          </cell>
          <cell r="Q80">
            <v>30</v>
          </cell>
          <cell r="R80">
            <v>251823000</v>
          </cell>
        </row>
        <row r="81">
          <cell r="C81">
            <v>10039242</v>
          </cell>
          <cell r="D81" t="str">
            <v>병원대구1</v>
          </cell>
          <cell r="E81" t="str">
            <v>오성훈</v>
          </cell>
          <cell r="F81" t="str">
            <v>B</v>
          </cell>
          <cell r="G81" t="str">
            <v>B</v>
          </cell>
          <cell r="H81" t="str">
            <v>미제출</v>
          </cell>
          <cell r="I81" t="str">
            <v>개인</v>
          </cell>
          <cell r="J81" t="str">
            <v>수성한미병원</v>
          </cell>
          <cell r="L81" t="str">
            <v>검사사용량</v>
          </cell>
          <cell r="M81">
            <v>5029241763</v>
          </cell>
          <cell r="N81" t="str">
            <v>2025-07-16</v>
          </cell>
          <cell r="Q81">
            <v>30</v>
          </cell>
          <cell r="R81">
            <v>254146000</v>
          </cell>
        </row>
        <row r="82">
          <cell r="C82">
            <v>10035562</v>
          </cell>
          <cell r="D82" t="str">
            <v>병원강원</v>
          </cell>
          <cell r="E82" t="str">
            <v>조현일</v>
          </cell>
          <cell r="F82" t="str">
            <v>-</v>
          </cell>
          <cell r="G82" t="str">
            <v>-</v>
          </cell>
          <cell r="H82" t="str">
            <v>미대상</v>
          </cell>
          <cell r="I82" t="str">
            <v>법인</v>
          </cell>
          <cell r="J82" t="str">
            <v>의료법인선덕의료재단 대성병원</v>
          </cell>
          <cell r="L82" t="str">
            <v>검사사용량</v>
          </cell>
          <cell r="M82" t="str">
            <v>2248207134_계약파기</v>
          </cell>
          <cell r="N82" t="str">
            <v>2025-07-21</v>
          </cell>
          <cell r="Q82">
            <v>100</v>
          </cell>
          <cell r="R82">
            <v>571548000</v>
          </cell>
        </row>
        <row r="83">
          <cell r="C83">
            <v>10035562</v>
          </cell>
          <cell r="D83" t="str">
            <v>병원강원</v>
          </cell>
          <cell r="E83" t="str">
            <v>조현일</v>
          </cell>
          <cell r="F83" t="str">
            <v>-</v>
          </cell>
          <cell r="G83" t="str">
            <v>-</v>
          </cell>
          <cell r="H83" t="str">
            <v>미대상</v>
          </cell>
          <cell r="I83" t="str">
            <v>법인</v>
          </cell>
          <cell r="J83" t="str">
            <v>의료법인선덕의료재단 대성병원</v>
          </cell>
          <cell r="K83" t="str">
            <v>갱신1</v>
          </cell>
          <cell r="L83" t="str">
            <v>검사사용량</v>
          </cell>
          <cell r="M83" t="str">
            <v>2248207134_계약파기</v>
          </cell>
          <cell r="N83" t="str">
            <v>2025-07-21</v>
          </cell>
          <cell r="Q83">
            <v>90</v>
          </cell>
          <cell r="R83">
            <v>532358000</v>
          </cell>
        </row>
        <row r="84">
          <cell r="C84">
            <v>10074449</v>
          </cell>
          <cell r="D84" t="str">
            <v>병원서울5</v>
          </cell>
          <cell r="E84" t="str">
            <v>최성철</v>
          </cell>
          <cell r="F84" t="str">
            <v xml:space="preserve">BBB-	</v>
          </cell>
          <cell r="G84" t="str">
            <v>BBB-</v>
          </cell>
          <cell r="H84" t="str">
            <v>미대상</v>
          </cell>
          <cell r="I84" t="str">
            <v>법인</v>
          </cell>
          <cell r="J84" t="str">
            <v>중앙대학교광명병원</v>
          </cell>
          <cell r="L84" t="str">
            <v>검사사용량</v>
          </cell>
          <cell r="M84">
            <v>1538200538</v>
          </cell>
          <cell r="N84" t="str">
            <v>2025-07-21</v>
          </cell>
          <cell r="Q84">
            <v>12</v>
          </cell>
          <cell r="R84">
            <v>117274167</v>
          </cell>
        </row>
        <row r="85">
          <cell r="C85">
            <v>10031781</v>
          </cell>
          <cell r="D85" t="str">
            <v>병원중부1</v>
          </cell>
          <cell r="E85" t="str">
            <v>신광호</v>
          </cell>
          <cell r="F85" t="str">
            <v>AA</v>
          </cell>
          <cell r="G85" t="str">
            <v>AA</v>
          </cell>
          <cell r="H85" t="str">
            <v>미대상</v>
          </cell>
          <cell r="I85" t="str">
            <v>법인</v>
          </cell>
          <cell r="J85" t="str">
            <v>의료법인 삼성의료재단 강북삼성병원</v>
          </cell>
          <cell r="L85" t="str">
            <v>구축형</v>
          </cell>
          <cell r="M85">
            <v>1108202349</v>
          </cell>
          <cell r="N85" t="str">
            <v>2025-07-22</v>
          </cell>
          <cell r="Q85">
            <v>18</v>
          </cell>
          <cell r="R85">
            <v>145000000</v>
          </cell>
        </row>
        <row r="86">
          <cell r="C86">
            <v>10038463</v>
          </cell>
          <cell r="D86" t="str">
            <v>병원광주1</v>
          </cell>
          <cell r="E86" t="str">
            <v>이용선</v>
          </cell>
          <cell r="F86" t="str">
            <v>-</v>
          </cell>
          <cell r="G86" t="str">
            <v>B</v>
          </cell>
          <cell r="H86" t="str">
            <v>미제출</v>
          </cell>
          <cell r="I86" t="str">
            <v>개인</v>
          </cell>
          <cell r="J86" t="str">
            <v>윤호21병원</v>
          </cell>
          <cell r="L86" t="str">
            <v>검사사용량</v>
          </cell>
          <cell r="M86">
            <v>4160973375</v>
          </cell>
          <cell r="N86" t="str">
            <v>2025-07-23</v>
          </cell>
          <cell r="Q86">
            <v>50</v>
          </cell>
          <cell r="R86">
            <v>347394000</v>
          </cell>
        </row>
        <row r="87">
          <cell r="C87">
            <v>10060702</v>
          </cell>
          <cell r="D87" t="str">
            <v>병원경기2</v>
          </cell>
          <cell r="E87" t="str">
            <v>김남진</v>
          </cell>
          <cell r="F87" t="str">
            <v xml:space="preserve">BB-	</v>
          </cell>
          <cell r="G87" t="str">
            <v>BB-</v>
          </cell>
          <cell r="H87" t="str">
            <v>미제출</v>
          </cell>
          <cell r="I87" t="str">
            <v>개인</v>
          </cell>
          <cell r="J87" t="str">
            <v>동탄시티병원</v>
          </cell>
          <cell r="L87" t="str">
            <v>검사사용량</v>
          </cell>
          <cell r="M87">
            <v>1249428434</v>
          </cell>
          <cell r="N87" t="str">
            <v>2025-07-31</v>
          </cell>
          <cell r="Q87">
            <v>90</v>
          </cell>
          <cell r="R87">
            <v>536550000</v>
          </cell>
        </row>
        <row r="88">
          <cell r="C88">
            <v>10036639</v>
          </cell>
          <cell r="D88" t="str">
            <v>병원대전</v>
          </cell>
          <cell r="E88" t="str">
            <v>정지현</v>
          </cell>
          <cell r="F88" t="str">
            <v>-</v>
          </cell>
          <cell r="G88" t="str">
            <v>BB-</v>
          </cell>
          <cell r="H88" t="str">
            <v>미제출</v>
          </cell>
          <cell r="I88" t="str">
            <v>개인</v>
          </cell>
          <cell r="J88" t="str">
            <v>서산중앙병원</v>
          </cell>
          <cell r="L88" t="str">
            <v>검사사용량</v>
          </cell>
          <cell r="M88">
            <v>3119602309</v>
          </cell>
          <cell r="N88" t="str">
            <v>2025-08-01</v>
          </cell>
          <cell r="Q88">
            <v>288</v>
          </cell>
          <cell r="R88">
            <v>1714735000</v>
          </cell>
        </row>
        <row r="89">
          <cell r="C89">
            <v>10038231</v>
          </cell>
          <cell r="D89" t="str">
            <v>병원광주</v>
          </cell>
          <cell r="E89" t="str">
            <v>김재인</v>
          </cell>
          <cell r="F89" t="str">
            <v>-</v>
          </cell>
          <cell r="G89" t="str">
            <v>-</v>
          </cell>
          <cell r="H89" t="str">
            <v>미제출</v>
          </cell>
          <cell r="I89" t="str">
            <v>개인</v>
          </cell>
          <cell r="J89" t="str">
            <v>광주열린병원</v>
          </cell>
          <cell r="L89" t="str">
            <v>검사사용량</v>
          </cell>
          <cell r="M89">
            <v>4109127179</v>
          </cell>
          <cell r="N89" t="str">
            <v>2025-08-01</v>
          </cell>
          <cell r="Q89">
            <v>120</v>
          </cell>
          <cell r="R89">
            <v>842294500</v>
          </cell>
        </row>
        <row r="90">
          <cell r="C90">
            <v>10032388</v>
          </cell>
          <cell r="D90" t="str">
            <v>병원인천</v>
          </cell>
          <cell r="E90" t="str">
            <v>나천</v>
          </cell>
          <cell r="F90" t="str">
            <v>-</v>
          </cell>
          <cell r="G90" t="str">
            <v>BBB-</v>
          </cell>
          <cell r="H90" t="str">
            <v>미대상</v>
          </cell>
          <cell r="I90" t="str">
            <v>법인</v>
          </cell>
          <cell r="J90" t="str">
            <v>의료법인안은의료재단부평세림병원</v>
          </cell>
          <cell r="L90" t="str">
            <v>검사사용량</v>
          </cell>
          <cell r="M90">
            <v>1228230509</v>
          </cell>
          <cell r="N90" t="str">
            <v>2025-08-08</v>
          </cell>
          <cell r="Q90">
            <v>52</v>
          </cell>
          <cell r="R90">
            <v>420222000</v>
          </cell>
        </row>
        <row r="91">
          <cell r="C91">
            <v>10042063</v>
          </cell>
          <cell r="D91" t="str">
            <v>병원남부1</v>
          </cell>
          <cell r="E91" t="str">
            <v>한재현</v>
          </cell>
          <cell r="F91" t="str">
            <v>-</v>
          </cell>
          <cell r="G91" t="str">
            <v>BB</v>
          </cell>
          <cell r="H91" t="str">
            <v>미제출</v>
          </cell>
          <cell r="I91" t="str">
            <v>개인</v>
          </cell>
          <cell r="J91" t="str">
            <v>장튼위튼병원</v>
          </cell>
          <cell r="L91" t="str">
            <v>검사사용량</v>
          </cell>
          <cell r="M91">
            <v>6559100341</v>
          </cell>
          <cell r="N91" t="str">
            <v>2025-08-11</v>
          </cell>
          <cell r="Q91">
            <v>30</v>
          </cell>
          <cell r="R91">
            <v>222389000</v>
          </cell>
        </row>
        <row r="92">
          <cell r="C92">
            <v>10036016</v>
          </cell>
          <cell r="D92" t="str">
            <v>병원광주2</v>
          </cell>
          <cell r="E92" t="str">
            <v>최송이</v>
          </cell>
          <cell r="F92" t="str">
            <v xml:space="preserve">B+	</v>
          </cell>
          <cell r="G92" t="str">
            <v>B+</v>
          </cell>
          <cell r="H92" t="str">
            <v>미제출</v>
          </cell>
          <cell r="I92" t="str">
            <v>개인</v>
          </cell>
          <cell r="J92" t="str">
            <v>광주시원병원</v>
          </cell>
          <cell r="L92" t="str">
            <v>검사사용량</v>
          </cell>
          <cell r="M92">
            <v>2859000091</v>
          </cell>
          <cell r="N92" t="str">
            <v>2025-08-11</v>
          </cell>
          <cell r="Q92">
            <v>30</v>
          </cell>
          <cell r="R92">
            <v>324592000</v>
          </cell>
        </row>
        <row r="93">
          <cell r="C93">
            <v>10038694</v>
          </cell>
          <cell r="D93" t="str">
            <v>병원광주2</v>
          </cell>
          <cell r="E93" t="str">
            <v>박경환</v>
          </cell>
          <cell r="F93" t="str">
            <v>-</v>
          </cell>
          <cell r="G93" t="str">
            <v>BB</v>
          </cell>
          <cell r="H93" t="str">
            <v>미대상</v>
          </cell>
          <cell r="I93" t="str">
            <v>법인</v>
          </cell>
          <cell r="J93" t="str">
            <v>목포중앙병원</v>
          </cell>
          <cell r="L93" t="str">
            <v>검사사용량</v>
          </cell>
          <cell r="M93">
            <v>4238200140</v>
          </cell>
          <cell r="N93" t="str">
            <v>2025-08-12</v>
          </cell>
          <cell r="Q93">
            <v>264</v>
          </cell>
          <cell r="R93">
            <v>2157032800</v>
          </cell>
        </row>
        <row r="94">
          <cell r="C94">
            <v>10037923</v>
          </cell>
          <cell r="D94" t="str">
            <v>병원광주2</v>
          </cell>
          <cell r="E94" t="str">
            <v>노회원</v>
          </cell>
          <cell r="F94" t="str">
            <v>-</v>
          </cell>
          <cell r="G94" t="str">
            <v>-</v>
          </cell>
          <cell r="H94" t="str">
            <v>미대상</v>
          </cell>
          <cell r="I94" t="str">
            <v>법인</v>
          </cell>
          <cell r="J94" t="str">
            <v>곡성사랑병원</v>
          </cell>
          <cell r="L94" t="str">
            <v>검사사용량</v>
          </cell>
          <cell r="M94">
            <v>4088215362</v>
          </cell>
          <cell r="N94" t="str">
            <v>2025-08-12</v>
          </cell>
          <cell r="Q94">
            <v>30</v>
          </cell>
          <cell r="R94">
            <v>275619500</v>
          </cell>
        </row>
        <row r="95">
          <cell r="C95">
            <v>10036531</v>
          </cell>
          <cell r="D95" t="str">
            <v>병원대전</v>
          </cell>
          <cell r="E95" t="str">
            <v>정지우</v>
          </cell>
          <cell r="F95" t="str">
            <v>-</v>
          </cell>
          <cell r="G95" t="str">
            <v>AAA</v>
          </cell>
          <cell r="H95" t="str">
            <v>미대상</v>
          </cell>
          <cell r="I95" t="str">
            <v>법인</v>
          </cell>
          <cell r="J95" t="str">
            <v>건양대학교 부여병원</v>
          </cell>
          <cell r="L95" t="str">
            <v>검사사용량</v>
          </cell>
          <cell r="M95">
            <v>3088207903</v>
          </cell>
          <cell r="N95" t="str">
            <v>2025-08-12</v>
          </cell>
          <cell r="Q95">
            <v>40</v>
          </cell>
          <cell r="R95">
            <v>283312000</v>
          </cell>
        </row>
        <row r="96">
          <cell r="C96">
            <v>10046731</v>
          </cell>
          <cell r="D96" t="str">
            <v>병원대전</v>
          </cell>
          <cell r="E96" t="str">
            <v>김종현</v>
          </cell>
          <cell r="F96" t="str">
            <v>-</v>
          </cell>
          <cell r="G96" t="str">
            <v>BB-</v>
          </cell>
          <cell r="H96" t="str">
            <v>미대상</v>
          </cell>
          <cell r="I96" t="str">
            <v>법인</v>
          </cell>
          <cell r="J96" t="str">
            <v>의료법인규웅의료재단</v>
          </cell>
          <cell r="L96" t="str">
            <v>검사사용량</v>
          </cell>
          <cell r="M96">
            <v>5058204846</v>
          </cell>
          <cell r="N96" t="str">
            <v>2025-08-13</v>
          </cell>
          <cell r="Q96">
            <v>120</v>
          </cell>
          <cell r="R96">
            <v>844480000</v>
          </cell>
        </row>
        <row r="97">
          <cell r="C97">
            <v>10040724</v>
          </cell>
          <cell r="D97" t="str">
            <v>병원부산2</v>
          </cell>
          <cell r="E97" t="str">
            <v>구민수</v>
          </cell>
          <cell r="F97" t="str">
            <v>-</v>
          </cell>
          <cell r="G97" t="str">
            <v>-</v>
          </cell>
          <cell r="H97" t="str">
            <v>미대상</v>
          </cell>
          <cell r="I97" t="str">
            <v>법인</v>
          </cell>
          <cell r="J97" t="str">
            <v>부산부민병원</v>
          </cell>
          <cell r="L97" t="str">
            <v>검사사용량</v>
          </cell>
          <cell r="M97" t="str">
            <v>6068211790_계약파기</v>
          </cell>
          <cell r="N97" t="str">
            <v>2025-08-19</v>
          </cell>
          <cell r="Q97">
            <v>70</v>
          </cell>
          <cell r="R97">
            <v>467995000</v>
          </cell>
        </row>
        <row r="98">
          <cell r="C98">
            <v>10037680</v>
          </cell>
          <cell r="D98" t="str">
            <v>병원전주</v>
          </cell>
          <cell r="E98" t="str">
            <v>전창규</v>
          </cell>
          <cell r="F98" t="str">
            <v>-</v>
          </cell>
          <cell r="G98" t="str">
            <v>BBB-</v>
          </cell>
          <cell r="H98" t="str">
            <v>미대상</v>
          </cell>
          <cell r="I98" t="str">
            <v>법인</v>
          </cell>
          <cell r="J98" t="str">
            <v>원광대학교병원</v>
          </cell>
          <cell r="L98" t="str">
            <v>검사사용량</v>
          </cell>
          <cell r="M98">
            <v>4038202289</v>
          </cell>
          <cell r="N98" t="str">
            <v>2025-08-20</v>
          </cell>
          <cell r="Q98">
            <v>255</v>
          </cell>
          <cell r="R98">
            <v>1553171000</v>
          </cell>
        </row>
        <row r="99">
          <cell r="C99">
            <v>10040095</v>
          </cell>
          <cell r="D99" t="str">
            <v>병원대구2</v>
          </cell>
          <cell r="E99" t="str">
            <v>이지홍</v>
          </cell>
          <cell r="F99" t="str">
            <v>-</v>
          </cell>
          <cell r="G99" t="str">
            <v>BBB</v>
          </cell>
          <cell r="H99" t="str">
            <v>미제출</v>
          </cell>
          <cell r="I99" t="str">
            <v>개인</v>
          </cell>
          <cell r="J99" t="str">
            <v>새천년병원</v>
          </cell>
          <cell r="L99" t="str">
            <v>검사사용량</v>
          </cell>
          <cell r="M99">
            <v>6109097133</v>
          </cell>
          <cell r="N99" t="str">
            <v>2025-08-22</v>
          </cell>
          <cell r="Q99">
            <v>40</v>
          </cell>
          <cell r="R99">
            <v>255917000</v>
          </cell>
        </row>
        <row r="100">
          <cell r="C100">
            <v>10031447</v>
          </cell>
          <cell r="D100" t="str">
            <v>병원서울3</v>
          </cell>
          <cell r="E100" t="str">
            <v>노성우</v>
          </cell>
          <cell r="F100" t="str">
            <v xml:space="preserve">BBB-	</v>
          </cell>
          <cell r="G100" t="str">
            <v>BBB-</v>
          </cell>
          <cell r="H100" t="str">
            <v>미제출</v>
          </cell>
          <cell r="I100" t="str">
            <v>개인</v>
          </cell>
          <cell r="J100" t="str">
            <v>신촌연세병원</v>
          </cell>
          <cell r="L100" t="str">
            <v>검사사용량</v>
          </cell>
          <cell r="M100">
            <v>1059028677</v>
          </cell>
          <cell r="N100" t="str">
            <v>2025-08-22</v>
          </cell>
          <cell r="Q100">
            <v>72</v>
          </cell>
          <cell r="R100">
            <v>654495400</v>
          </cell>
        </row>
        <row r="101">
          <cell r="C101">
            <v>10035968</v>
          </cell>
          <cell r="D101" t="str">
            <v>병원청주</v>
          </cell>
          <cell r="E101" t="str">
            <v>차재형</v>
          </cell>
          <cell r="F101" t="str">
            <v>-</v>
          </cell>
          <cell r="G101" t="str">
            <v>AA-</v>
          </cell>
          <cell r="H101" t="str">
            <v>미대상</v>
          </cell>
          <cell r="I101" t="str">
            <v>법인</v>
          </cell>
          <cell r="J101" t="str">
            <v>아산충무병원</v>
          </cell>
          <cell r="L101" t="str">
            <v>검사사용량</v>
          </cell>
          <cell r="M101">
            <v>2738200017</v>
          </cell>
          <cell r="N101" t="str">
            <v>2025-08-26</v>
          </cell>
          <cell r="Q101">
            <v>274</v>
          </cell>
          <cell r="R101">
            <v>1643451000</v>
          </cell>
        </row>
        <row r="102">
          <cell r="C102">
            <v>10047292</v>
          </cell>
          <cell r="D102" t="str">
            <v>병원경남1</v>
          </cell>
          <cell r="E102" t="str">
            <v>윤성현</v>
          </cell>
          <cell r="F102" t="str">
            <v>BB</v>
          </cell>
          <cell r="G102" t="str">
            <v>BB</v>
          </cell>
          <cell r="H102" t="str">
            <v>미대상</v>
          </cell>
          <cell r="I102" t="str">
            <v>법인</v>
          </cell>
          <cell r="J102" t="str">
            <v>김해복음병원</v>
          </cell>
          <cell r="L102" t="str">
            <v>검사사용량</v>
          </cell>
          <cell r="M102">
            <v>6398200177</v>
          </cell>
          <cell r="N102" t="str">
            <v>2025-08-28</v>
          </cell>
          <cell r="Q102">
            <v>200</v>
          </cell>
          <cell r="R102">
            <v>1705382900</v>
          </cell>
        </row>
        <row r="103">
          <cell r="C103">
            <v>10033886</v>
          </cell>
          <cell r="D103" t="str">
            <v>병원경인</v>
          </cell>
          <cell r="E103" t="str">
            <v>이효준</v>
          </cell>
          <cell r="F103" t="str">
            <v>BBB-</v>
          </cell>
          <cell r="G103" t="str">
            <v>A+</v>
          </cell>
          <cell r="H103" t="str">
            <v>미대상</v>
          </cell>
          <cell r="I103" t="str">
            <v>법인</v>
          </cell>
          <cell r="J103" t="str">
            <v>김포우리병원</v>
          </cell>
          <cell r="L103" t="str">
            <v>검사사용량</v>
          </cell>
          <cell r="M103">
            <v>1378208431</v>
          </cell>
          <cell r="N103" t="str">
            <v>2025-08-28</v>
          </cell>
          <cell r="Q103">
            <v>241</v>
          </cell>
          <cell r="R103">
            <v>1192270000</v>
          </cell>
        </row>
        <row r="104">
          <cell r="C104">
            <v>10046570</v>
          </cell>
          <cell r="D104" t="str">
            <v>병원강원</v>
          </cell>
          <cell r="E104" t="str">
            <v>김한구</v>
          </cell>
          <cell r="F104" t="str">
            <v>A</v>
          </cell>
          <cell r="G104" t="str">
            <v>A</v>
          </cell>
          <cell r="H104" t="str">
            <v>미대상</v>
          </cell>
          <cell r="I104" t="str">
            <v>법인</v>
          </cell>
          <cell r="J104" t="str">
            <v>원주성지병원</v>
          </cell>
          <cell r="L104" t="str">
            <v>검사사용량</v>
          </cell>
          <cell r="M104">
            <v>2248207089</v>
          </cell>
          <cell r="N104" t="str">
            <v>2025-09-02</v>
          </cell>
          <cell r="Q104">
            <v>130</v>
          </cell>
          <cell r="R104">
            <v>884442000</v>
          </cell>
        </row>
        <row r="105">
          <cell r="C105">
            <v>10047340</v>
          </cell>
          <cell r="D105" t="str">
            <v>병원경남2</v>
          </cell>
          <cell r="E105" t="str">
            <v>권수상</v>
          </cell>
          <cell r="F105" t="str">
            <v xml:space="preserve">BB	</v>
          </cell>
          <cell r="G105" t="str">
            <v>BB</v>
          </cell>
          <cell r="H105" t="str">
            <v>미대상</v>
          </cell>
          <cell r="I105" t="str">
            <v>법인</v>
          </cell>
          <cell r="J105" t="str">
            <v>의료법인 시영의료재단 영동병원</v>
          </cell>
          <cell r="L105" t="str">
            <v>구축형</v>
          </cell>
          <cell r="M105">
            <v>6088216068</v>
          </cell>
          <cell r="N105" t="str">
            <v>2025-09-03</v>
          </cell>
          <cell r="Q105">
            <v>40</v>
          </cell>
          <cell r="R105">
            <v>259531000</v>
          </cell>
        </row>
        <row r="106">
          <cell r="C106">
            <v>10040639</v>
          </cell>
          <cell r="D106" t="str">
            <v>병원부산2</v>
          </cell>
          <cell r="E106" t="str">
            <v>김두환</v>
          </cell>
          <cell r="F106" t="str">
            <v>-</v>
          </cell>
          <cell r="G106" t="str">
            <v>BB+</v>
          </cell>
          <cell r="H106" t="str">
            <v>미대상</v>
          </cell>
          <cell r="I106" t="str">
            <v>법인</v>
          </cell>
          <cell r="J106" t="str">
            <v>동의병원</v>
          </cell>
          <cell r="L106" t="str">
            <v>검사사용량</v>
          </cell>
          <cell r="M106">
            <v>6058204243</v>
          </cell>
          <cell r="N106" t="str">
            <v>2025-09-05</v>
          </cell>
          <cell r="Q106">
            <v>300</v>
          </cell>
          <cell r="R106">
            <v>2143890000</v>
          </cell>
        </row>
        <row r="107">
          <cell r="C107">
            <v>10037788</v>
          </cell>
          <cell r="D107" t="str">
            <v>병원전주</v>
          </cell>
          <cell r="E107" t="str">
            <v>전창규</v>
          </cell>
          <cell r="F107" t="str">
            <v xml:space="preserve">BB+	</v>
          </cell>
          <cell r="G107" t="str">
            <v>BB+</v>
          </cell>
          <cell r="H107" t="str">
            <v>미제출</v>
          </cell>
          <cell r="I107" t="str">
            <v>개인</v>
          </cell>
          <cell r="J107" t="str">
            <v>부안성모병원</v>
          </cell>
          <cell r="L107" t="str">
            <v>분납형</v>
          </cell>
          <cell r="M107">
            <v>4059009702</v>
          </cell>
          <cell r="N107" t="str">
            <v>2025-09-08</v>
          </cell>
          <cell r="Q107">
            <v>44</v>
          </cell>
          <cell r="R107">
            <v>209165000</v>
          </cell>
        </row>
        <row r="108">
          <cell r="C108">
            <v>10035113</v>
          </cell>
          <cell r="D108" t="str">
            <v>병원남부2</v>
          </cell>
          <cell r="E108" t="str">
            <v>송우솔</v>
          </cell>
          <cell r="F108" t="str">
            <v>-</v>
          </cell>
          <cell r="G108" t="str">
            <v>-</v>
          </cell>
          <cell r="H108" t="str">
            <v>미대상</v>
          </cell>
          <cell r="I108" t="str">
            <v>법인</v>
          </cell>
          <cell r="J108" t="str">
            <v>삼성서울병원</v>
          </cell>
          <cell r="L108" t="str">
            <v>구축형</v>
          </cell>
          <cell r="M108">
            <v>2138205096</v>
          </cell>
          <cell r="N108" t="str">
            <v>2025-09-10</v>
          </cell>
          <cell r="Q108">
            <v>2</v>
          </cell>
          <cell r="R108">
            <v>14435000</v>
          </cell>
        </row>
        <row r="109">
          <cell r="C109">
            <v>10038017</v>
          </cell>
          <cell r="D109" t="str">
            <v>병원광주2</v>
          </cell>
          <cell r="E109" t="str">
            <v>최송이</v>
          </cell>
          <cell r="F109" t="str">
            <v>-</v>
          </cell>
          <cell r="G109" t="str">
            <v>-</v>
          </cell>
          <cell r="H109" t="str">
            <v>미제출</v>
          </cell>
          <cell r="I109" t="str">
            <v>개인</v>
          </cell>
          <cell r="J109" t="str">
            <v>담양사랑병원</v>
          </cell>
          <cell r="L109" t="str">
            <v>검사사용량</v>
          </cell>
          <cell r="M109">
            <v>4092539331</v>
          </cell>
          <cell r="N109" t="str">
            <v>2025-09-10</v>
          </cell>
          <cell r="Q109">
            <v>35</v>
          </cell>
          <cell r="R109">
            <v>376948000</v>
          </cell>
        </row>
        <row r="110">
          <cell r="C110">
            <v>10038249</v>
          </cell>
          <cell r="D110" t="str">
            <v>병원광주2</v>
          </cell>
          <cell r="E110" t="str">
            <v>최송이</v>
          </cell>
          <cell r="F110" t="str">
            <v>-</v>
          </cell>
          <cell r="G110" t="str">
            <v>BBB-</v>
          </cell>
          <cell r="H110" t="str">
            <v>미제출</v>
          </cell>
          <cell r="I110" t="str">
            <v>개인</v>
          </cell>
          <cell r="J110" t="str">
            <v>광주한국병원</v>
          </cell>
          <cell r="L110" t="str">
            <v>검사사용량</v>
          </cell>
          <cell r="M110">
            <v>4109207035</v>
          </cell>
          <cell r="N110" t="str">
            <v>2025-09-11</v>
          </cell>
          <cell r="Q110">
            <v>115</v>
          </cell>
          <cell r="R110">
            <v>1096462900</v>
          </cell>
        </row>
        <row r="111">
          <cell r="C111">
            <v>10002829</v>
          </cell>
          <cell r="D111" t="str">
            <v>병원광주2</v>
          </cell>
          <cell r="E111" t="str">
            <v>최송이</v>
          </cell>
          <cell r="F111" t="str">
            <v>-</v>
          </cell>
          <cell r="G111" t="str">
            <v>-</v>
          </cell>
          <cell r="H111" t="str">
            <v>미제출</v>
          </cell>
          <cell r="I111" t="str">
            <v>개인</v>
          </cell>
          <cell r="J111" t="str">
            <v>운암한국병원</v>
          </cell>
          <cell r="L111" t="str">
            <v>검사사용량</v>
          </cell>
          <cell r="M111" t="str">
            <v>4099164290_계약파기</v>
          </cell>
          <cell r="N111" t="str">
            <v>2025-09-11</v>
          </cell>
          <cell r="Q111">
            <v>207</v>
          </cell>
          <cell r="R111">
            <v>1553158100</v>
          </cell>
        </row>
        <row r="112">
          <cell r="C112">
            <v>10038513</v>
          </cell>
          <cell r="D112" t="str">
            <v>병원광주1</v>
          </cell>
          <cell r="E112" t="str">
            <v>이용선</v>
          </cell>
          <cell r="F112" t="str">
            <v>-</v>
          </cell>
          <cell r="G112" t="str">
            <v>BB</v>
          </cell>
          <cell r="H112" t="str">
            <v>미대상</v>
          </cell>
          <cell r="I112" t="str">
            <v>법인</v>
          </cell>
          <cell r="J112" t="str">
            <v>녹동현대병원</v>
          </cell>
          <cell r="L112" t="str">
            <v>검사사용량</v>
          </cell>
          <cell r="M112">
            <v>4168211504</v>
          </cell>
          <cell r="N112" t="str">
            <v>2025-09-12</v>
          </cell>
          <cell r="Q112">
            <v>100</v>
          </cell>
          <cell r="R112">
            <v>659977000</v>
          </cell>
        </row>
        <row r="113">
          <cell r="C113">
            <v>10014151</v>
          </cell>
          <cell r="D113" t="str">
            <v>병원동부</v>
          </cell>
          <cell r="E113" t="str">
            <v>이철민</v>
          </cell>
          <cell r="F113" t="str">
            <v>-</v>
          </cell>
          <cell r="G113" t="str">
            <v>BBB</v>
          </cell>
          <cell r="H113" t="str">
            <v>미대상</v>
          </cell>
          <cell r="I113" t="str">
            <v>법인</v>
          </cell>
          <cell r="J113" t="str">
            <v>의료법인한양의료재단 남양주한양병원</v>
          </cell>
          <cell r="K113" t="str">
            <v>갱신1</v>
          </cell>
          <cell r="L113" t="str">
            <v>검사사용량</v>
          </cell>
          <cell r="M113">
            <v>1328207422</v>
          </cell>
          <cell r="N113" t="str">
            <v>2025-09-16</v>
          </cell>
          <cell r="Q113">
            <v>120</v>
          </cell>
          <cell r="R113">
            <v>799998000</v>
          </cell>
        </row>
        <row r="114">
          <cell r="C114">
            <v>10061981</v>
          </cell>
          <cell r="D114" t="str">
            <v>대전2</v>
          </cell>
          <cell r="E114" t="str">
            <v>권동후</v>
          </cell>
          <cell r="F114" t="str">
            <v>-</v>
          </cell>
          <cell r="G114" t="str">
            <v>BBB+</v>
          </cell>
          <cell r="H114" t="str">
            <v>미제출</v>
          </cell>
          <cell r="I114" t="str">
            <v>개인</v>
          </cell>
          <cell r="J114" t="str">
            <v>새손병원</v>
          </cell>
          <cell r="L114" t="str">
            <v>검사사용량</v>
          </cell>
          <cell r="M114">
            <v>3052995077</v>
          </cell>
          <cell r="N114" t="str">
            <v>2025-09-16</v>
          </cell>
          <cell r="Q114">
            <v>50</v>
          </cell>
          <cell r="R114">
            <v>513910800</v>
          </cell>
        </row>
        <row r="115">
          <cell r="C115">
            <v>10008739</v>
          </cell>
          <cell r="D115" t="str">
            <v>병원남부1</v>
          </cell>
          <cell r="E115" t="str">
            <v>임효섭</v>
          </cell>
          <cell r="F115" t="str">
            <v>BB</v>
          </cell>
          <cell r="G115" t="str">
            <v>BB+</v>
          </cell>
          <cell r="H115" t="str">
            <v>미제출</v>
          </cell>
          <cell r="I115" t="str">
            <v>개인</v>
          </cell>
          <cell r="J115" t="str">
            <v>씨엠병원</v>
          </cell>
          <cell r="L115" t="str">
            <v>검사사용량</v>
          </cell>
          <cell r="M115">
            <v>1079060770</v>
          </cell>
          <cell r="N115" t="str">
            <v>2025-09-22</v>
          </cell>
          <cell r="Q115">
            <v>105</v>
          </cell>
          <cell r="R115">
            <v>663274000</v>
          </cell>
        </row>
        <row r="116">
          <cell r="C116">
            <v>10014653</v>
          </cell>
          <cell r="D116" t="str">
            <v>병원강원</v>
          </cell>
          <cell r="E116" t="str">
            <v>조현일</v>
          </cell>
          <cell r="F116" t="str">
            <v>-</v>
          </cell>
          <cell r="G116" t="str">
            <v>B+</v>
          </cell>
          <cell r="H116" t="str">
            <v>미제출</v>
          </cell>
          <cell r="I116" t="str">
            <v>개인</v>
          </cell>
          <cell r="J116" t="str">
            <v>원주센텀병원</v>
          </cell>
          <cell r="L116" t="str">
            <v>검사사용량</v>
          </cell>
          <cell r="M116">
            <v>1139456769</v>
          </cell>
          <cell r="N116" t="str">
            <v>2025-09-22</v>
          </cell>
          <cell r="Q116">
            <v>30</v>
          </cell>
          <cell r="R116">
            <v>314199000</v>
          </cell>
        </row>
        <row r="117">
          <cell r="C117">
            <v>10034115</v>
          </cell>
          <cell r="D117" t="str">
            <v>병원경기1</v>
          </cell>
          <cell r="E117" t="str">
            <v>정종양</v>
          </cell>
          <cell r="F117" t="str">
            <v xml:space="preserve">BBB-	</v>
          </cell>
          <cell r="G117" t="str">
            <v>AA+</v>
          </cell>
          <cell r="H117" t="str">
            <v>미대상</v>
          </cell>
          <cell r="I117" t="str">
            <v>법인</v>
          </cell>
          <cell r="J117" t="str">
            <v>의료법인 영문의료재단 다보스병원</v>
          </cell>
          <cell r="L117" t="str">
            <v>구독형</v>
          </cell>
          <cell r="M117">
            <v>1428200955</v>
          </cell>
          <cell r="N117" t="str">
            <v>2025-09-23</v>
          </cell>
          <cell r="Q117">
            <v>60</v>
          </cell>
          <cell r="R117">
            <v>420564000</v>
          </cell>
        </row>
        <row r="118">
          <cell r="C118">
            <v>10038259</v>
          </cell>
          <cell r="D118" t="str">
            <v>병원광주2</v>
          </cell>
          <cell r="E118" t="str">
            <v>주병옥</v>
          </cell>
          <cell r="F118" t="str">
            <v>-</v>
          </cell>
          <cell r="G118" t="str">
            <v>BB</v>
          </cell>
          <cell r="H118" t="str">
            <v>미제출</v>
          </cell>
          <cell r="I118" t="str">
            <v>개인</v>
          </cell>
          <cell r="J118" t="str">
            <v>동아병원</v>
          </cell>
          <cell r="L118" t="str">
            <v>검사사용량</v>
          </cell>
          <cell r="M118">
            <v>4109607163</v>
          </cell>
          <cell r="N118" t="str">
            <v>2025-09-23</v>
          </cell>
          <cell r="Q118">
            <v>39</v>
          </cell>
          <cell r="R118">
            <v>451980100</v>
          </cell>
        </row>
        <row r="119">
          <cell r="C119">
            <v>10041141</v>
          </cell>
          <cell r="D119" t="str">
            <v>병원부산2</v>
          </cell>
          <cell r="E119" t="str">
            <v>전경진</v>
          </cell>
          <cell r="F119" t="str">
            <v>A</v>
          </cell>
          <cell r="G119" t="str">
            <v>A-</v>
          </cell>
          <cell r="H119" t="str">
            <v>미대상</v>
          </cell>
          <cell r="I119" t="str">
            <v>법인</v>
          </cell>
          <cell r="J119" t="str">
            <v>의료법인혜명심의료재단(울산병원)</v>
          </cell>
          <cell r="L119" t="str">
            <v>검사사용량</v>
          </cell>
          <cell r="M119">
            <v>6108205190</v>
          </cell>
          <cell r="N119" t="str">
            <v>2025-09-23</v>
          </cell>
          <cell r="O119" t="str">
            <v>-</v>
          </cell>
          <cell r="Q119">
            <v>112</v>
          </cell>
          <cell r="R119">
            <v>916905600</v>
          </cell>
        </row>
        <row r="120">
          <cell r="C120">
            <v>10041259</v>
          </cell>
          <cell r="D120" t="str">
            <v>병원경남1</v>
          </cell>
          <cell r="E120" t="str">
            <v>박준수</v>
          </cell>
          <cell r="F120" t="str">
            <v>-</v>
          </cell>
          <cell r="G120" t="str">
            <v>-</v>
          </cell>
          <cell r="H120" t="str">
            <v>미제출</v>
          </cell>
          <cell r="I120" t="str">
            <v>개인</v>
          </cell>
          <cell r="J120" t="str">
            <v>새통영병원</v>
          </cell>
          <cell r="L120" t="str">
            <v>검사사용량</v>
          </cell>
          <cell r="M120" t="str">
            <v>6129235248_계약파기</v>
          </cell>
          <cell r="N120" t="str">
            <v>2025-09-24</v>
          </cell>
          <cell r="Q120">
            <v>104</v>
          </cell>
          <cell r="R120">
            <v>803438000</v>
          </cell>
        </row>
        <row r="121">
          <cell r="C121">
            <v>10040990</v>
          </cell>
          <cell r="D121" t="str">
            <v>병원경남1</v>
          </cell>
          <cell r="E121" t="str">
            <v>정성훈</v>
          </cell>
          <cell r="F121" t="str">
            <v>-</v>
          </cell>
          <cell r="G121" t="str">
            <v>BB</v>
          </cell>
          <cell r="H121" t="str">
            <v>미제출</v>
          </cell>
          <cell r="I121" t="str">
            <v>개인</v>
          </cell>
          <cell r="J121" t="str">
            <v>연세에스병원</v>
          </cell>
          <cell r="L121" t="str">
            <v>검사사용량</v>
          </cell>
          <cell r="M121">
            <v>6091320031</v>
          </cell>
          <cell r="N121" t="str">
            <v>2025-09-24</v>
          </cell>
          <cell r="Q121">
            <v>40</v>
          </cell>
          <cell r="R121">
            <v>354883100</v>
          </cell>
        </row>
        <row r="122">
          <cell r="C122">
            <v>10021890</v>
          </cell>
          <cell r="D122" t="str">
            <v>병원중부1</v>
          </cell>
          <cell r="E122" t="str">
            <v>이기범</v>
          </cell>
          <cell r="F122" t="str">
            <v>BB</v>
          </cell>
          <cell r="G122" t="str">
            <v>BB</v>
          </cell>
          <cell r="H122" t="str">
            <v>미대상</v>
          </cell>
          <cell r="I122" t="str">
            <v>법인</v>
          </cell>
          <cell r="J122" t="str">
            <v>강영의료재단 문산중앙병원</v>
          </cell>
          <cell r="K122" t="str">
            <v>추가2</v>
          </cell>
          <cell r="L122" t="str">
            <v>검사사용량</v>
          </cell>
          <cell r="M122">
            <v>1418202789</v>
          </cell>
          <cell r="N122" t="str">
            <v>2025-09-29</v>
          </cell>
          <cell r="O122" t="str">
            <v>2025-09-29</v>
          </cell>
          <cell r="Q122">
            <v>48</v>
          </cell>
          <cell r="R122">
            <v>489469500</v>
          </cell>
        </row>
        <row r="123">
          <cell r="C123">
            <v>10031830</v>
          </cell>
          <cell r="D123" t="str">
            <v>병원동부</v>
          </cell>
          <cell r="E123" t="str">
            <v>김형섭</v>
          </cell>
          <cell r="F123" t="str">
            <v>-</v>
          </cell>
          <cell r="G123" t="str">
            <v>BB+</v>
          </cell>
          <cell r="H123" t="str">
            <v>미대상</v>
          </cell>
          <cell r="I123" t="str">
            <v>법인</v>
          </cell>
          <cell r="J123" t="str">
            <v>의료법인 청구성심병원</v>
          </cell>
          <cell r="L123" t="str">
            <v>검사사용량</v>
          </cell>
          <cell r="M123">
            <v>1118202809</v>
          </cell>
          <cell r="N123" t="str">
            <v>2025-09-30</v>
          </cell>
          <cell r="Q123">
            <v>196</v>
          </cell>
          <cell r="R123">
            <v>1560011700</v>
          </cell>
        </row>
        <row r="124">
          <cell r="C124">
            <v>10041441</v>
          </cell>
          <cell r="D124" t="str">
            <v>병원경남1</v>
          </cell>
          <cell r="E124" t="str">
            <v>심봉진</v>
          </cell>
          <cell r="F124" t="str">
            <v>-</v>
          </cell>
          <cell r="G124" t="str">
            <v>BB-</v>
          </cell>
          <cell r="H124" t="str">
            <v>미제출</v>
          </cell>
          <cell r="I124" t="str">
            <v>개인</v>
          </cell>
          <cell r="J124" t="str">
            <v>김해굿모닝병원</v>
          </cell>
          <cell r="L124" t="str">
            <v>검사사용량</v>
          </cell>
          <cell r="M124">
            <v>6159083712</v>
          </cell>
          <cell r="N124" t="str">
            <v>2025-09-30</v>
          </cell>
          <cell r="Q124">
            <v>60</v>
          </cell>
          <cell r="R124">
            <v>567790600</v>
          </cell>
        </row>
        <row r="125">
          <cell r="C125">
            <v>10014574</v>
          </cell>
          <cell r="D125" t="str">
            <v>병원대구2</v>
          </cell>
          <cell r="E125" t="str">
            <v>기동아</v>
          </cell>
          <cell r="F125" t="str">
            <v>-</v>
          </cell>
          <cell r="G125" t="str">
            <v>BB+</v>
          </cell>
          <cell r="H125" t="str">
            <v>미제출</v>
          </cell>
          <cell r="I125" t="str">
            <v>개인</v>
          </cell>
          <cell r="J125" t="str">
            <v>에스포항병원</v>
          </cell>
          <cell r="L125" t="str">
            <v>검사사용량</v>
          </cell>
          <cell r="M125">
            <v>5061723853</v>
          </cell>
          <cell r="N125" t="str">
            <v>2025-09-30</v>
          </cell>
          <cell r="Q125">
            <v>120</v>
          </cell>
          <cell r="R125">
            <v>961958000</v>
          </cell>
        </row>
        <row r="126">
          <cell r="C126">
            <v>10046527</v>
          </cell>
          <cell r="D126" t="str">
            <v>병원경인</v>
          </cell>
          <cell r="E126" t="str">
            <v>김문식</v>
          </cell>
          <cell r="F126" t="str">
            <v xml:space="preserve">BB+	</v>
          </cell>
          <cell r="G126" t="str">
            <v>BB+</v>
          </cell>
          <cell r="H126" t="str">
            <v>미대상</v>
          </cell>
          <cell r="I126" t="str">
            <v>법인</v>
          </cell>
          <cell r="J126" t="str">
            <v>의료법인성수의료재단 비에스종합병원</v>
          </cell>
          <cell r="K126" t="str">
            <v>추가1</v>
          </cell>
          <cell r="L126" t="str">
            <v>구독형</v>
          </cell>
          <cell r="M126">
            <v>2818200245</v>
          </cell>
          <cell r="N126" t="str">
            <v>2025-10-01</v>
          </cell>
          <cell r="Q126">
            <v>40</v>
          </cell>
          <cell r="R126">
            <v>219832000</v>
          </cell>
        </row>
        <row r="127">
          <cell r="C127">
            <v>10038000</v>
          </cell>
          <cell r="D127" t="str">
            <v>병원광주1</v>
          </cell>
          <cell r="E127" t="str">
            <v>김정란</v>
          </cell>
          <cell r="F127" t="str">
            <v xml:space="preserve">BBB-	</v>
          </cell>
          <cell r="G127" t="str">
            <v>BBB-</v>
          </cell>
          <cell r="H127" t="str">
            <v>미제출</v>
          </cell>
          <cell r="I127" t="str">
            <v>개인</v>
          </cell>
          <cell r="J127" t="str">
            <v>광주현대병원</v>
          </cell>
          <cell r="L127" t="str">
            <v>구축형</v>
          </cell>
          <cell r="M127">
            <v>4092331145</v>
          </cell>
          <cell r="N127" t="str">
            <v>2025-10-13</v>
          </cell>
          <cell r="Q127">
            <v>30</v>
          </cell>
          <cell r="R127">
            <v>378150000</v>
          </cell>
        </row>
        <row r="128">
          <cell r="C128">
            <v>10003837</v>
          </cell>
          <cell r="D128" t="str">
            <v>병원부산2</v>
          </cell>
          <cell r="E128" t="str">
            <v>임지훈</v>
          </cell>
          <cell r="F128" t="str">
            <v>B+</v>
          </cell>
          <cell r="G128" t="str">
            <v>CCC</v>
          </cell>
          <cell r="H128" t="str">
            <v>미제출</v>
          </cell>
          <cell r="I128" t="str">
            <v>개인</v>
          </cell>
          <cell r="J128" t="str">
            <v>빌리브세웅병원</v>
          </cell>
          <cell r="K128" t="str">
            <v>추가2</v>
          </cell>
          <cell r="L128" t="str">
            <v>검사사용량</v>
          </cell>
          <cell r="M128">
            <v>6173188429</v>
          </cell>
          <cell r="N128" t="str">
            <v>2025-10-13</v>
          </cell>
          <cell r="O128" t="str">
            <v>2025-10-13</v>
          </cell>
          <cell r="Q128">
            <v>100</v>
          </cell>
          <cell r="R128">
            <v>505204000</v>
          </cell>
        </row>
        <row r="129">
          <cell r="C129">
            <v>10038148</v>
          </cell>
          <cell r="D129" t="str">
            <v>병원광주1</v>
          </cell>
          <cell r="E129" t="str">
            <v>황원주</v>
          </cell>
          <cell r="F129" t="str">
            <v>-</v>
          </cell>
          <cell r="G129" t="str">
            <v>BB+</v>
          </cell>
          <cell r="H129" t="str">
            <v>미제출</v>
          </cell>
          <cell r="I129" t="str">
            <v>개인</v>
          </cell>
          <cell r="J129" t="str">
            <v>KS병원</v>
          </cell>
          <cell r="L129" t="str">
            <v>검사사용량</v>
          </cell>
          <cell r="M129">
            <v>4102672846</v>
          </cell>
          <cell r="N129" t="str">
            <v>2025-10-17</v>
          </cell>
          <cell r="Q129">
            <v>30</v>
          </cell>
          <cell r="R129">
            <v>249237000</v>
          </cell>
        </row>
        <row r="130">
          <cell r="C130">
            <v>10006915</v>
          </cell>
          <cell r="D130" t="str">
            <v>병원서울3</v>
          </cell>
          <cell r="E130" t="str">
            <v>왕유찬</v>
          </cell>
          <cell r="F130" t="str">
            <v xml:space="preserve">BB+	</v>
          </cell>
          <cell r="G130" t="str">
            <v>BBB-</v>
          </cell>
          <cell r="H130" t="str">
            <v>미제출</v>
          </cell>
          <cell r="I130" t="str">
            <v>개인</v>
          </cell>
          <cell r="J130" t="str">
            <v>해븐리병원</v>
          </cell>
          <cell r="L130" t="str">
            <v>검사사용량</v>
          </cell>
          <cell r="M130">
            <v>1289239661</v>
          </cell>
          <cell r="N130" t="str">
            <v>2025-10-23</v>
          </cell>
          <cell r="Q130">
            <v>117</v>
          </cell>
          <cell r="R130">
            <v>1054308548</v>
          </cell>
        </row>
        <row r="131">
          <cell r="C131">
            <v>10066681</v>
          </cell>
          <cell r="D131" t="str">
            <v>병원광주1</v>
          </cell>
          <cell r="E131" t="str">
            <v>이용선</v>
          </cell>
          <cell r="F131" t="str">
            <v>-</v>
          </cell>
          <cell r="G131" t="str">
            <v>-</v>
          </cell>
          <cell r="H131" t="str">
            <v>미제출</v>
          </cell>
          <cell r="I131" t="str">
            <v>개인</v>
          </cell>
          <cell r="J131" t="str">
            <v>빛가람종합병원</v>
          </cell>
          <cell r="L131" t="str">
            <v>검사사용량</v>
          </cell>
          <cell r="M131" t="str">
            <v>3069899368_계약파기</v>
          </cell>
          <cell r="N131" t="str">
            <v>2025-10-27</v>
          </cell>
          <cell r="Q131">
            <v>80</v>
          </cell>
          <cell r="R131">
            <v>523988500</v>
          </cell>
        </row>
        <row r="132">
          <cell r="C132">
            <v>10086279</v>
          </cell>
          <cell r="D132" t="str">
            <v>병원대구1</v>
          </cell>
          <cell r="E132" t="str">
            <v>오성훈</v>
          </cell>
          <cell r="F132" t="str">
            <v>BB0</v>
          </cell>
          <cell r="G132" t="str">
            <v>-</v>
          </cell>
          <cell r="H132" t="str">
            <v>미제출</v>
          </cell>
          <cell r="I132" t="str">
            <v>개인</v>
          </cell>
          <cell r="J132" t="str">
            <v>더퍼스트병원</v>
          </cell>
          <cell r="L132" t="str">
            <v>검사사용량</v>
          </cell>
          <cell r="M132" t="str">
            <v>8039501646_계약파기</v>
          </cell>
          <cell r="N132" t="str">
            <v>2025-10-27</v>
          </cell>
          <cell r="Q132">
            <v>30</v>
          </cell>
          <cell r="R132">
            <v>338927437</v>
          </cell>
        </row>
        <row r="133">
          <cell r="C133">
            <v>10103688</v>
          </cell>
          <cell r="D133" t="str">
            <v>병원부산3</v>
          </cell>
          <cell r="E133" t="str">
            <v>박규태</v>
          </cell>
          <cell r="F133" t="str">
            <v>-</v>
          </cell>
          <cell r="G133" t="str">
            <v>B</v>
          </cell>
          <cell r="H133" t="str">
            <v>미제출</v>
          </cell>
          <cell r="I133" t="str">
            <v>개인</v>
          </cell>
          <cell r="J133" t="str">
            <v>한빛병원</v>
          </cell>
          <cell r="L133" t="str">
            <v>검사사용량</v>
          </cell>
          <cell r="M133">
            <v>3639300316</v>
          </cell>
          <cell r="N133" t="str">
            <v>2025-10-29</v>
          </cell>
          <cell r="Q133">
            <v>99</v>
          </cell>
          <cell r="R133">
            <v>739474300</v>
          </cell>
        </row>
        <row r="134">
          <cell r="C134">
            <v>10006513</v>
          </cell>
          <cell r="D134" t="str">
            <v>병원중부1</v>
          </cell>
          <cell r="E134" t="str">
            <v>배중환</v>
          </cell>
          <cell r="F134" t="str">
            <v>-</v>
          </cell>
          <cell r="G134" t="str">
            <v xml:space="preserve">BBB-
</v>
          </cell>
          <cell r="H134" t="str">
            <v>미대상</v>
          </cell>
          <cell r="I134" t="str">
            <v>법인</v>
          </cell>
          <cell r="J134" t="str">
            <v>서울대학교병원</v>
          </cell>
          <cell r="L134" t="str">
            <v>검사사용량</v>
          </cell>
          <cell r="M134">
            <v>2088201633</v>
          </cell>
          <cell r="N134" t="str">
            <v>2025-10-29</v>
          </cell>
          <cell r="Q134">
            <v>30</v>
          </cell>
          <cell r="R134">
            <v>198000000</v>
          </cell>
        </row>
        <row r="135">
          <cell r="C135">
            <v>10053087</v>
          </cell>
          <cell r="D135" t="str">
            <v>병원청주</v>
          </cell>
          <cell r="E135" t="str">
            <v>이헌찬</v>
          </cell>
          <cell r="F135" t="str">
            <v>-</v>
          </cell>
          <cell r="G135" t="str">
            <v>BB+</v>
          </cell>
          <cell r="H135" t="str">
            <v>미대상</v>
          </cell>
          <cell r="I135" t="str">
            <v>법인</v>
          </cell>
          <cell r="J135" t="str">
            <v>건명의료재단 중앙제일병원</v>
          </cell>
          <cell r="L135" t="str">
            <v>구독형</v>
          </cell>
          <cell r="M135">
            <v>7368200013</v>
          </cell>
          <cell r="N135" t="str">
            <v>2025-10-30</v>
          </cell>
          <cell r="Q135">
            <v>18</v>
          </cell>
          <cell r="R135">
            <v>196239560</v>
          </cell>
        </row>
        <row r="136">
          <cell r="C136">
            <v>10081683</v>
          </cell>
          <cell r="D136" t="str">
            <v>병원청주</v>
          </cell>
          <cell r="E136" t="str">
            <v>이헌찬</v>
          </cell>
          <cell r="F136" t="str">
            <v>-</v>
          </cell>
          <cell r="G136" t="str">
            <v>-</v>
          </cell>
          <cell r="H136" t="str">
            <v>미대상</v>
          </cell>
          <cell r="I136" t="str">
            <v>법인</v>
          </cell>
          <cell r="J136" t="str">
            <v>가온의료재단혁신성모병원</v>
          </cell>
          <cell r="L136" t="str">
            <v>구독형</v>
          </cell>
          <cell r="M136" t="str">
            <v>3348200383_계약파기</v>
          </cell>
          <cell r="N136" t="str">
            <v>2025-10-30</v>
          </cell>
          <cell r="Q136">
            <v>20</v>
          </cell>
          <cell r="R136">
            <v>252021770</v>
          </cell>
        </row>
        <row r="137">
          <cell r="C137">
            <v>10035927</v>
          </cell>
          <cell r="D137" t="str">
            <v>병원청주</v>
          </cell>
          <cell r="E137" t="str">
            <v>이헌찬</v>
          </cell>
          <cell r="F137" t="str">
            <v>-</v>
          </cell>
          <cell r="G137" t="str">
            <v>BB+</v>
          </cell>
          <cell r="H137" t="str">
            <v>미제출</v>
          </cell>
          <cell r="I137" t="str">
            <v>개인</v>
          </cell>
          <cell r="J137" t="str">
            <v>뿌리병원</v>
          </cell>
          <cell r="L137" t="str">
            <v>검사사용량</v>
          </cell>
          <cell r="M137">
            <v>2649600117</v>
          </cell>
          <cell r="N137" t="str">
            <v>2025-11-05</v>
          </cell>
          <cell r="Q137">
            <v>49</v>
          </cell>
          <cell r="R137">
            <v>543904933</v>
          </cell>
        </row>
        <row r="138">
          <cell r="C138">
            <v>10063044</v>
          </cell>
          <cell r="D138" t="str">
            <v>병원경기1</v>
          </cell>
          <cell r="E138" t="str">
            <v>장철희</v>
          </cell>
          <cell r="F138" t="str">
            <v>-</v>
          </cell>
          <cell r="G138" t="str">
            <v>-</v>
          </cell>
          <cell r="H138" t="str">
            <v>미대상</v>
          </cell>
          <cell r="I138" t="str">
            <v>법인</v>
          </cell>
          <cell r="J138" t="str">
            <v>의료법인명인의료재단 화홍병원</v>
          </cell>
          <cell r="L138" t="str">
            <v>검사사용량</v>
          </cell>
          <cell r="M138" t="str">
            <v>7158200205_계약파기</v>
          </cell>
          <cell r="N138" t="str">
            <v>2025-11-05</v>
          </cell>
          <cell r="Q138">
            <v>191</v>
          </cell>
          <cell r="R138">
            <v>1171729000</v>
          </cell>
        </row>
        <row r="139">
          <cell r="C139">
            <v>10089241</v>
          </cell>
          <cell r="D139" t="str">
            <v>병원서울2</v>
          </cell>
          <cell r="E139" t="str">
            <v>김용민</v>
          </cell>
          <cell r="F139" t="str">
            <v>-</v>
          </cell>
          <cell r="G139" t="str">
            <v>B-</v>
          </cell>
          <cell r="H139" t="str">
            <v>미제출</v>
          </cell>
          <cell r="I139" t="str">
            <v>개인</v>
          </cell>
          <cell r="J139" t="str">
            <v>미라클병원</v>
          </cell>
          <cell r="L139" t="str">
            <v>검사사용량</v>
          </cell>
          <cell r="M139">
            <v>2819402019</v>
          </cell>
          <cell r="N139" t="str">
            <v>2025-11-05</v>
          </cell>
          <cell r="Q139">
            <v>50</v>
          </cell>
          <cell r="R139">
            <v>520086567</v>
          </cell>
        </row>
        <row r="140">
          <cell r="C140">
            <v>10017056</v>
          </cell>
          <cell r="D140" t="str">
            <v>병원중부2</v>
          </cell>
          <cell r="E140" t="str">
            <v>김경열</v>
          </cell>
          <cell r="F140" t="str">
            <v xml:space="preserve">BB-	</v>
          </cell>
          <cell r="G140" t="str">
            <v>BB+</v>
          </cell>
          <cell r="H140" t="str">
            <v>미제출</v>
          </cell>
          <cell r="I140" t="str">
            <v>개인</v>
          </cell>
          <cell r="J140" t="str">
            <v>명지성모병원</v>
          </cell>
          <cell r="K140" t="str">
            <v>갱신1</v>
          </cell>
          <cell r="L140" t="str">
            <v>검사사용량</v>
          </cell>
          <cell r="M140">
            <v>1189601695</v>
          </cell>
          <cell r="N140" t="str">
            <v>2025-11-13</v>
          </cell>
          <cell r="Q140">
            <v>212</v>
          </cell>
          <cell r="R140">
            <v>1250330000</v>
          </cell>
        </row>
        <row r="141">
          <cell r="C141">
            <v>10033272</v>
          </cell>
          <cell r="D141" t="str">
            <v>병원경인</v>
          </cell>
          <cell r="E141" t="str">
            <v>이용재</v>
          </cell>
          <cell r="F141" t="str">
            <v>-</v>
          </cell>
          <cell r="G141" t="str">
            <v>AA</v>
          </cell>
          <cell r="H141" t="str">
            <v>미대상</v>
          </cell>
          <cell r="I141" t="str">
            <v>법인</v>
          </cell>
          <cell r="J141" t="str">
            <v xml:space="preserve">순천향대학교부속부천병원     </v>
          </cell>
          <cell r="L141" t="str">
            <v>검사사용량</v>
          </cell>
          <cell r="M141">
            <v>1308212287</v>
          </cell>
          <cell r="N141" t="str">
            <v>2025-12-16</v>
          </cell>
          <cell r="Q141">
            <v>192</v>
          </cell>
          <cell r="R141">
            <v>1151846000</v>
          </cell>
        </row>
        <row r="142">
          <cell r="C142">
            <v>10096603</v>
          </cell>
          <cell r="D142" t="str">
            <v>병원대구</v>
          </cell>
          <cell r="E142" t="str">
            <v>권근륜</v>
          </cell>
          <cell r="F142" t="str">
            <v>-</v>
          </cell>
          <cell r="G142" t="str">
            <v>BBB+</v>
          </cell>
          <cell r="H142" t="str">
            <v>미대상</v>
          </cell>
          <cell r="I142" t="str">
            <v>법인</v>
          </cell>
          <cell r="J142" t="str">
            <v>복주회복병원</v>
          </cell>
          <cell r="L142" t="str">
            <v>검사사용량</v>
          </cell>
          <cell r="M142">
            <v>7698200425</v>
          </cell>
          <cell r="N142" t="str">
            <v>2025-11-06</v>
          </cell>
          <cell r="Q142">
            <v>210</v>
          </cell>
          <cell r="R142">
            <v>2254682430</v>
          </cell>
        </row>
        <row r="143">
          <cell r="C143">
            <v>10075257</v>
          </cell>
          <cell r="D143" t="str">
            <v>병원서울1</v>
          </cell>
          <cell r="E143" t="str">
            <v>김태완</v>
          </cell>
          <cell r="F143" t="str">
            <v>-</v>
          </cell>
          <cell r="G143" t="str">
            <v>CCC+</v>
          </cell>
          <cell r="H143" t="str">
            <v>미제출</v>
          </cell>
          <cell r="I143" t="str">
            <v>개인</v>
          </cell>
          <cell r="J143" t="str">
            <v>하남S병원</v>
          </cell>
          <cell r="L143" t="str">
            <v>검사사용량</v>
          </cell>
          <cell r="M143">
            <v>1469901371</v>
          </cell>
          <cell r="N143" t="str">
            <v>2025-11-28</v>
          </cell>
          <cell r="Q143">
            <v>30</v>
          </cell>
          <cell r="R143">
            <v>330000000</v>
          </cell>
        </row>
        <row r="144">
          <cell r="C144">
            <v>10046812</v>
          </cell>
          <cell r="D144" t="str">
            <v>병원대구2</v>
          </cell>
          <cell r="E144" t="str">
            <v>김혜원</v>
          </cell>
          <cell r="F144" t="str">
            <v>-</v>
          </cell>
          <cell r="G144" t="str">
            <v>A-</v>
          </cell>
          <cell r="H144" t="str">
            <v>미대상</v>
          </cell>
          <cell r="I144" t="str">
            <v>법인</v>
          </cell>
          <cell r="J144" t="str">
            <v>의료법인 은성의료재단 좋은선린병원</v>
          </cell>
          <cell r="K144" t="str">
            <v>갱신1</v>
          </cell>
          <cell r="L144" t="str">
            <v>검사사용량</v>
          </cell>
          <cell r="M144">
            <v>1138209244</v>
          </cell>
          <cell r="N144" t="str">
            <v>2025-11-11</v>
          </cell>
          <cell r="Q144">
            <v>120</v>
          </cell>
          <cell r="R144">
            <v>855722400</v>
          </cell>
        </row>
        <row r="145">
          <cell r="C145">
            <v>10067605</v>
          </cell>
          <cell r="D145" t="str">
            <v>병원동부</v>
          </cell>
          <cell r="E145" t="str">
            <v>박병률</v>
          </cell>
          <cell r="F145" t="str">
            <v>-</v>
          </cell>
          <cell r="G145" t="str">
            <v>BBB-</v>
          </cell>
          <cell r="H145" t="str">
            <v>미제출</v>
          </cell>
          <cell r="I145" t="str">
            <v>개인</v>
          </cell>
          <cell r="J145" t="str">
            <v>서울에이스병원</v>
          </cell>
          <cell r="L145" t="str">
            <v>검사사용량</v>
          </cell>
          <cell r="M145">
            <v>5789001589</v>
          </cell>
          <cell r="N145" t="str">
            <v>2025-11-27</v>
          </cell>
          <cell r="Q145">
            <v>70</v>
          </cell>
          <cell r="R145">
            <v>686854697</v>
          </cell>
        </row>
        <row r="146">
          <cell r="C146">
            <v>10114610</v>
          </cell>
          <cell r="D146" t="str">
            <v>병원동부</v>
          </cell>
          <cell r="E146" t="str">
            <v>김태인</v>
          </cell>
          <cell r="F146" t="str">
            <v>-</v>
          </cell>
          <cell r="G146" t="str">
            <v>CCC+</v>
          </cell>
          <cell r="H146" t="str">
            <v>미제출</v>
          </cell>
          <cell r="I146" t="str">
            <v>개인</v>
          </cell>
          <cell r="J146" t="str">
            <v>엘병원</v>
          </cell>
          <cell r="L146" t="str">
            <v>검사사용량</v>
          </cell>
          <cell r="M146">
            <v>6373901529</v>
          </cell>
          <cell r="N146" t="str">
            <v>2025-11-24</v>
          </cell>
          <cell r="Q146">
            <v>100</v>
          </cell>
          <cell r="R146">
            <v>862137282</v>
          </cell>
        </row>
        <row r="147">
          <cell r="C147">
            <v>10026494</v>
          </cell>
          <cell r="D147" t="str">
            <v>병원광주1</v>
          </cell>
          <cell r="E147" t="str">
            <v>김정란</v>
          </cell>
          <cell r="F147" t="str">
            <v>-</v>
          </cell>
          <cell r="G147" t="str">
            <v>BBB</v>
          </cell>
          <cell r="H147" t="str">
            <v>미제출</v>
          </cell>
          <cell r="I147" t="str">
            <v>개인</v>
          </cell>
          <cell r="J147" t="str">
            <v>해남우리종합병원</v>
          </cell>
          <cell r="L147" t="str">
            <v>검사사용량</v>
          </cell>
          <cell r="M147">
            <v>4159055955</v>
          </cell>
          <cell r="N147" t="str">
            <v>2025-11-19</v>
          </cell>
          <cell r="Q147">
            <v>50</v>
          </cell>
          <cell r="R147">
            <v>516318193</v>
          </cell>
        </row>
        <row r="148">
          <cell r="C148">
            <v>10032387</v>
          </cell>
          <cell r="D148" t="str">
            <v>병원부산1</v>
          </cell>
          <cell r="E148" t="str">
            <v>정원종</v>
          </cell>
          <cell r="F148" t="str">
            <v>-</v>
          </cell>
          <cell r="G148" t="str">
            <v>BB+</v>
          </cell>
          <cell r="H148" t="str">
            <v>미대상</v>
          </cell>
          <cell r="I148" t="str">
            <v>법인</v>
          </cell>
          <cell r="J148" t="str">
            <v>센텀종합병원</v>
          </cell>
          <cell r="L148" t="str">
            <v>검사사용량</v>
          </cell>
          <cell r="M148">
            <v>1228213795</v>
          </cell>
          <cell r="N148" t="str">
            <v>2025-11-24</v>
          </cell>
          <cell r="Q148">
            <v>177</v>
          </cell>
          <cell r="R148">
            <v>1502824646</v>
          </cell>
        </row>
        <row r="149">
          <cell r="C149">
            <v>10086968</v>
          </cell>
          <cell r="D149" t="str">
            <v>병원남부2</v>
          </cell>
          <cell r="E149" t="str">
            <v>이정원</v>
          </cell>
          <cell r="F149" t="str">
            <v>-</v>
          </cell>
          <cell r="G149" t="str">
            <v>B+</v>
          </cell>
          <cell r="H149" t="str">
            <v>미제출</v>
          </cell>
          <cell r="I149" t="str">
            <v>개인</v>
          </cell>
          <cell r="J149" t="str">
            <v>청담해리슨병원</v>
          </cell>
          <cell r="L149" t="str">
            <v>검사사용량</v>
          </cell>
          <cell r="M149">
            <v>3029382098</v>
          </cell>
          <cell r="N149" t="str">
            <v>2025-11-27</v>
          </cell>
          <cell r="Q149">
            <v>51</v>
          </cell>
          <cell r="R149">
            <v>483754007</v>
          </cell>
        </row>
        <row r="150">
          <cell r="C150">
            <v>10091292</v>
          </cell>
          <cell r="D150" t="str">
            <v>광주1</v>
          </cell>
          <cell r="E150" t="str">
            <v>조문성</v>
          </cell>
          <cell r="F150" t="str">
            <v>-</v>
          </cell>
          <cell r="G150" t="str">
            <v>B+</v>
          </cell>
          <cell r="H150" t="str">
            <v>미제출</v>
          </cell>
          <cell r="I150" t="str">
            <v>개인</v>
          </cell>
          <cell r="J150" t="str">
            <v>박철홍정형외과의원</v>
          </cell>
          <cell r="L150" t="str">
            <v>검사사용량</v>
          </cell>
          <cell r="M150">
            <v>3839202010</v>
          </cell>
          <cell r="N150" t="str">
            <v>2025-11-18</v>
          </cell>
          <cell r="Q150">
            <v>29</v>
          </cell>
          <cell r="R150">
            <v>329708600</v>
          </cell>
        </row>
        <row r="151">
          <cell r="C151">
            <v>10033277</v>
          </cell>
          <cell r="D151" t="str">
            <v>병원경인</v>
          </cell>
          <cell r="E151" t="str">
            <v>정재환</v>
          </cell>
          <cell r="F151" t="str">
            <v>-</v>
          </cell>
          <cell r="G151" t="str">
            <v>CCC+</v>
          </cell>
          <cell r="H151" t="str">
            <v>미대상</v>
          </cell>
          <cell r="I151" t="str">
            <v>법인</v>
          </cell>
          <cell r="J151" t="str">
            <v>다니엘병원</v>
          </cell>
          <cell r="L151" t="str">
            <v>검사사용량</v>
          </cell>
          <cell r="M151">
            <v>1308213383</v>
          </cell>
          <cell r="N151" t="str">
            <v>2025-12-02</v>
          </cell>
          <cell r="Q151">
            <v>52</v>
          </cell>
          <cell r="R151">
            <v>490577900</v>
          </cell>
        </row>
        <row r="152">
          <cell r="C152">
            <v>10015909</v>
          </cell>
          <cell r="D152" t="str">
            <v>병원부산1</v>
          </cell>
          <cell r="E152" t="str">
            <v>이승헌</v>
          </cell>
          <cell r="F152" t="str">
            <v>-</v>
          </cell>
          <cell r="G152" t="str">
            <v>-</v>
          </cell>
          <cell r="H152" t="str">
            <v>미제출</v>
          </cell>
          <cell r="I152" t="str">
            <v>개인</v>
          </cell>
          <cell r="J152" t="str">
            <v>나눔과행복병원</v>
          </cell>
          <cell r="L152" t="str">
            <v>검사사용량</v>
          </cell>
          <cell r="M152" t="str">
            <v>6179208917_계약파기</v>
          </cell>
          <cell r="N152" t="str">
            <v>2025-11-28</v>
          </cell>
          <cell r="Q152">
            <v>110</v>
          </cell>
          <cell r="R152">
            <v>983759140</v>
          </cell>
        </row>
        <row r="153">
          <cell r="C153">
            <v>10050471</v>
          </cell>
          <cell r="D153" t="str">
            <v>병원청주</v>
          </cell>
          <cell r="E153" t="str">
            <v>황수경</v>
          </cell>
          <cell r="F153" t="str">
            <v>-</v>
          </cell>
          <cell r="G153" t="str">
            <v>-</v>
          </cell>
          <cell r="H153" t="str">
            <v>미대상</v>
          </cell>
          <cell r="I153" t="str">
            <v>법인</v>
          </cell>
          <cell r="J153" t="str">
            <v>재천성지병원</v>
          </cell>
          <cell r="L153" t="str">
            <v>검사사용량</v>
          </cell>
          <cell r="M153" t="str">
            <v>3048207366_계약파기</v>
          </cell>
          <cell r="N153" t="str">
            <v>2025-12-03</v>
          </cell>
          <cell r="Q153">
            <v>30</v>
          </cell>
          <cell r="R153">
            <v>221839000</v>
          </cell>
        </row>
        <row r="154">
          <cell r="C154">
            <v>10069441</v>
          </cell>
          <cell r="D154" t="str">
            <v>병원부산3</v>
          </cell>
          <cell r="E154" t="str">
            <v>박규태</v>
          </cell>
          <cell r="F154" t="str">
            <v>-</v>
          </cell>
          <cell r="G154" t="str">
            <v>BB+</v>
          </cell>
          <cell r="H154" t="str">
            <v>미대상</v>
          </cell>
          <cell r="I154" t="str">
            <v>법인</v>
          </cell>
          <cell r="J154" t="str">
            <v>해동병원</v>
          </cell>
          <cell r="L154" t="str">
            <v>검사사용량</v>
          </cell>
          <cell r="M154">
            <v>4098219449</v>
          </cell>
          <cell r="N154" t="str">
            <v>2025-12-09</v>
          </cell>
          <cell r="Q154">
            <v>64</v>
          </cell>
          <cell r="R154">
            <v>590115064</v>
          </cell>
        </row>
        <row r="155">
          <cell r="C155">
            <v>10035637</v>
          </cell>
          <cell r="D155" t="str">
            <v>병원강원</v>
          </cell>
          <cell r="E155" t="str">
            <v>최철준</v>
          </cell>
          <cell r="F155" t="str">
            <v>-</v>
          </cell>
          <cell r="G155" t="str">
            <v>-</v>
          </cell>
          <cell r="H155" t="str">
            <v>미대상</v>
          </cell>
          <cell r="I155" t="str">
            <v>법인</v>
          </cell>
          <cell r="J155" t="str">
            <v>(의)의산의료재단(강릉고려병원)</v>
          </cell>
          <cell r="L155" t="str">
            <v>검사사용량</v>
          </cell>
          <cell r="M155">
            <v>2268203662</v>
          </cell>
          <cell r="N155" t="str">
            <v>2025-12-09</v>
          </cell>
          <cell r="Q155">
            <v>30</v>
          </cell>
          <cell r="R155">
            <v>318480000</v>
          </cell>
        </row>
        <row r="156">
          <cell r="C156">
            <v>10032062</v>
          </cell>
          <cell r="D156" t="str">
            <v>병원서울4</v>
          </cell>
          <cell r="E156" t="str">
            <v>신화현</v>
          </cell>
          <cell r="F156" t="str">
            <v>-</v>
          </cell>
          <cell r="G156" t="str">
            <v>BB-</v>
          </cell>
          <cell r="H156" t="str">
            <v>미제출</v>
          </cell>
          <cell r="I156" t="str">
            <v>개인</v>
          </cell>
          <cell r="J156" t="str">
            <v>홍익병원</v>
          </cell>
          <cell r="L156" t="str">
            <v>검사사용량</v>
          </cell>
          <cell r="M156">
            <v>1179601595</v>
          </cell>
          <cell r="N156" t="str">
            <v>2025-12-22</v>
          </cell>
          <cell r="Q156">
            <v>30</v>
          </cell>
          <cell r="R156">
            <v>232337000</v>
          </cell>
        </row>
        <row r="157">
          <cell r="C157">
            <v>10033270</v>
          </cell>
          <cell r="D157" t="str">
            <v>병원경인</v>
          </cell>
          <cell r="E157" t="str">
            <v>김두성</v>
          </cell>
          <cell r="F157" t="str">
            <v>-</v>
          </cell>
          <cell r="G157" t="str">
            <v>-</v>
          </cell>
          <cell r="H157" t="str">
            <v>미대상</v>
          </cell>
          <cell r="I157" t="str">
            <v>법인</v>
          </cell>
          <cell r="J157" t="str">
            <v>가톨릭대학교 부천성모병원</v>
          </cell>
          <cell r="L157" t="str">
            <v>검사사용량</v>
          </cell>
          <cell r="M157" t="str">
            <v>1308202173_계약파기</v>
          </cell>
          <cell r="N157" t="str">
            <v>2025-12-19</v>
          </cell>
          <cell r="Q157">
            <v>555</v>
          </cell>
          <cell r="R157">
            <v>4753919201</v>
          </cell>
        </row>
        <row r="158">
          <cell r="C158">
            <v>10032311</v>
          </cell>
          <cell r="D158" t="str">
            <v>병원서울2</v>
          </cell>
          <cell r="E158" t="str">
            <v>김용민</v>
          </cell>
          <cell r="F158" t="str">
            <v>-</v>
          </cell>
          <cell r="G158" t="str">
            <v>BBB</v>
          </cell>
          <cell r="H158" t="str">
            <v>미제출</v>
          </cell>
          <cell r="I158" t="str">
            <v>개인</v>
          </cell>
          <cell r="J158" t="str">
            <v>성모윌병원</v>
          </cell>
          <cell r="L158" t="str">
            <v>검사사용량</v>
          </cell>
          <cell r="M158">
            <v>1219210232</v>
          </cell>
          <cell r="N158" t="str">
            <v>2025-12-17</v>
          </cell>
          <cell r="Q158">
            <v>30</v>
          </cell>
          <cell r="R158">
            <v>435158557</v>
          </cell>
        </row>
        <row r="159">
          <cell r="C159">
            <v>10033888</v>
          </cell>
          <cell r="D159" t="str">
            <v>병원인천</v>
          </cell>
          <cell r="E159" t="str">
            <v>김형태</v>
          </cell>
          <cell r="F159" t="str">
            <v>-</v>
          </cell>
          <cell r="G159" t="str">
            <v>A</v>
          </cell>
          <cell r="H159" t="str">
            <v>미대상</v>
          </cell>
          <cell r="I159" t="str">
            <v>법인</v>
          </cell>
          <cell r="J159" t="str">
            <v>가톨릭관동대학교 국제성모병원</v>
          </cell>
          <cell r="L159" t="str">
            <v>검사사용량</v>
          </cell>
          <cell r="M159">
            <v>1378209745</v>
          </cell>
          <cell r="N159" t="str">
            <v>2025-12-18</v>
          </cell>
          <cell r="Q159">
            <v>137</v>
          </cell>
          <cell r="R159">
            <v>949000000</v>
          </cell>
        </row>
        <row r="160">
          <cell r="C160">
            <v>10087161</v>
          </cell>
          <cell r="D160" t="str">
            <v>병원경남2</v>
          </cell>
          <cell r="E160" t="str">
            <v>권수상</v>
          </cell>
          <cell r="F160" t="str">
            <v>-</v>
          </cell>
          <cell r="G160" t="str">
            <v>-</v>
          </cell>
          <cell r="H160" t="str">
            <v>미제출</v>
          </cell>
          <cell r="I160" t="str">
            <v>개인</v>
          </cell>
          <cell r="J160" t="str">
            <v>중앙메디컬병원</v>
          </cell>
          <cell r="L160" t="str">
            <v>검사사용량</v>
          </cell>
          <cell r="M160" t="str">
            <v>8765600670_계약파기</v>
          </cell>
          <cell r="N160" t="str">
            <v>2025-12-09</v>
          </cell>
          <cell r="Q160">
            <v>15</v>
          </cell>
          <cell r="R160">
            <v>239135897</v>
          </cell>
        </row>
        <row r="161">
          <cell r="C161">
            <v>10082404</v>
          </cell>
          <cell r="D161" t="str">
            <v>병원부산3</v>
          </cell>
          <cell r="E161" t="str">
            <v>김수민</v>
          </cell>
          <cell r="F161" t="str">
            <v>-</v>
          </cell>
          <cell r="G161" t="str">
            <v>B</v>
          </cell>
          <cell r="H161" t="str">
            <v>미제출</v>
          </cell>
          <cell r="I161" t="str">
            <v>개인</v>
          </cell>
          <cell r="J161" t="str">
            <v>거인병원</v>
          </cell>
          <cell r="L161" t="str">
            <v>검사사용량</v>
          </cell>
          <cell r="M161">
            <v>8449201739</v>
          </cell>
          <cell r="N161" t="str">
            <v>2025-12-19</v>
          </cell>
          <cell r="Q161">
            <v>70</v>
          </cell>
          <cell r="R161">
            <v>710767875</v>
          </cell>
        </row>
        <row r="162">
          <cell r="C162">
            <v>10038671</v>
          </cell>
          <cell r="D162" t="str">
            <v>병원전주</v>
          </cell>
          <cell r="E162" t="str">
            <v>박지산</v>
          </cell>
          <cell r="F162" t="str">
            <v>-</v>
          </cell>
          <cell r="G162" t="str">
            <v>BB</v>
          </cell>
          <cell r="H162" t="str">
            <v>미제출</v>
          </cell>
          <cell r="I162" t="str">
            <v>개인</v>
          </cell>
          <cell r="J162" t="str">
            <v>전주고려병원</v>
          </cell>
          <cell r="L162" t="str">
            <v>검사사용량</v>
          </cell>
          <cell r="M162">
            <v>4189602686</v>
          </cell>
          <cell r="N162" t="str">
            <v>2025-12-04</v>
          </cell>
          <cell r="Q162">
            <v>40</v>
          </cell>
          <cell r="R162">
            <v>370809400</v>
          </cell>
        </row>
        <row r="163">
          <cell r="C163">
            <v>10037576</v>
          </cell>
          <cell r="D163" t="str">
            <v>병원전주</v>
          </cell>
          <cell r="E163" t="str">
            <v>최대우</v>
          </cell>
          <cell r="F163" t="str">
            <v xml:space="preserve">BBB+	</v>
          </cell>
          <cell r="G163" t="str">
            <v>A-</v>
          </cell>
          <cell r="H163" t="str">
            <v>미대상</v>
          </cell>
          <cell r="I163" t="str">
            <v>법인</v>
          </cell>
          <cell r="J163" t="str">
            <v>예수병원</v>
          </cell>
          <cell r="L163" t="str">
            <v>검사사용량</v>
          </cell>
          <cell r="M163">
            <v>4028200712</v>
          </cell>
          <cell r="N163" t="str">
            <v>2025-12-16</v>
          </cell>
          <cell r="Q163">
            <v>200</v>
          </cell>
          <cell r="R163">
            <v>1799000000</v>
          </cell>
        </row>
        <row r="164">
          <cell r="C164">
            <v>10033614</v>
          </cell>
          <cell r="D164" t="str">
            <v>병원경기1</v>
          </cell>
          <cell r="E164" t="str">
            <v>장철희</v>
          </cell>
          <cell r="F164" t="str">
            <v>-</v>
          </cell>
          <cell r="G164" t="str">
            <v>BBB+</v>
          </cell>
          <cell r="H164" t="str">
            <v>미대상</v>
          </cell>
          <cell r="I164" t="str">
            <v>법인</v>
          </cell>
          <cell r="J164" t="str">
            <v>대아의료재단 한도병원</v>
          </cell>
          <cell r="L164" t="str">
            <v>검사사용량</v>
          </cell>
          <cell r="M164">
            <v>1348207603</v>
          </cell>
          <cell r="N164" t="str">
            <v>2025-12-16</v>
          </cell>
          <cell r="Q164">
            <v>100</v>
          </cell>
          <cell r="R164">
            <v>1621240000</v>
          </cell>
        </row>
        <row r="165">
          <cell r="C165">
            <v>10099847</v>
          </cell>
          <cell r="D165" t="str">
            <v>병원대구2</v>
          </cell>
          <cell r="E165" t="str">
            <v>김주형</v>
          </cell>
          <cell r="F165" t="str">
            <v>-</v>
          </cell>
          <cell r="G165" t="str">
            <v>CCC</v>
          </cell>
          <cell r="H165" t="str">
            <v>미제출</v>
          </cell>
          <cell r="I165" t="str">
            <v>개인</v>
          </cell>
          <cell r="J165" t="str">
            <v>더필병원</v>
          </cell>
          <cell r="L165" t="str">
            <v>검사사용량</v>
          </cell>
          <cell r="M165">
            <v>3669801736</v>
          </cell>
          <cell r="N165" t="str">
            <v>2025-12-05</v>
          </cell>
          <cell r="Q165">
            <v>60</v>
          </cell>
          <cell r="R165">
            <v>688654802</v>
          </cell>
        </row>
        <row r="166">
          <cell r="C166">
            <v>10047520</v>
          </cell>
          <cell r="D166" t="str">
            <v>병원광주1</v>
          </cell>
          <cell r="E166" t="str">
            <v>김재인</v>
          </cell>
          <cell r="F166" t="str">
            <v>BBB-</v>
          </cell>
          <cell r="G166" t="str">
            <v>BB+</v>
          </cell>
          <cell r="H166" t="str">
            <v>미제출</v>
          </cell>
          <cell r="I166" t="str">
            <v>개인</v>
          </cell>
          <cell r="J166" t="str">
            <v>광주센트럴병원</v>
          </cell>
          <cell r="K166" t="str">
            <v>추가1</v>
          </cell>
          <cell r="L166" t="str">
            <v>분납형</v>
          </cell>
          <cell r="M166">
            <v>6969000063</v>
          </cell>
          <cell r="N166" t="str">
            <v>2025-11-28</v>
          </cell>
          <cell r="Q166">
            <v>49</v>
          </cell>
          <cell r="R166">
            <v>282030000</v>
          </cell>
        </row>
        <row r="167">
          <cell r="C167">
            <v>10086279</v>
          </cell>
          <cell r="D167" t="str">
            <v>병원대구1</v>
          </cell>
          <cell r="E167" t="str">
            <v>오성훈</v>
          </cell>
          <cell r="F167" t="str">
            <v>BB0</v>
          </cell>
          <cell r="G167" t="str">
            <v>B+</v>
          </cell>
          <cell r="H167" t="str">
            <v>미제출</v>
          </cell>
          <cell r="I167" t="str">
            <v>개인</v>
          </cell>
          <cell r="J167" t="str">
            <v>더퍼스트병원</v>
          </cell>
          <cell r="K167" t="str">
            <v>갱신1</v>
          </cell>
          <cell r="L167" t="str">
            <v>분납형</v>
          </cell>
          <cell r="M167">
            <v>8039501646</v>
          </cell>
          <cell r="N167" t="str">
            <v>2025-11-26</v>
          </cell>
          <cell r="Q167">
            <v>30</v>
          </cell>
          <cell r="R167">
            <v>276460470</v>
          </cell>
        </row>
        <row r="168">
          <cell r="C168">
            <v>10067520</v>
          </cell>
          <cell r="D168" t="str">
            <v>병원광주2</v>
          </cell>
          <cell r="E168" t="str">
            <v>서선열</v>
          </cell>
          <cell r="F168" t="str">
            <v>BBB-</v>
          </cell>
          <cell r="G168" t="str">
            <v>BB+</v>
          </cell>
          <cell r="H168" t="str">
            <v>미제출</v>
          </cell>
          <cell r="I168" t="str">
            <v>개인</v>
          </cell>
          <cell r="J168" t="str">
            <v>순천에스병원</v>
          </cell>
          <cell r="K168" t="str">
            <v>갱신1</v>
          </cell>
          <cell r="L168" t="str">
            <v>분납형</v>
          </cell>
          <cell r="M168">
            <v>4186500404</v>
          </cell>
          <cell r="N168" t="str">
            <v>2025-11-14</v>
          </cell>
          <cell r="Q168">
            <v>15</v>
          </cell>
          <cell r="R168">
            <v>120141000</v>
          </cell>
        </row>
        <row r="169">
          <cell r="C169">
            <v>10033740</v>
          </cell>
          <cell r="D169" t="str">
            <v>병원경기2</v>
          </cell>
          <cell r="E169" t="str">
            <v>김남진</v>
          </cell>
          <cell r="F169" t="str">
            <v>-</v>
          </cell>
          <cell r="G169" t="str">
            <v>AA</v>
          </cell>
          <cell r="H169" t="str">
            <v>미대상</v>
          </cell>
          <cell r="I169" t="str">
            <v>법인</v>
          </cell>
          <cell r="J169" t="str">
            <v>한림대학교 동탄성심병원</v>
          </cell>
          <cell r="L169" t="str">
            <v>구축형</v>
          </cell>
          <cell r="M169">
            <v>1358216196</v>
          </cell>
          <cell r="N169" t="str">
            <v>2025-12-22</v>
          </cell>
          <cell r="Q169">
            <v>50</v>
          </cell>
          <cell r="R169">
            <v>329170000</v>
          </cell>
        </row>
        <row r="170">
          <cell r="C170">
            <v>10033992</v>
          </cell>
          <cell r="D170" t="str">
            <v>병원인천</v>
          </cell>
          <cell r="E170" t="str">
            <v>이정효</v>
          </cell>
          <cell r="F170" t="str">
            <v>-</v>
          </cell>
          <cell r="G170" t="str">
            <v>AA</v>
          </cell>
          <cell r="H170" t="str">
            <v>미대상</v>
          </cell>
          <cell r="I170" t="str">
            <v>법인</v>
          </cell>
          <cell r="J170" t="str">
            <v>길의료재단 가천대길병원</v>
          </cell>
          <cell r="L170" t="str">
            <v>구축형</v>
          </cell>
          <cell r="M170">
            <v>1398200376</v>
          </cell>
          <cell r="N170" t="str">
            <v>2025-11-27</v>
          </cell>
          <cell r="Q170">
            <v>10</v>
          </cell>
          <cell r="R170">
            <v>99882000</v>
          </cell>
        </row>
        <row r="171">
          <cell r="C171">
            <v>10039905</v>
          </cell>
          <cell r="D171" t="str">
            <v>병원대구2</v>
          </cell>
          <cell r="E171" t="str">
            <v>김혜원</v>
          </cell>
          <cell r="F171" t="str">
            <v>NR</v>
          </cell>
          <cell r="G171" t="str">
            <v>B0</v>
          </cell>
          <cell r="H171" t="str">
            <v>미대상</v>
          </cell>
          <cell r="I171" t="str">
            <v>법인</v>
          </cell>
          <cell r="J171" t="str">
            <v>대구가톨릭대학교의료원</v>
          </cell>
          <cell r="L171" t="str">
            <v>구축형</v>
          </cell>
          <cell r="M171">
            <v>5148204710</v>
          </cell>
          <cell r="N171" t="str">
            <v>2025-09-16</v>
          </cell>
          <cell r="Q171">
            <v>20</v>
          </cell>
          <cell r="R171">
            <v>137000000</v>
          </cell>
        </row>
        <row r="172">
          <cell r="C172">
            <v>10081683</v>
          </cell>
          <cell r="D172" t="str">
            <v>병원청주</v>
          </cell>
          <cell r="E172" t="str">
            <v>이헌찬</v>
          </cell>
          <cell r="F172" t="str">
            <v>-</v>
          </cell>
          <cell r="G172" t="str">
            <v>-</v>
          </cell>
          <cell r="H172" t="str">
            <v>미대상</v>
          </cell>
          <cell r="I172" t="str">
            <v>법인</v>
          </cell>
          <cell r="J172" t="str">
            <v>가온의료재단혁신성모병원</v>
          </cell>
          <cell r="L172" t="str">
            <v>구독형</v>
          </cell>
          <cell r="M172" t="str">
            <v>3348200383_계약파기</v>
          </cell>
          <cell r="N172" t="str">
            <v>2025-10-30</v>
          </cell>
          <cell r="Q172">
            <v>20</v>
          </cell>
          <cell r="R172">
            <v>252021770</v>
          </cell>
        </row>
        <row r="173">
          <cell r="C173">
            <v>10038606</v>
          </cell>
          <cell r="D173" t="str">
            <v>병원광주2</v>
          </cell>
          <cell r="E173" t="str">
            <v>주병옥</v>
          </cell>
          <cell r="F173" t="str">
            <v>BBB</v>
          </cell>
          <cell r="G173" t="str">
            <v>BBB-</v>
          </cell>
          <cell r="H173" t="str">
            <v>미대상</v>
          </cell>
          <cell r="I173" t="str">
            <v>법인</v>
          </cell>
          <cell r="J173" t="str">
            <v>의료법인한마음의료재단여수제일병원</v>
          </cell>
          <cell r="K173" t="str">
            <v>추가1</v>
          </cell>
          <cell r="L173" t="str">
            <v>검사사용량</v>
          </cell>
          <cell r="M173">
            <v>4178204011</v>
          </cell>
          <cell r="N173" t="str">
            <v>2025-12-24</v>
          </cell>
          <cell r="Q173">
            <v>111</v>
          </cell>
          <cell r="R173">
            <v>786702070</v>
          </cell>
        </row>
        <row r="174">
          <cell r="C174">
            <v>10050471</v>
          </cell>
          <cell r="D174" t="str">
            <v>병원청주</v>
          </cell>
          <cell r="E174" t="str">
            <v>황수경</v>
          </cell>
          <cell r="F174" t="str">
            <v>-</v>
          </cell>
          <cell r="G174" t="str">
            <v>A</v>
          </cell>
          <cell r="H174" t="str">
            <v>미대상</v>
          </cell>
          <cell r="I174" t="str">
            <v>법인</v>
          </cell>
          <cell r="J174" t="str">
            <v>제천성지병원</v>
          </cell>
          <cell r="K174" t="str">
            <v>갱신1</v>
          </cell>
          <cell r="L174" t="str">
            <v>검사사용량</v>
          </cell>
          <cell r="M174">
            <v>3048207366</v>
          </cell>
          <cell r="N174" t="str">
            <v>2025-12-23</v>
          </cell>
          <cell r="Q174">
            <v>30</v>
          </cell>
          <cell r="R174">
            <v>221839000</v>
          </cell>
        </row>
        <row r="175">
          <cell r="C175">
            <v>10100887</v>
          </cell>
          <cell r="D175" t="str">
            <v>병원광주2</v>
          </cell>
          <cell r="E175" t="str">
            <v>정두리</v>
          </cell>
          <cell r="F175" t="str">
            <v>-</v>
          </cell>
          <cell r="G175" t="str">
            <v>BB</v>
          </cell>
          <cell r="H175" t="str">
            <v>미대상</v>
          </cell>
          <cell r="I175" t="str">
            <v>법인</v>
          </cell>
          <cell r="J175" t="str">
            <v>유한회사마이파트너</v>
          </cell>
          <cell r="K175" t="str">
            <v>추가1</v>
          </cell>
          <cell r="L175" t="str">
            <v>구축형</v>
          </cell>
          <cell r="M175">
            <v>8908701140</v>
          </cell>
          <cell r="N175" t="str">
            <v>2025-12-31</v>
          </cell>
          <cell r="Q175">
            <v>7</v>
          </cell>
          <cell r="R175">
            <v>24920000</v>
          </cell>
        </row>
        <row r="176">
          <cell r="C176" t="e">
            <v>#N/A</v>
          </cell>
          <cell r="D176" t="e">
            <v>#N/A</v>
          </cell>
          <cell r="E176" t="e">
            <v>#N/A</v>
          </cell>
          <cell r="F176" t="str">
            <v>-</v>
          </cell>
          <cell r="G176" t="str">
            <v>-</v>
          </cell>
          <cell r="H176" t="str">
            <v>미대상</v>
          </cell>
          <cell r="I176" t="str">
            <v>법인</v>
          </cell>
          <cell r="J176" t="str">
            <v>좋은삼정병원</v>
          </cell>
          <cell r="L176" t="str">
            <v>검사사용량</v>
          </cell>
          <cell r="M176">
            <v>6108211805</v>
          </cell>
          <cell r="N176" t="str">
            <v>2025-12-26</v>
          </cell>
          <cell r="Q176">
            <v>98</v>
          </cell>
          <cell r="R176">
            <v>477847000</v>
          </cell>
        </row>
        <row r="177">
          <cell r="C177" t="e">
            <v>#N/A</v>
          </cell>
          <cell r="D177" t="e">
            <v>#N/A</v>
          </cell>
          <cell r="E177" t="e">
            <v>#N/A</v>
          </cell>
          <cell r="F177" t="str">
            <v>-</v>
          </cell>
          <cell r="G177" t="str">
            <v>-</v>
          </cell>
          <cell r="H177" t="str">
            <v>미대상</v>
          </cell>
          <cell r="I177" t="str">
            <v>법인</v>
          </cell>
          <cell r="J177" t="str">
            <v>좋은강안병원</v>
          </cell>
          <cell r="L177" t="str">
            <v>검사사용량</v>
          </cell>
          <cell r="M177">
            <v>6178206813</v>
          </cell>
          <cell r="N177" t="str">
            <v>2025-12-31</v>
          </cell>
          <cell r="Q177">
            <v>200</v>
          </cell>
          <cell r="R177">
            <v>1588284000</v>
          </cell>
        </row>
        <row r="178">
          <cell r="C178">
            <v>10032609</v>
          </cell>
          <cell r="D178" t="str">
            <v>병원경기1</v>
          </cell>
          <cell r="E178" t="str">
            <v>황익태</v>
          </cell>
          <cell r="F178" t="str">
            <v>-</v>
          </cell>
          <cell r="G178" t="str">
            <v>-</v>
          </cell>
          <cell r="H178" t="str">
            <v>미대상</v>
          </cell>
          <cell r="I178" t="str">
            <v>법인</v>
          </cell>
          <cell r="J178" t="str">
            <v>아주대학교의료원</v>
          </cell>
          <cell r="L178" t="str">
            <v>검사사용량</v>
          </cell>
          <cell r="M178">
            <v>1248206965</v>
          </cell>
          <cell r="N178" t="str">
            <v>2026-01-12</v>
          </cell>
          <cell r="Q178">
            <v>342</v>
          </cell>
          <cell r="R178">
            <v>1963072500</v>
          </cell>
        </row>
        <row r="179">
          <cell r="C179">
            <v>10033886</v>
          </cell>
          <cell r="D179" t="str">
            <v>병원경인</v>
          </cell>
          <cell r="E179" t="str">
            <v>이효준</v>
          </cell>
          <cell r="F179" t="str">
            <v>BBB-</v>
          </cell>
          <cell r="G179" t="str">
            <v>A+</v>
          </cell>
          <cell r="H179" t="str">
            <v>미대상</v>
          </cell>
          <cell r="I179" t="str">
            <v>법인</v>
          </cell>
          <cell r="J179" t="str">
            <v>김포우리병원</v>
          </cell>
          <cell r="K179" t="str">
            <v>추가1</v>
          </cell>
          <cell r="L179" t="str">
            <v>검사사용량</v>
          </cell>
          <cell r="M179">
            <v>1378208431</v>
          </cell>
          <cell r="N179" t="str">
            <v>2025-12-26</v>
          </cell>
          <cell r="Q179">
            <v>228</v>
          </cell>
          <cell r="R179">
            <v>1146845000</v>
          </cell>
        </row>
        <row r="180">
          <cell r="C180">
            <v>10032163</v>
          </cell>
          <cell r="D180" t="str">
            <v>병원남부1</v>
          </cell>
          <cell r="E180" t="str">
            <v>김한봄</v>
          </cell>
          <cell r="F180" t="str">
            <v>-</v>
          </cell>
          <cell r="G180" t="str">
            <v>BBB-</v>
          </cell>
          <cell r="H180" t="str">
            <v>미제출</v>
          </cell>
          <cell r="I180" t="str">
            <v>개인</v>
          </cell>
          <cell r="J180" t="str">
            <v>척편한병원</v>
          </cell>
          <cell r="L180" t="str">
            <v>검사사용량</v>
          </cell>
          <cell r="M180">
            <v>1199168258</v>
          </cell>
          <cell r="N180" t="str">
            <v>2025-12-30</v>
          </cell>
          <cell r="Q180">
            <v>30</v>
          </cell>
          <cell r="R180">
            <v>380117430</v>
          </cell>
        </row>
        <row r="181">
          <cell r="C181">
            <v>10019113</v>
          </cell>
          <cell r="D181" t="str">
            <v>병원강원</v>
          </cell>
          <cell r="E181" t="str">
            <v>조현일</v>
          </cell>
          <cell r="F181" t="str">
            <v>-</v>
          </cell>
          <cell r="G181" t="str">
            <v>BB-</v>
          </cell>
          <cell r="H181" t="str">
            <v>미제출</v>
          </cell>
          <cell r="I181" t="str">
            <v>개인</v>
          </cell>
          <cell r="J181" t="str">
            <v>정병원</v>
          </cell>
          <cell r="L181" t="str">
            <v>검사사용량</v>
          </cell>
          <cell r="M181">
            <v>2249051334</v>
          </cell>
          <cell r="N181" t="str">
            <v>2025-12-17</v>
          </cell>
          <cell r="Q181">
            <v>30</v>
          </cell>
          <cell r="R181">
            <v>287374000</v>
          </cell>
        </row>
        <row r="182">
          <cell r="C182">
            <v>10042527</v>
          </cell>
          <cell r="D182" t="str">
            <v>병원대구1</v>
          </cell>
          <cell r="E182" t="str">
            <v>최인석</v>
          </cell>
          <cell r="F182" t="str">
            <v>-</v>
          </cell>
          <cell r="G182" t="str">
            <v>BBB</v>
          </cell>
          <cell r="H182" t="str">
            <v>미제출</v>
          </cell>
          <cell r="I182" t="str">
            <v>개인</v>
          </cell>
          <cell r="J182" t="str">
            <v>MS 재건병원</v>
          </cell>
          <cell r="L182" t="str">
            <v>검사사용량</v>
          </cell>
          <cell r="M182">
            <v>7349700078</v>
          </cell>
          <cell r="N182" t="str">
            <v>2025-12-31</v>
          </cell>
          <cell r="Q182">
            <v>40</v>
          </cell>
          <cell r="R182">
            <v>514039097</v>
          </cell>
        </row>
        <row r="183">
          <cell r="C183">
            <v>10041416</v>
          </cell>
          <cell r="D183" t="str">
            <v>병원경남1</v>
          </cell>
          <cell r="E183" t="str">
            <v>허재원</v>
          </cell>
          <cell r="F183" t="str">
            <v>-</v>
          </cell>
          <cell r="G183" t="str">
            <v>-</v>
          </cell>
          <cell r="H183" t="str">
            <v>미대상</v>
          </cell>
          <cell r="I183" t="str">
            <v>법인</v>
          </cell>
          <cell r="J183" t="str">
            <v>갑을장유병원</v>
          </cell>
          <cell r="L183" t="str">
            <v>구독형</v>
          </cell>
          <cell r="M183" t="str">
            <v>6158210039_계약파기</v>
          </cell>
          <cell r="N183" t="str">
            <v>2025-12-30</v>
          </cell>
          <cell r="Q183">
            <v>120</v>
          </cell>
          <cell r="R183">
            <v>865049000</v>
          </cell>
        </row>
        <row r="184">
          <cell r="C184">
            <v>10015488</v>
          </cell>
          <cell r="D184" t="str">
            <v>병원전주</v>
          </cell>
          <cell r="E184" t="str">
            <v>최대우</v>
          </cell>
          <cell r="F184" t="str">
            <v>-</v>
          </cell>
          <cell r="G184" t="str">
            <v>BB+</v>
          </cell>
          <cell r="H184" t="str">
            <v>미대상</v>
          </cell>
          <cell r="I184" t="str">
            <v>법인</v>
          </cell>
          <cell r="J184" t="str">
            <v>의인의료재단차병원</v>
          </cell>
          <cell r="L184" t="str">
            <v>검사사용량</v>
          </cell>
          <cell r="M184">
            <v>4018206877</v>
          </cell>
          <cell r="N184" t="str">
            <v>2025-12-31</v>
          </cell>
          <cell r="Q184">
            <v>30</v>
          </cell>
          <cell r="R184">
            <v>293672600</v>
          </cell>
        </row>
        <row r="185">
          <cell r="C185">
            <v>10071000</v>
          </cell>
          <cell r="D185" t="str">
            <v>병원광주1</v>
          </cell>
          <cell r="E185" t="str">
            <v>김재인</v>
          </cell>
          <cell r="F185" t="str">
            <v>-</v>
          </cell>
          <cell r="G185" t="str">
            <v>CCC</v>
          </cell>
          <cell r="H185" t="str">
            <v>미제출</v>
          </cell>
          <cell r="I185" t="str">
            <v>개인</v>
          </cell>
          <cell r="J185" t="str">
            <v>광주365재활병원</v>
          </cell>
          <cell r="L185" t="str">
            <v>검사사용량</v>
          </cell>
          <cell r="M185">
            <v>4109253621</v>
          </cell>
          <cell r="N185" t="str">
            <v>2026-01-13</v>
          </cell>
          <cell r="Q185">
            <v>90</v>
          </cell>
          <cell r="R185">
            <v>964665266</v>
          </cell>
        </row>
        <row r="186">
          <cell r="C186">
            <v>10063044</v>
          </cell>
          <cell r="D186" t="str">
            <v>병원경기1</v>
          </cell>
          <cell r="E186" t="str">
            <v>장철희</v>
          </cell>
          <cell r="F186" t="str">
            <v>-</v>
          </cell>
          <cell r="G186" t="str">
            <v>-</v>
          </cell>
          <cell r="H186" t="str">
            <v>미대상</v>
          </cell>
          <cell r="I186" t="str">
            <v>법인</v>
          </cell>
          <cell r="J186" t="str">
            <v>의료법인명인의료재단 화홍병원</v>
          </cell>
          <cell r="K186" t="str">
            <v>갱신1</v>
          </cell>
          <cell r="L186" t="str">
            <v>검사사용량</v>
          </cell>
          <cell r="M186" t="str">
            <v>7158200205_계약파기</v>
          </cell>
          <cell r="N186">
            <v>45966</v>
          </cell>
          <cell r="Q186">
            <v>191</v>
          </cell>
          <cell r="R186">
            <v>1171729000</v>
          </cell>
        </row>
        <row r="187">
          <cell r="C187">
            <v>10033027</v>
          </cell>
          <cell r="D187" t="str">
            <v>병원서울3</v>
          </cell>
          <cell r="E187" t="str">
            <v>왕유찬</v>
          </cell>
          <cell r="F187" t="str">
            <v>CCC+</v>
          </cell>
          <cell r="G187" t="str">
            <v>BB</v>
          </cell>
          <cell r="H187" t="str">
            <v>미대상</v>
          </cell>
          <cell r="I187" t="str">
            <v>법인</v>
          </cell>
          <cell r="J187" t="str">
            <v>더자인병원</v>
          </cell>
          <cell r="L187" t="str">
            <v>검사사용량</v>
          </cell>
          <cell r="M187">
            <v>1288207234</v>
          </cell>
          <cell r="N187">
            <v>46021</v>
          </cell>
          <cell r="Q187">
            <v>45</v>
          </cell>
          <cell r="R187">
            <v>395959520</v>
          </cell>
        </row>
        <row r="188">
          <cell r="C188">
            <v>10002829</v>
          </cell>
          <cell r="D188" t="str">
            <v>병원광주2</v>
          </cell>
          <cell r="E188" t="str">
            <v>최송이</v>
          </cell>
          <cell r="F188" t="str">
            <v>-</v>
          </cell>
          <cell r="G188" t="str">
            <v>BB-</v>
          </cell>
          <cell r="H188" t="str">
            <v>미제출</v>
          </cell>
          <cell r="I188" t="str">
            <v>개인</v>
          </cell>
          <cell r="J188" t="str">
            <v>운암한국병원</v>
          </cell>
          <cell r="K188" t="str">
            <v>갱신1</v>
          </cell>
          <cell r="L188" t="str">
            <v>검사사용량</v>
          </cell>
          <cell r="M188">
            <v>4099164290</v>
          </cell>
          <cell r="N188">
            <v>46020</v>
          </cell>
          <cell r="Q188">
            <v>125</v>
          </cell>
          <cell r="R188">
            <v>1087076900</v>
          </cell>
        </row>
        <row r="189">
          <cell r="C189">
            <v>10073012</v>
          </cell>
          <cell r="D189" t="str">
            <v>광주2</v>
          </cell>
          <cell r="E189" t="str">
            <v>김태화</v>
          </cell>
          <cell r="F189" t="str">
            <v>-</v>
          </cell>
          <cell r="G189" t="str">
            <v>BB-</v>
          </cell>
          <cell r="H189" t="str">
            <v>미제출</v>
          </cell>
          <cell r="I189" t="str">
            <v>개인</v>
          </cell>
          <cell r="J189" t="str">
            <v>영암한국병원</v>
          </cell>
          <cell r="L189" t="str">
            <v>검사사용량</v>
          </cell>
          <cell r="M189">
            <v>8531101603</v>
          </cell>
          <cell r="N189">
            <v>46041</v>
          </cell>
          <cell r="Q189">
            <v>60</v>
          </cell>
          <cell r="R189">
            <v>592753733</v>
          </cell>
        </row>
        <row r="190">
          <cell r="C190">
            <v>10034681</v>
          </cell>
          <cell r="D190" t="str">
            <v>병원경남1</v>
          </cell>
          <cell r="E190" t="str">
            <v>허재원</v>
          </cell>
          <cell r="F190" t="str">
            <v>B</v>
          </cell>
          <cell r="G190">
            <v>4</v>
          </cell>
          <cell r="H190" t="str">
            <v>제출</v>
          </cell>
          <cell r="I190" t="str">
            <v>개인</v>
          </cell>
          <cell r="J190" t="str">
            <v>강일병원</v>
          </cell>
          <cell r="L190" t="str">
            <v>검사사용량</v>
          </cell>
          <cell r="M190">
            <v>2059954823</v>
          </cell>
          <cell r="N190">
            <v>46051</v>
          </cell>
          <cell r="Q190">
            <v>124</v>
          </cell>
          <cell r="R190">
            <v>1068606726</v>
          </cell>
        </row>
        <row r="191">
          <cell r="C191">
            <v>10084743</v>
          </cell>
          <cell r="D191" t="str">
            <v>병원대구2</v>
          </cell>
          <cell r="E191" t="str">
            <v>손재우</v>
          </cell>
          <cell r="F191" t="str">
            <v>-</v>
          </cell>
          <cell r="G191" t="str">
            <v>CCC+</v>
          </cell>
          <cell r="H191" t="str">
            <v>미제출</v>
          </cell>
          <cell r="I191" t="str">
            <v>개인</v>
          </cell>
          <cell r="J191" t="str">
            <v>새동산병원</v>
          </cell>
          <cell r="L191" t="str">
            <v>검사사용량</v>
          </cell>
          <cell r="M191">
            <v>6739301513</v>
          </cell>
          <cell r="N191">
            <v>46036</v>
          </cell>
          <cell r="Q191">
            <v>30</v>
          </cell>
          <cell r="R191">
            <v>334023532</v>
          </cell>
        </row>
        <row r="192">
          <cell r="C192">
            <v>10035562</v>
          </cell>
          <cell r="D192" t="str">
            <v>병원강원</v>
          </cell>
          <cell r="E192" t="str">
            <v>조현일</v>
          </cell>
          <cell r="F192" t="str">
            <v>-</v>
          </cell>
          <cell r="G192" t="str">
            <v>BBB-</v>
          </cell>
          <cell r="H192" t="str">
            <v>미대상</v>
          </cell>
          <cell r="I192" t="str">
            <v>법인</v>
          </cell>
          <cell r="J192" t="str">
            <v>의료법인선덕의료재단 대성병원</v>
          </cell>
          <cell r="K192" t="str">
            <v>갱신1</v>
          </cell>
          <cell r="L192" t="str">
            <v>검사사용량</v>
          </cell>
          <cell r="M192">
            <v>2248207134</v>
          </cell>
          <cell r="N192" t="str">
            <v>2025-12-16</v>
          </cell>
          <cell r="Q192">
            <v>100</v>
          </cell>
          <cell r="R192">
            <v>572948000</v>
          </cell>
        </row>
        <row r="193">
          <cell r="C193">
            <v>10033160</v>
          </cell>
          <cell r="D193" t="str">
            <v>병원서울2</v>
          </cell>
          <cell r="E193" t="str">
            <v>황진하</v>
          </cell>
          <cell r="F193" t="str">
            <v>-</v>
          </cell>
          <cell r="G193" t="str">
            <v>BBB-</v>
          </cell>
          <cell r="H193" t="str">
            <v>미대상</v>
          </cell>
          <cell r="I193" t="str">
            <v>법인</v>
          </cell>
          <cell r="J193" t="str">
            <v>분당제생병원</v>
          </cell>
          <cell r="L193" t="str">
            <v>검사사용량</v>
          </cell>
          <cell r="M193">
            <v>1298204787</v>
          </cell>
          <cell r="N193" t="str">
            <v>2025-08-14</v>
          </cell>
          <cell r="Q193">
            <v>313</v>
          </cell>
          <cell r="R193">
            <v>2054066000</v>
          </cell>
        </row>
        <row r="194">
          <cell r="C194">
            <v>10033160</v>
          </cell>
          <cell r="D194" t="str">
            <v>병원서울2</v>
          </cell>
          <cell r="E194" t="str">
            <v>황진하</v>
          </cell>
          <cell r="F194" t="str">
            <v>-</v>
          </cell>
          <cell r="G194" t="str">
            <v>BBB-</v>
          </cell>
          <cell r="H194" t="str">
            <v>미대상</v>
          </cell>
          <cell r="I194" t="str">
            <v>법인</v>
          </cell>
          <cell r="J194" t="str">
            <v>분당제생병원</v>
          </cell>
          <cell r="K194" t="str">
            <v>추가1</v>
          </cell>
          <cell r="L194" t="str">
            <v>검사사용량</v>
          </cell>
          <cell r="M194">
            <v>1298204787</v>
          </cell>
          <cell r="N194" t="str">
            <v>2025-10-01</v>
          </cell>
          <cell r="Q194">
            <v>156</v>
          </cell>
          <cell r="R194">
            <v>974066000</v>
          </cell>
        </row>
        <row r="195">
          <cell r="C195">
            <v>10033270</v>
          </cell>
          <cell r="D195" t="str">
            <v>병원경인</v>
          </cell>
          <cell r="E195" t="str">
            <v>김두성</v>
          </cell>
          <cell r="F195" t="str">
            <v>-</v>
          </cell>
          <cell r="G195" t="str">
            <v>BBB-</v>
          </cell>
          <cell r="H195" t="str">
            <v>미대상</v>
          </cell>
          <cell r="I195" t="str">
            <v>법인</v>
          </cell>
          <cell r="J195" t="str">
            <v>가톨릭대학교 부천성모병원</v>
          </cell>
          <cell r="K195" t="str">
            <v>갱신1</v>
          </cell>
          <cell r="L195" t="str">
            <v>검사사용량</v>
          </cell>
          <cell r="M195">
            <v>1308202173</v>
          </cell>
          <cell r="N195" t="str">
            <v>2025-12-19</v>
          </cell>
          <cell r="Q195">
            <v>200</v>
          </cell>
          <cell r="R195">
            <v>2445025466</v>
          </cell>
        </row>
        <row r="196">
          <cell r="C196">
            <v>10112774</v>
          </cell>
          <cell r="D196" t="str">
            <v>병원부산1</v>
          </cell>
          <cell r="E196" t="str">
            <v>이승헌</v>
          </cell>
          <cell r="F196" t="str">
            <v>-</v>
          </cell>
          <cell r="G196" t="str">
            <v>B</v>
          </cell>
          <cell r="H196" t="str">
            <v>미제출</v>
          </cell>
          <cell r="I196" t="str">
            <v>개인</v>
          </cell>
          <cell r="J196" t="str">
            <v>나눔과행복병원</v>
          </cell>
          <cell r="K196" t="str">
            <v>갱신1</v>
          </cell>
          <cell r="L196" t="str">
            <v>검사사용량</v>
          </cell>
          <cell r="M196">
            <v>5808200671</v>
          </cell>
          <cell r="N196" t="str">
            <v>2026-01-30</v>
          </cell>
          <cell r="Q196">
            <v>110</v>
          </cell>
          <cell r="R196">
            <v>972272340</v>
          </cell>
        </row>
        <row r="197">
          <cell r="C197">
            <v>10041832</v>
          </cell>
          <cell r="D197" t="str">
            <v>병원부산1</v>
          </cell>
          <cell r="E197" t="str">
            <v>이승헌</v>
          </cell>
          <cell r="F197" t="str">
            <v>-</v>
          </cell>
          <cell r="G197" t="str">
            <v>BBB</v>
          </cell>
          <cell r="H197" t="str">
            <v>미대상</v>
          </cell>
          <cell r="I197" t="str">
            <v>법인</v>
          </cell>
          <cell r="J197" t="str">
            <v>기장병원</v>
          </cell>
          <cell r="L197" t="str">
            <v>검사사용량</v>
          </cell>
          <cell r="M197">
            <v>6218204755</v>
          </cell>
          <cell r="N197" t="str">
            <v>2026-02-05</v>
          </cell>
          <cell r="Q197">
            <v>50</v>
          </cell>
          <cell r="R197">
            <v>526336206</v>
          </cell>
        </row>
        <row r="198">
          <cell r="C198">
            <v>10036166</v>
          </cell>
          <cell r="D198" t="str">
            <v>병원청주</v>
          </cell>
          <cell r="E198" t="str">
            <v>박지우</v>
          </cell>
          <cell r="F198" t="str">
            <v>-</v>
          </cell>
          <cell r="G198" t="str">
            <v>B</v>
          </cell>
          <cell r="H198" t="str">
            <v>미제출</v>
          </cell>
          <cell r="I198" t="str">
            <v>개인</v>
          </cell>
          <cell r="J198" t="str">
            <v>씨엔씨재활병원</v>
          </cell>
          <cell r="L198" t="str">
            <v>검사사용량</v>
          </cell>
          <cell r="M198">
            <v>3019174529</v>
          </cell>
          <cell r="N198" t="str">
            <v>2026-02-09</v>
          </cell>
          <cell r="Q198">
            <v>40</v>
          </cell>
          <cell r="R198">
            <v>414142925</v>
          </cell>
        </row>
        <row r="199">
          <cell r="C199">
            <v>10105796</v>
          </cell>
          <cell r="D199" t="str">
            <v>병원경인</v>
          </cell>
          <cell r="E199" t="str">
            <v>이용재</v>
          </cell>
          <cell r="F199" t="str">
            <v>-</v>
          </cell>
          <cell r="G199" t="str">
            <v>BB</v>
          </cell>
          <cell r="H199" t="str">
            <v>미제출</v>
          </cell>
          <cell r="I199" t="str">
            <v>개인</v>
          </cell>
          <cell r="J199" t="str">
            <v>다솜요양병원</v>
          </cell>
          <cell r="L199" t="str">
            <v>구축형</v>
          </cell>
          <cell r="M199">
            <v>7339000251</v>
          </cell>
          <cell r="N199" t="str">
            <v>2026-02-03</v>
          </cell>
          <cell r="Q199">
            <v>40</v>
          </cell>
          <cell r="R199">
            <v>285000000</v>
          </cell>
        </row>
        <row r="200">
          <cell r="C200">
            <v>10039694</v>
          </cell>
          <cell r="D200" t="str">
            <v>병원대구1</v>
          </cell>
          <cell r="E200" t="str">
            <v>권근륜</v>
          </cell>
          <cell r="F200" t="str">
            <v>-</v>
          </cell>
          <cell r="G200" t="str">
            <v>BB-</v>
          </cell>
          <cell r="H200" t="str">
            <v>미대상</v>
          </cell>
          <cell r="I200" t="str">
            <v>법인</v>
          </cell>
          <cell r="J200" t="str">
            <v>석촌의료재단성주병원</v>
          </cell>
          <cell r="L200" t="str">
            <v>검사사용량</v>
          </cell>
          <cell r="M200">
            <v>5108204682</v>
          </cell>
          <cell r="N200" t="str">
            <v>2026-02-03</v>
          </cell>
          <cell r="Q200">
            <v>43</v>
          </cell>
          <cell r="R200">
            <v>402038130</v>
          </cell>
        </row>
        <row r="201">
          <cell r="C201">
            <v>10046609</v>
          </cell>
          <cell r="D201" t="str">
            <v>병원청주</v>
          </cell>
          <cell r="E201" t="str">
            <v>박지우</v>
          </cell>
          <cell r="F201" t="str">
            <v>-</v>
          </cell>
          <cell r="G201" t="str">
            <v>B+</v>
          </cell>
          <cell r="H201" t="str">
            <v>미제출</v>
          </cell>
          <cell r="I201" t="str">
            <v>개인</v>
          </cell>
          <cell r="J201" t="str">
            <v>씨엔씨푸른병원</v>
          </cell>
          <cell r="L201" t="str">
            <v>검사사용량</v>
          </cell>
          <cell r="M201">
            <v>3019209364</v>
          </cell>
          <cell r="N201" t="str">
            <v>2026-02-09</v>
          </cell>
          <cell r="Q201">
            <v>40</v>
          </cell>
          <cell r="R201">
            <v>406783100</v>
          </cell>
        </row>
        <row r="202">
          <cell r="C202">
            <v>10032900</v>
          </cell>
          <cell r="D202" t="str">
            <v>병원북부</v>
          </cell>
          <cell r="E202" t="str">
            <v>이영준</v>
          </cell>
          <cell r="F202" t="str">
            <v xml:space="preserve">BBB	</v>
          </cell>
          <cell r="G202" t="str">
            <v>BBB</v>
          </cell>
          <cell r="H202" t="str">
            <v>미대상</v>
          </cell>
          <cell r="I202" t="str">
            <v>법인</v>
          </cell>
          <cell r="J202" t="str">
            <v>포천우리병원</v>
          </cell>
          <cell r="L202" t="str">
            <v>검사사용량</v>
          </cell>
          <cell r="M202">
            <v>1278218835</v>
          </cell>
          <cell r="N202" t="str">
            <v>2026-02-13</v>
          </cell>
          <cell r="Q202">
            <v>100</v>
          </cell>
          <cell r="R202">
            <v>976920919</v>
          </cell>
        </row>
        <row r="203">
          <cell r="C203">
            <v>10035113</v>
          </cell>
          <cell r="D203" t="str">
            <v>병원남부2</v>
          </cell>
          <cell r="E203" t="str">
            <v>송우솔</v>
          </cell>
          <cell r="F203" t="str">
            <v>-</v>
          </cell>
          <cell r="G203" t="str">
            <v>-</v>
          </cell>
          <cell r="H203" t="str">
            <v>미대상</v>
          </cell>
          <cell r="I203" t="str">
            <v>법인</v>
          </cell>
          <cell r="J203" t="str">
            <v>삼성서울병원</v>
          </cell>
          <cell r="K203" t="str">
            <v>추가1</v>
          </cell>
          <cell r="L203" t="str">
            <v>구축형</v>
          </cell>
          <cell r="M203">
            <v>2138205096</v>
          </cell>
          <cell r="N203" t="str">
            <v>2025-02-25</v>
          </cell>
          <cell r="Q203">
            <v>39</v>
          </cell>
          <cell r="R203">
            <v>176000000</v>
          </cell>
        </row>
        <row r="204">
          <cell r="C204">
            <v>10048962</v>
          </cell>
          <cell r="D204" t="str">
            <v>병원서울2</v>
          </cell>
          <cell r="E204" t="str">
            <v>김용민</v>
          </cell>
          <cell r="F204" t="str">
            <v>B</v>
          </cell>
          <cell r="G204" t="str">
            <v>-</v>
          </cell>
          <cell r="H204" t="str">
            <v>미제출</v>
          </cell>
          <cell r="I204" t="str">
            <v>개인</v>
          </cell>
          <cell r="J204" t="str">
            <v>분당베스트병원</v>
          </cell>
          <cell r="L204" t="str">
            <v>검사사용량</v>
          </cell>
          <cell r="M204">
            <v>1299276368</v>
          </cell>
          <cell r="N204" t="str">
            <v>2025-12-17</v>
          </cell>
          <cell r="Q204">
            <v>30</v>
          </cell>
          <cell r="R204">
            <v>494587379</v>
          </cell>
        </row>
        <row r="205">
          <cell r="C205">
            <v>10034735</v>
          </cell>
          <cell r="D205" t="str">
            <v>병원동부</v>
          </cell>
          <cell r="E205" t="str">
            <v>이선구</v>
          </cell>
          <cell r="F205" t="str">
            <v xml:space="preserve">AA-	</v>
          </cell>
          <cell r="G205" t="str">
            <v>AA-</v>
          </cell>
          <cell r="H205" t="str">
            <v>미대상</v>
          </cell>
          <cell r="I205" t="str">
            <v>법인</v>
          </cell>
          <cell r="J205" t="str">
            <v>한양대학교병원</v>
          </cell>
          <cell r="L205" t="str">
            <v>검사사용량</v>
          </cell>
          <cell r="M205">
            <v>2068201898</v>
          </cell>
          <cell r="N205" t="str">
            <v>2026-01-26</v>
          </cell>
          <cell r="Q205">
            <v>370</v>
          </cell>
          <cell r="R205">
            <v>2683228240</v>
          </cell>
        </row>
        <row r="206">
          <cell r="C206">
            <v>10040635</v>
          </cell>
          <cell r="D206" t="str">
            <v>병원부산1</v>
          </cell>
          <cell r="E206" t="str">
            <v>김주영</v>
          </cell>
          <cell r="F206" t="str">
            <v xml:space="preserve">BB+	</v>
          </cell>
          <cell r="G206" t="str">
            <v>CCC+</v>
          </cell>
          <cell r="H206" t="str">
            <v>미대상</v>
          </cell>
          <cell r="I206" t="str">
            <v>법인</v>
          </cell>
          <cell r="J206" t="str">
            <v>인제대학교 부산백병원</v>
          </cell>
          <cell r="L206" t="str">
            <v>검사사용량</v>
          </cell>
          <cell r="M206">
            <v>6058202148</v>
          </cell>
          <cell r="N206" t="str">
            <v>2026-02-20</v>
          </cell>
          <cell r="Q206">
            <v>58</v>
          </cell>
          <cell r="R206">
            <v>812930000</v>
          </cell>
        </row>
        <row r="207">
          <cell r="C207">
            <v>10034707</v>
          </cell>
          <cell r="D207" t="str">
            <v>병원서울1</v>
          </cell>
          <cell r="E207" t="str">
            <v>공보성</v>
          </cell>
          <cell r="F207" t="str">
            <v xml:space="preserve">BB-	</v>
          </cell>
          <cell r="G207" t="str">
            <v>BB</v>
          </cell>
          <cell r="H207" t="str">
            <v>미제출</v>
          </cell>
          <cell r="I207" t="str">
            <v>개인</v>
          </cell>
          <cell r="J207" t="str">
            <v>혜민병원</v>
          </cell>
          <cell r="L207" t="str">
            <v>검사사용량</v>
          </cell>
          <cell r="M207">
            <v>2062884484</v>
          </cell>
          <cell r="N207" t="str">
            <v>2026-02-24</v>
          </cell>
          <cell r="Q207">
            <v>50</v>
          </cell>
          <cell r="R207">
            <v>419812248</v>
          </cell>
        </row>
        <row r="208">
          <cell r="C208">
            <v>10041601</v>
          </cell>
          <cell r="D208" t="str">
            <v>병원부산1</v>
          </cell>
          <cell r="E208" t="str">
            <v>이승헌</v>
          </cell>
          <cell r="F208" t="str">
            <v xml:space="preserve">BB+	</v>
          </cell>
          <cell r="G208" t="str">
            <v>CCC+</v>
          </cell>
          <cell r="H208" t="str">
            <v>미대상</v>
          </cell>
          <cell r="I208" t="str">
            <v>법인</v>
          </cell>
          <cell r="J208" t="str">
            <v>해운대백병원</v>
          </cell>
          <cell r="L208" t="str">
            <v>검사사용량</v>
          </cell>
          <cell r="M208">
            <v>6178208373</v>
          </cell>
          <cell r="N208" t="str">
            <v>2026-03-00</v>
          </cell>
          <cell r="Q208">
            <v>55</v>
          </cell>
          <cell r="R208">
            <v>748709000</v>
          </cell>
        </row>
        <row r="209">
          <cell r="C209">
            <v>10111228</v>
          </cell>
          <cell r="D209" t="str">
            <v>병원대구1</v>
          </cell>
          <cell r="E209" t="str">
            <v>한동주</v>
          </cell>
          <cell r="F209" t="str">
            <v>-</v>
          </cell>
          <cell r="G209" t="str">
            <v>CCC</v>
          </cell>
          <cell r="H209" t="str">
            <v>제출</v>
          </cell>
          <cell r="I209" t="str">
            <v>개인</v>
          </cell>
          <cell r="J209" t="str">
            <v>대구예스병원</v>
          </cell>
          <cell r="L209" t="str">
            <v>검사사용량</v>
          </cell>
          <cell r="M209">
            <v>7469101651</v>
          </cell>
          <cell r="N209" t="str">
            <v>2026-03-09</v>
          </cell>
          <cell r="Q209">
            <v>90</v>
          </cell>
          <cell r="R209">
            <v>839239544</v>
          </cell>
        </row>
        <row r="210">
          <cell r="C210">
            <v>10042934</v>
          </cell>
          <cell r="D210" t="str">
            <v>병원경인</v>
          </cell>
          <cell r="E210" t="str">
            <v>정재환</v>
          </cell>
          <cell r="F210" t="str">
            <v>BBB</v>
          </cell>
          <cell r="G210" t="str">
            <v>BB+</v>
          </cell>
          <cell r="H210" t="str">
            <v>미대상</v>
          </cell>
          <cell r="I210" t="str">
            <v>법인</v>
          </cell>
          <cell r="J210" t="str">
            <v>시화병원</v>
          </cell>
          <cell r="L210" t="str">
            <v>검사사용량</v>
          </cell>
          <cell r="M210">
            <v>8078200237</v>
          </cell>
          <cell r="N210" t="str">
            <v>2026-03-13</v>
          </cell>
          <cell r="Q210">
            <v>30</v>
          </cell>
          <cell r="R210">
            <v>261797614</v>
          </cell>
        </row>
        <row r="211">
          <cell r="C211">
            <v>10039210</v>
          </cell>
          <cell r="D211" t="str">
            <v>병원대구1</v>
          </cell>
          <cell r="E211" t="str">
            <v>오성훈</v>
          </cell>
          <cell r="F211" t="str">
            <v xml:space="preserve">BBB-	</v>
          </cell>
          <cell r="G211" t="str">
            <v>BBB-</v>
          </cell>
          <cell r="H211" t="str">
            <v>미대상</v>
          </cell>
          <cell r="I211" t="str">
            <v>법인</v>
          </cell>
          <cell r="J211" t="str">
            <v>의료법인 백천의료재단 바로본병원</v>
          </cell>
          <cell r="K211" t="str">
            <v>갱신1</v>
          </cell>
          <cell r="L211" t="str">
            <v>검사사용량</v>
          </cell>
          <cell r="M211">
            <v>5028213744</v>
          </cell>
          <cell r="N211" t="str">
            <v>2025-07-14</v>
          </cell>
          <cell r="Q211">
            <v>60</v>
          </cell>
          <cell r="R211">
            <v>408776000</v>
          </cell>
        </row>
        <row r="212">
          <cell r="C212">
            <v>10040523</v>
          </cell>
          <cell r="D212" t="str">
            <v>병원부산1</v>
          </cell>
          <cell r="E212" t="str">
            <v>정원종</v>
          </cell>
          <cell r="F212" t="str">
            <v>-</v>
          </cell>
          <cell r="G212" t="str">
            <v>A+</v>
          </cell>
          <cell r="H212" t="str">
            <v>미대상</v>
          </cell>
          <cell r="I212" t="str">
            <v>법인</v>
          </cell>
          <cell r="J212" t="str">
            <v>동아대학교의료원</v>
          </cell>
          <cell r="L212" t="str">
            <v>검사사용량</v>
          </cell>
          <cell r="M212">
            <v>6038203952</v>
          </cell>
          <cell r="N212" t="str">
            <v>2026-03-19</v>
          </cell>
          <cell r="Q212">
            <v>257</v>
          </cell>
          <cell r="R212">
            <v>2188512469</v>
          </cell>
        </row>
        <row r="213">
          <cell r="C213">
            <v>10112263</v>
          </cell>
          <cell r="D213" t="str">
            <v>병원광주2</v>
          </cell>
          <cell r="E213" t="str">
            <v>박경환</v>
          </cell>
          <cell r="F213" t="str">
            <v>-</v>
          </cell>
          <cell r="G213" t="str">
            <v>A</v>
          </cell>
          <cell r="H213" t="str">
            <v>미대상</v>
          </cell>
          <cell r="I213" t="str">
            <v>법인</v>
          </cell>
          <cell r="J213" t="str">
            <v>목포효성요양병원</v>
          </cell>
          <cell r="L213" t="str">
            <v>검사사용량</v>
          </cell>
          <cell r="M213">
            <v>4118213040</v>
          </cell>
          <cell r="N213" t="str">
            <v>2026-03-25</v>
          </cell>
          <cell r="Q213">
            <v>60</v>
          </cell>
          <cell r="R213">
            <v>423794336</v>
          </cell>
        </row>
        <row r="214">
          <cell r="C214">
            <v>10041597</v>
          </cell>
          <cell r="D214" t="str">
            <v>병원부산3</v>
          </cell>
          <cell r="E214" t="str">
            <v>박태영</v>
          </cell>
          <cell r="F214" t="str">
            <v>-</v>
          </cell>
          <cell r="G214" t="str">
            <v>-</v>
          </cell>
          <cell r="H214" t="str">
            <v>미대상</v>
          </cell>
          <cell r="I214" t="str">
            <v>법인</v>
          </cell>
          <cell r="J214" t="str">
            <v>서부산센텀병원</v>
          </cell>
          <cell r="L214" t="str">
            <v>검사사용량</v>
          </cell>
          <cell r="M214">
            <v>6178207807</v>
          </cell>
          <cell r="N214" t="str">
            <v>2026-03-30</v>
          </cell>
          <cell r="Q214">
            <v>70</v>
          </cell>
          <cell r="R214">
            <v>618224633</v>
          </cell>
        </row>
        <row r="215">
          <cell r="C215">
            <v>10033479</v>
          </cell>
          <cell r="D215" t="str">
            <v>병원강원</v>
          </cell>
          <cell r="E215" t="str">
            <v>조현일</v>
          </cell>
          <cell r="F215" t="str">
            <v>-</v>
          </cell>
          <cell r="G215" t="str">
            <v>BB+</v>
          </cell>
          <cell r="H215" t="str">
            <v>미대상</v>
          </cell>
          <cell r="I215" t="str">
            <v>법인</v>
          </cell>
          <cell r="J215" t="str">
            <v>의료법인양평의료재단(양평병원)</v>
          </cell>
          <cell r="K215" t="str">
            <v>추가1</v>
          </cell>
          <cell r="L215" t="str">
            <v>검사사용량</v>
          </cell>
          <cell r="M215">
            <v>1328203391</v>
          </cell>
          <cell r="N215" t="str">
            <v>2026-03-17</v>
          </cell>
          <cell r="Q215">
            <v>30</v>
          </cell>
          <cell r="R215">
            <v>291461099</v>
          </cell>
        </row>
        <row r="216">
          <cell r="C216">
            <v>10037863</v>
          </cell>
          <cell r="D216" t="str">
            <v>병원광주2</v>
          </cell>
          <cell r="E216" t="str">
            <v>주병옥</v>
          </cell>
          <cell r="F216" t="str">
            <v>B</v>
          </cell>
          <cell r="G216" t="str">
            <v>BB</v>
          </cell>
          <cell r="H216" t="str">
            <v>미제출</v>
          </cell>
          <cell r="I216" t="str">
            <v>개인</v>
          </cell>
          <cell r="J216" t="str">
            <v>광주씨티병원</v>
          </cell>
          <cell r="K216" t="str">
            <v>추가1</v>
          </cell>
          <cell r="L216" t="str">
            <v>검사사용량</v>
          </cell>
          <cell r="M216">
            <v>4080598358</v>
          </cell>
          <cell r="N216" t="str">
            <v>2026-04-03</v>
          </cell>
          <cell r="Q216">
            <v>40</v>
          </cell>
          <cell r="R216">
            <v>299145829</v>
          </cell>
        </row>
        <row r="217">
          <cell r="C217">
            <v>10077968</v>
          </cell>
          <cell r="D217" t="str">
            <v>병원전주</v>
          </cell>
          <cell r="E217" t="str">
            <v>황민이</v>
          </cell>
          <cell r="F217" t="str">
            <v>BB</v>
          </cell>
          <cell r="G217">
            <v>3</v>
          </cell>
          <cell r="H217" t="str">
            <v>제출</v>
          </cell>
          <cell r="I217" t="str">
            <v>개인</v>
          </cell>
          <cell r="J217" t="str">
            <v>정읍한국병원</v>
          </cell>
          <cell r="L217" t="str">
            <v>검사사용량</v>
          </cell>
          <cell r="M217">
            <v>1880502389</v>
          </cell>
          <cell r="N217" t="str">
            <v>2026-04-08</v>
          </cell>
          <cell r="Q217">
            <v>40</v>
          </cell>
          <cell r="R217">
            <v>389626437</v>
          </cell>
        </row>
        <row r="218">
          <cell r="C218">
            <v>10032148</v>
          </cell>
          <cell r="D218" t="str">
            <v>남부3</v>
          </cell>
          <cell r="E218" t="str">
            <v>오인성</v>
          </cell>
          <cell r="F218" t="str">
            <v>-</v>
          </cell>
          <cell r="G218" t="str">
            <v>-</v>
          </cell>
          <cell r="H218" t="str">
            <v>미대상</v>
          </cell>
          <cell r="I218" t="str">
            <v>법인</v>
          </cell>
          <cell r="J218" t="str">
            <v>희명병원</v>
          </cell>
          <cell r="L218" t="str">
            <v>검사사용량</v>
          </cell>
          <cell r="M218" t="str">
            <v>1198201274_계약파기</v>
          </cell>
          <cell r="N218" t="str">
            <v>2026-04-14</v>
          </cell>
          <cell r="O218" t="str">
            <v>-</v>
          </cell>
          <cell r="Q218">
            <v>50</v>
          </cell>
          <cell r="R218">
            <v>452221777</v>
          </cell>
        </row>
        <row r="219">
          <cell r="C219">
            <v>10050868</v>
          </cell>
          <cell r="D219" t="str">
            <v>북부3</v>
          </cell>
          <cell r="E219" t="str">
            <v>양홍만</v>
          </cell>
          <cell r="F219" t="str">
            <v>-</v>
          </cell>
          <cell r="G219" t="str">
            <v>BB-</v>
          </cell>
          <cell r="H219" t="str">
            <v>미제출</v>
          </cell>
          <cell r="I219" t="str">
            <v>개인</v>
          </cell>
          <cell r="J219" t="str">
            <v>연세오케이병원</v>
          </cell>
          <cell r="L219" t="str">
            <v>검사사용량</v>
          </cell>
          <cell r="M219">
            <v>3929300084</v>
          </cell>
          <cell r="N219" t="str">
            <v>2026-03-10</v>
          </cell>
          <cell r="Q219">
            <v>30</v>
          </cell>
          <cell r="R219">
            <v>337457952</v>
          </cell>
        </row>
        <row r="220">
          <cell r="C220">
            <v>10083322</v>
          </cell>
          <cell r="D220" t="str">
            <v>병원전주</v>
          </cell>
          <cell r="E220" t="str">
            <v>전창규</v>
          </cell>
          <cell r="F220" t="str">
            <v>-</v>
          </cell>
          <cell r="G220">
            <v>2</v>
          </cell>
          <cell r="H220" t="str">
            <v>제출</v>
          </cell>
          <cell r="I220" t="str">
            <v>개인</v>
          </cell>
          <cell r="J220" t="str">
            <v>아중요양병원</v>
          </cell>
          <cell r="L220" t="str">
            <v>검사사용량</v>
          </cell>
          <cell r="M220">
            <v>2219201090</v>
          </cell>
          <cell r="N220" t="str">
            <v>2026-04-16</v>
          </cell>
          <cell r="Q220">
            <v>35</v>
          </cell>
          <cell r="R220">
            <v>529155312</v>
          </cell>
        </row>
        <row r="221">
          <cell r="C221">
            <v>10061894</v>
          </cell>
          <cell r="D221" t="str">
            <v>병원광주2</v>
          </cell>
          <cell r="E221" t="str">
            <v>정두리</v>
          </cell>
          <cell r="F221" t="str">
            <v>-</v>
          </cell>
          <cell r="G221">
            <v>10</v>
          </cell>
          <cell r="H221" t="str">
            <v>제출</v>
          </cell>
          <cell r="I221" t="str">
            <v>개인</v>
          </cell>
          <cell r="J221" t="str">
            <v>선한병원</v>
          </cell>
          <cell r="L221" t="str">
            <v>검사사용량</v>
          </cell>
          <cell r="M221">
            <v>5213100103</v>
          </cell>
          <cell r="N221" t="str">
            <v>2026-04-16</v>
          </cell>
          <cell r="Q221">
            <v>50</v>
          </cell>
          <cell r="R221">
            <v>514237696</v>
          </cell>
        </row>
        <row r="222">
          <cell r="C222">
            <v>10033888</v>
          </cell>
          <cell r="D222" t="str">
            <v>병원인천</v>
          </cell>
          <cell r="E222" t="str">
            <v>김형태</v>
          </cell>
          <cell r="F222" t="str">
            <v>-</v>
          </cell>
          <cell r="G222" t="str">
            <v>-</v>
          </cell>
          <cell r="H222" t="str">
            <v>미대상</v>
          </cell>
          <cell r="I222" t="str">
            <v>법인</v>
          </cell>
          <cell r="J222" t="str">
            <v>가톨릭관동대학교 국제성모병원(중복기재)</v>
          </cell>
          <cell r="L222" t="str">
            <v>검사사용량</v>
          </cell>
          <cell r="M222" t="str">
            <v>1378209745_계약파기</v>
          </cell>
          <cell r="N222" t="str">
            <v>2026-03-13</v>
          </cell>
          <cell r="Q222">
            <v>137</v>
          </cell>
          <cell r="R222">
            <v>949000000</v>
          </cell>
        </row>
        <row r="223">
          <cell r="C223">
            <v>10087386</v>
          </cell>
          <cell r="D223" t="str">
            <v>부산1</v>
          </cell>
          <cell r="E223" t="str">
            <v>한현민</v>
          </cell>
          <cell r="F223" t="str">
            <v>-</v>
          </cell>
          <cell r="G223" t="str">
            <v>B+</v>
          </cell>
          <cell r="H223" t="str">
            <v>미제출</v>
          </cell>
          <cell r="I223" t="str">
            <v>개인</v>
          </cell>
          <cell r="J223" t="str">
            <v>큰힘병원</v>
          </cell>
          <cell r="L223" t="str">
            <v>구독형</v>
          </cell>
          <cell r="M223">
            <v>6949001993</v>
          </cell>
          <cell r="N223" t="str">
            <v>2026-04-16</v>
          </cell>
          <cell r="Q223">
            <v>30</v>
          </cell>
          <cell r="R223">
            <v>253500540</v>
          </cell>
        </row>
        <row r="224">
          <cell r="C224">
            <v>10050630</v>
          </cell>
          <cell r="D224" t="str">
            <v>병원청주</v>
          </cell>
          <cell r="E224" t="str">
            <v>김경석</v>
          </cell>
          <cell r="F224" t="str">
            <v>-</v>
          </cell>
          <cell r="G224" t="str">
            <v>-</v>
          </cell>
          <cell r="H224" t="str">
            <v>제출</v>
          </cell>
          <cell r="I224" t="str">
            <v>개인</v>
          </cell>
          <cell r="J224" t="str">
            <v>천안우리병원</v>
          </cell>
          <cell r="L224" t="str">
            <v>검사사용량</v>
          </cell>
          <cell r="M224">
            <v>3129053129</v>
          </cell>
          <cell r="N224" t="str">
            <v>2026-04-28</v>
          </cell>
          <cell r="Q224">
            <v>64</v>
          </cell>
          <cell r="R224">
            <v>520074735</v>
          </cell>
        </row>
        <row r="225">
          <cell r="C225">
            <v>10112509</v>
          </cell>
          <cell r="D225" t="str">
            <v>병원광주1</v>
          </cell>
          <cell r="E225" t="str">
            <v>김재인</v>
          </cell>
          <cell r="F225" t="str">
            <v>-</v>
          </cell>
          <cell r="G225">
            <v>2</v>
          </cell>
          <cell r="H225" t="str">
            <v>제출</v>
          </cell>
          <cell r="I225" t="str">
            <v>개인</v>
          </cell>
          <cell r="J225" t="str">
            <v>더스마트병원</v>
          </cell>
          <cell r="L225" t="str">
            <v>검사사용량</v>
          </cell>
          <cell r="M225">
            <v>3329402447</v>
          </cell>
          <cell r="N225" t="str">
            <v>2026-04-27</v>
          </cell>
          <cell r="Q225">
            <v>60</v>
          </cell>
          <cell r="R225">
            <v>619102418</v>
          </cell>
        </row>
        <row r="226">
          <cell r="C226">
            <v>10063044</v>
          </cell>
          <cell r="D226" t="str">
            <v>병원경기1</v>
          </cell>
          <cell r="E226" t="str">
            <v>장철희</v>
          </cell>
          <cell r="F226" t="str">
            <v>-</v>
          </cell>
          <cell r="G226" t="str">
            <v>BB</v>
          </cell>
          <cell r="H226" t="str">
            <v>미대상</v>
          </cell>
          <cell r="I226" t="str">
            <v>법인</v>
          </cell>
          <cell r="J226" t="str">
            <v>의료법인명인의료재단 화홍병원</v>
          </cell>
          <cell r="K226" t="str">
            <v>갱신2</v>
          </cell>
          <cell r="L226" t="str">
            <v>검사사용량</v>
          </cell>
          <cell r="M226">
            <v>7158200205</v>
          </cell>
          <cell r="N226" t="str">
            <v>2026-04-10</v>
          </cell>
          <cell r="Q226">
            <v>191</v>
          </cell>
          <cell r="R226">
            <v>1114876000</v>
          </cell>
        </row>
        <row r="227">
          <cell r="C227">
            <v>10037919</v>
          </cell>
          <cell r="D227" t="str">
            <v>병원광주1</v>
          </cell>
          <cell r="E227" t="str">
            <v>황원주</v>
          </cell>
          <cell r="F227" t="str">
            <v>-</v>
          </cell>
          <cell r="G227" t="str">
            <v>B+</v>
          </cell>
          <cell r="H227" t="str">
            <v>미대상</v>
          </cell>
          <cell r="I227" t="str">
            <v>법인</v>
          </cell>
          <cell r="J227" t="str">
            <v>화순전남대학교병원</v>
          </cell>
          <cell r="L227" t="str">
            <v>검사사용량</v>
          </cell>
          <cell r="M227">
            <v>4088213350</v>
          </cell>
          <cell r="N227" t="str">
            <v>2026-02-28</v>
          </cell>
          <cell r="Q227">
            <v>341</v>
          </cell>
          <cell r="R227">
            <v>1413898200</v>
          </cell>
        </row>
        <row r="228">
          <cell r="C228">
            <v>10045059</v>
          </cell>
          <cell r="D228" t="str">
            <v>병원동부</v>
          </cell>
          <cell r="E228" t="str">
            <v>김태인</v>
          </cell>
          <cell r="F228" t="str">
            <v>-</v>
          </cell>
          <cell r="G228">
            <v>1</v>
          </cell>
          <cell r="H228" t="str">
            <v>제출</v>
          </cell>
          <cell r="I228" t="str">
            <v>개인</v>
          </cell>
          <cell r="J228" t="str">
            <v>팔팔병원</v>
          </cell>
          <cell r="L228" t="str">
            <v>검사사용량</v>
          </cell>
          <cell r="M228">
            <v>2049371905</v>
          </cell>
          <cell r="N228" t="str">
            <v>2026-04-30</v>
          </cell>
          <cell r="Q228">
            <v>45</v>
          </cell>
          <cell r="R228">
            <v>346398880</v>
          </cell>
        </row>
        <row r="229">
          <cell r="C229">
            <v>10092010</v>
          </cell>
          <cell r="D229" t="str">
            <v>병원청주</v>
          </cell>
          <cell r="E229" t="str">
            <v>이진구</v>
          </cell>
          <cell r="F229" t="str">
            <v>-</v>
          </cell>
          <cell r="G229" t="str">
            <v>-</v>
          </cell>
          <cell r="H229" t="str">
            <v>제출</v>
          </cell>
          <cell r="I229" t="str">
            <v>개인</v>
          </cell>
          <cell r="J229" t="str">
            <v>예미담요양병원</v>
          </cell>
          <cell r="L229" t="str">
            <v>검사사용량</v>
          </cell>
          <cell r="M229">
            <v>2169200124</v>
          </cell>
          <cell r="N229" t="str">
            <v>2026-05-11</v>
          </cell>
          <cell r="Q229">
            <v>30</v>
          </cell>
          <cell r="R229">
            <v>362803168</v>
          </cell>
        </row>
        <row r="230">
          <cell r="C230">
            <v>10072686</v>
          </cell>
          <cell r="D230" t="str">
            <v>병원청주</v>
          </cell>
          <cell r="E230" t="str">
            <v>안치형</v>
          </cell>
          <cell r="F230" t="str">
            <v>AA</v>
          </cell>
          <cell r="G230" t="str">
            <v>-</v>
          </cell>
          <cell r="H230" t="str">
            <v>미제출</v>
          </cell>
          <cell r="I230" t="str">
            <v>개인</v>
          </cell>
          <cell r="J230" t="str">
            <v>나은필병원</v>
          </cell>
          <cell r="L230" t="str">
            <v>검사사용량</v>
          </cell>
          <cell r="M230" t="str">
            <v>4239501417_계약파기</v>
          </cell>
          <cell r="N230" t="str">
            <v>2026-05-11</v>
          </cell>
          <cell r="Q230">
            <v>30</v>
          </cell>
          <cell r="R230">
            <v>388743010</v>
          </cell>
        </row>
        <row r="231">
          <cell r="C231">
            <v>10038241</v>
          </cell>
          <cell r="D231" t="str">
            <v>병원광주2</v>
          </cell>
          <cell r="E231" t="str">
            <v>박경환</v>
          </cell>
          <cell r="F231" t="str">
            <v>-</v>
          </cell>
          <cell r="G231">
            <v>2</v>
          </cell>
          <cell r="H231" t="str">
            <v>제출</v>
          </cell>
          <cell r="I231" t="str">
            <v>개인</v>
          </cell>
          <cell r="J231" t="str">
            <v>광주21세기병원</v>
          </cell>
          <cell r="L231" t="str">
            <v>검사사용량</v>
          </cell>
          <cell r="M231">
            <v>4109197127</v>
          </cell>
          <cell r="N231" t="str">
            <v>2026-05-06</v>
          </cell>
          <cell r="Q231">
            <v>15</v>
          </cell>
          <cell r="R231">
            <v>165407424</v>
          </cell>
        </row>
        <row r="232">
          <cell r="C232">
            <v>10033319</v>
          </cell>
          <cell r="D232" t="str">
            <v>병원서울4</v>
          </cell>
          <cell r="E232" t="str">
            <v>신화현</v>
          </cell>
          <cell r="F232" t="str">
            <v>BB0</v>
          </cell>
          <cell r="G232" t="str">
            <v>-</v>
          </cell>
          <cell r="H232" t="str">
            <v>제출</v>
          </cell>
          <cell r="I232" t="str">
            <v>개인</v>
          </cell>
          <cell r="J232" t="str">
            <v>구로성심병원</v>
          </cell>
          <cell r="L232" t="str">
            <v>검사사용량</v>
          </cell>
          <cell r="M232">
            <v>1309604542</v>
          </cell>
          <cell r="N232" t="str">
            <v>2026-05-06</v>
          </cell>
          <cell r="Q232">
            <v>55</v>
          </cell>
          <cell r="R232">
            <v>402684575</v>
          </cell>
        </row>
        <row r="233">
          <cell r="C233">
            <v>10033023</v>
          </cell>
          <cell r="D233" t="str">
            <v>병원서울3</v>
          </cell>
          <cell r="E233" t="str">
            <v>남용진</v>
          </cell>
          <cell r="F233" t="str">
            <v xml:space="preserve">BB+	</v>
          </cell>
          <cell r="G233" t="str">
            <v>CCC+</v>
          </cell>
          <cell r="H233" t="str">
            <v>미대상</v>
          </cell>
          <cell r="I233" t="str">
            <v>법인</v>
          </cell>
          <cell r="J233" t="str">
            <v>일산백병원</v>
          </cell>
          <cell r="L233" t="str">
            <v>구축형</v>
          </cell>
          <cell r="M233">
            <v>1288206410</v>
          </cell>
          <cell r="N233" t="str">
            <v>2026-02-13</v>
          </cell>
          <cell r="Q233">
            <v>10</v>
          </cell>
          <cell r="R233">
            <v>123000000</v>
          </cell>
        </row>
        <row r="234">
          <cell r="C234">
            <v>10035376</v>
          </cell>
          <cell r="D234" t="str">
            <v>병원서울1</v>
          </cell>
          <cell r="E234" t="str">
            <v>김병우</v>
          </cell>
          <cell r="F234" t="str">
            <v xml:space="preserve">AA+	</v>
          </cell>
          <cell r="G234" t="str">
            <v>-</v>
          </cell>
          <cell r="H234" t="str">
            <v>미대상</v>
          </cell>
          <cell r="I234" t="str">
            <v>법인</v>
          </cell>
          <cell r="J234" t="str">
            <v>(재)아산사회복지재단 (서울아산병원)</v>
          </cell>
          <cell r="L234" t="str">
            <v>구축형</v>
          </cell>
          <cell r="M234">
            <v>2198200046</v>
          </cell>
          <cell r="N234" t="str">
            <v>2026-04-10</v>
          </cell>
          <cell r="Q234">
            <v>20</v>
          </cell>
          <cell r="R234">
            <v>166007000</v>
          </cell>
        </row>
        <row r="235">
          <cell r="C235">
            <v>10066681</v>
          </cell>
          <cell r="D235" t="str">
            <v>병원광주1</v>
          </cell>
          <cell r="E235" t="str">
            <v>이용선</v>
          </cell>
          <cell r="F235" t="str">
            <v>-</v>
          </cell>
          <cell r="G235" t="str">
            <v>B-</v>
          </cell>
          <cell r="H235" t="str">
            <v>미제출</v>
          </cell>
          <cell r="I235" t="str">
            <v>개인</v>
          </cell>
          <cell r="J235" t="str">
            <v>빛가람종합병원</v>
          </cell>
          <cell r="K235" t="str">
            <v>갱신1</v>
          </cell>
          <cell r="L235" t="str">
            <v>검사사용량</v>
          </cell>
          <cell r="M235">
            <v>3069899368</v>
          </cell>
          <cell r="N235" t="str">
            <v>2025-10-27</v>
          </cell>
          <cell r="Q235">
            <v>80</v>
          </cell>
          <cell r="R235">
            <v>553044000</v>
          </cell>
        </row>
        <row r="236">
          <cell r="C236">
            <v>10039976</v>
          </cell>
          <cell r="D236" t="str">
            <v>병원대구1</v>
          </cell>
          <cell r="E236" t="str">
            <v>박남준</v>
          </cell>
          <cell r="F236" t="str">
            <v>-</v>
          </cell>
          <cell r="G236" t="str">
            <v>-</v>
          </cell>
          <cell r="H236" t="str">
            <v>미대상</v>
          </cell>
          <cell r="I236" t="str">
            <v>법인</v>
          </cell>
          <cell r="J236" t="str">
            <v>의료법인서명의료재단 세명병원</v>
          </cell>
          <cell r="L236" t="str">
            <v>검사사용량</v>
          </cell>
          <cell r="M236" t="str">
            <v>5158206462_계약파기</v>
          </cell>
          <cell r="N236" t="str">
            <v>2026-05-07</v>
          </cell>
          <cell r="Q236">
            <v>100</v>
          </cell>
          <cell r="R236">
            <v>897377545</v>
          </cell>
        </row>
        <row r="237">
          <cell r="C237">
            <v>10041416</v>
          </cell>
          <cell r="D237" t="str">
            <v>병원경남1</v>
          </cell>
          <cell r="E237" t="str">
            <v>허재원</v>
          </cell>
          <cell r="F237" t="str">
            <v>-</v>
          </cell>
          <cell r="G237" t="str">
            <v>BB</v>
          </cell>
          <cell r="H237" t="str">
            <v>미대상</v>
          </cell>
          <cell r="I237" t="str">
            <v>법인</v>
          </cell>
          <cell r="J237" t="str">
            <v>의료법인갑을의료재단 갑을장유병원</v>
          </cell>
          <cell r="K237" t="str">
            <v>갱신1</v>
          </cell>
          <cell r="L237" t="str">
            <v>검사사용량</v>
          </cell>
          <cell r="M237">
            <v>6158210039</v>
          </cell>
          <cell r="N237" t="str">
            <v>2026-05-08</v>
          </cell>
          <cell r="Q237">
            <v>120</v>
          </cell>
          <cell r="R237">
            <v>994806350</v>
          </cell>
        </row>
        <row r="238">
          <cell r="C238">
            <v>10026494</v>
          </cell>
          <cell r="D238" t="str">
            <v>병원광주1</v>
          </cell>
          <cell r="E238" t="str">
            <v>김정란</v>
          </cell>
          <cell r="F238" t="str">
            <v>-</v>
          </cell>
          <cell r="G238" t="str">
            <v>BBB</v>
          </cell>
          <cell r="H238" t="str">
            <v>미제출</v>
          </cell>
          <cell r="I238" t="str">
            <v>개인</v>
          </cell>
          <cell r="J238" t="str">
            <v>해남우리종합병원</v>
          </cell>
          <cell r="K238" t="str">
            <v>추가1</v>
          </cell>
          <cell r="L238" t="str">
            <v>검사사용량</v>
          </cell>
          <cell r="M238">
            <v>4159055955</v>
          </cell>
          <cell r="N238" t="str">
            <v>2026-05-21</v>
          </cell>
          <cell r="Q238">
            <v>10</v>
          </cell>
          <cell r="R238">
            <v>255890432</v>
          </cell>
        </row>
        <row r="239">
          <cell r="C239">
            <v>10006922</v>
          </cell>
          <cell r="D239" t="str">
            <v>병원서울3</v>
          </cell>
          <cell r="E239" t="str">
            <v>왕유찬</v>
          </cell>
          <cell r="F239" t="str">
            <v>-</v>
          </cell>
          <cell r="G239">
            <v>1</v>
          </cell>
          <cell r="H239" t="str">
            <v>제출</v>
          </cell>
          <cell r="I239" t="str">
            <v>개인</v>
          </cell>
          <cell r="J239" t="str">
            <v>향동포레요양병원</v>
          </cell>
          <cell r="L239" t="str">
            <v>검사사용량</v>
          </cell>
          <cell r="M239">
            <v>1289247837</v>
          </cell>
          <cell r="N239" t="str">
            <v>2026-05-11</v>
          </cell>
          <cell r="Q239">
            <v>20</v>
          </cell>
          <cell r="R239">
            <v>340188186</v>
          </cell>
        </row>
        <row r="240">
          <cell r="C240">
            <v>10037916</v>
          </cell>
          <cell r="D240" t="str">
            <v>병원광주1</v>
          </cell>
          <cell r="E240" t="str">
            <v>김재인</v>
          </cell>
          <cell r="F240" t="str">
            <v>-</v>
          </cell>
          <cell r="G240" t="str">
            <v>B+</v>
          </cell>
          <cell r="H240" t="str">
            <v>미대상</v>
          </cell>
          <cell r="I240" t="str">
            <v>법인</v>
          </cell>
          <cell r="J240" t="str">
            <v>전남대학교병원</v>
          </cell>
          <cell r="L240" t="str">
            <v>검사사용량</v>
          </cell>
          <cell r="M240">
            <v>4088208124</v>
          </cell>
          <cell r="N240" t="str">
            <v>2026-05-01</v>
          </cell>
          <cell r="Q240">
            <v>217</v>
          </cell>
          <cell r="R240">
            <v>1857889757</v>
          </cell>
        </row>
        <row r="241">
          <cell r="C241">
            <v>10042480</v>
          </cell>
          <cell r="D241" t="str">
            <v>병원대구1</v>
          </cell>
          <cell r="E241" t="str">
            <v>노현령</v>
          </cell>
          <cell r="F241" t="str">
            <v>-</v>
          </cell>
          <cell r="G241" t="str">
            <v>-</v>
          </cell>
          <cell r="H241" t="str">
            <v>제출</v>
          </cell>
          <cell r="I241" t="str">
            <v>개인</v>
          </cell>
          <cell r="J241" t="str">
            <v>든든한병원</v>
          </cell>
          <cell r="L241" t="str">
            <v>검사사용량</v>
          </cell>
          <cell r="M241">
            <v>7269200198</v>
          </cell>
          <cell r="N241" t="str">
            <v>2026-05-22</v>
          </cell>
          <cell r="Q241">
            <v>30</v>
          </cell>
          <cell r="R241">
            <v>335334466</v>
          </cell>
        </row>
        <row r="242">
          <cell r="C242">
            <v>10039922</v>
          </cell>
          <cell r="D242" t="str">
            <v>병원대구1</v>
          </cell>
          <cell r="E242" t="str">
            <v>한동주</v>
          </cell>
          <cell r="F242" t="str">
            <v>BB</v>
          </cell>
          <cell r="G242" t="str">
            <v>-</v>
          </cell>
          <cell r="H242" t="str">
            <v>제출</v>
          </cell>
          <cell r="I242" t="str">
            <v>개인</v>
          </cell>
          <cell r="J242" t="str">
            <v>우리병원</v>
          </cell>
          <cell r="L242" t="str">
            <v>검사사용량</v>
          </cell>
          <cell r="M242">
            <v>5149067705</v>
          </cell>
          <cell r="N242" t="str">
            <v>2026-05-28</v>
          </cell>
          <cell r="Q242">
            <v>40</v>
          </cell>
          <cell r="R242">
            <v>390773875</v>
          </cell>
        </row>
        <row r="243">
          <cell r="C243">
            <v>10035639</v>
          </cell>
          <cell r="D243" t="str">
            <v>병원강원</v>
          </cell>
          <cell r="E243" t="str">
            <v>정현갑</v>
          </cell>
          <cell r="F243" t="str">
            <v xml:space="preserve">AA+	</v>
          </cell>
          <cell r="G243" t="str">
            <v>AA+</v>
          </cell>
          <cell r="H243" t="str">
            <v>미대상</v>
          </cell>
          <cell r="I243" t="str">
            <v>법인</v>
          </cell>
          <cell r="J243" t="str">
            <v>(재)아산사회복지재단 (강릉아산병원)</v>
          </cell>
          <cell r="K243" t="str">
            <v>추가1</v>
          </cell>
          <cell r="L243" t="str">
            <v>검사사용량</v>
          </cell>
          <cell r="M243">
            <v>2268204297</v>
          </cell>
          <cell r="N243" t="str">
            <v>2026-04-21</v>
          </cell>
          <cell r="Q243">
            <v>121</v>
          </cell>
          <cell r="R243">
            <v>654321000</v>
          </cell>
        </row>
        <row r="244">
          <cell r="C244">
            <v>10040724</v>
          </cell>
          <cell r="D244" t="str">
            <v>병원부산2</v>
          </cell>
          <cell r="E244" t="str">
            <v>구민수</v>
          </cell>
          <cell r="F244" t="str">
            <v>-</v>
          </cell>
          <cell r="G244" t="str">
            <v>A</v>
          </cell>
          <cell r="H244" t="str">
            <v>미대상</v>
          </cell>
          <cell r="I244" t="str">
            <v>법인</v>
          </cell>
          <cell r="J244" t="str">
            <v xml:space="preserve">부산부민병원 </v>
          </cell>
          <cell r="L244" t="str">
            <v>구독형</v>
          </cell>
          <cell r="M244">
            <v>6068211790</v>
          </cell>
          <cell r="N244" t="str">
            <v>2026-06-02</v>
          </cell>
          <cell r="Q244">
            <v>50</v>
          </cell>
          <cell r="R244">
            <v>417891900</v>
          </cell>
        </row>
        <row r="245">
          <cell r="C245">
            <v>10072686</v>
          </cell>
          <cell r="D245" t="str">
            <v>병원청주</v>
          </cell>
          <cell r="E245" t="str">
            <v>안치형</v>
          </cell>
          <cell r="F245" t="str">
            <v>AA</v>
          </cell>
          <cell r="G245">
            <v>2</v>
          </cell>
          <cell r="H245" t="str">
            <v>제출</v>
          </cell>
          <cell r="I245" t="str">
            <v>개인</v>
          </cell>
          <cell r="J245" t="str">
            <v>나은필병원</v>
          </cell>
          <cell r="K245" t="str">
            <v>갱신1</v>
          </cell>
          <cell r="L245" t="str">
            <v>검사사용량</v>
          </cell>
          <cell r="M245">
            <v>4239501417</v>
          </cell>
          <cell r="N245" t="str">
            <v>2026-06-02</v>
          </cell>
          <cell r="Q245">
            <v>30</v>
          </cell>
          <cell r="R245">
            <v>395630935</v>
          </cell>
        </row>
        <row r="246">
          <cell r="C246">
            <v>10034679</v>
          </cell>
          <cell r="D246" t="str">
            <v>병원동부</v>
          </cell>
          <cell r="E246" t="str">
            <v>김형섭</v>
          </cell>
          <cell r="F246" t="str">
            <v>BBB-</v>
          </cell>
          <cell r="G246" t="str">
            <v>BB-</v>
          </cell>
          <cell r="H246" t="str">
            <v>미제출</v>
          </cell>
          <cell r="I246" t="str">
            <v>개인</v>
          </cell>
          <cell r="J246" t="str">
            <v>서울성심병원</v>
          </cell>
          <cell r="K246" t="str">
            <v>추가1</v>
          </cell>
          <cell r="L246" t="str">
            <v>검사사용량</v>
          </cell>
          <cell r="M246">
            <v>2059615760</v>
          </cell>
          <cell r="N246" t="str">
            <v>2026-06-01</v>
          </cell>
          <cell r="Q246">
            <v>20</v>
          </cell>
          <cell r="R246">
            <v>158468688</v>
          </cell>
        </row>
        <row r="247">
          <cell r="C247">
            <v>10041259</v>
          </cell>
          <cell r="D247" t="str">
            <v>병원경남1</v>
          </cell>
          <cell r="E247" t="str">
            <v>박준수</v>
          </cell>
          <cell r="F247" t="str">
            <v>-</v>
          </cell>
          <cell r="G247" t="str">
            <v>BB+</v>
          </cell>
          <cell r="H247" t="str">
            <v>미제출</v>
          </cell>
          <cell r="I247" t="str">
            <v>개인</v>
          </cell>
          <cell r="J247" t="str">
            <v>새통영병원</v>
          </cell>
          <cell r="K247" t="str">
            <v>갱신1</v>
          </cell>
          <cell r="L247" t="str">
            <v>검사사용량</v>
          </cell>
          <cell r="M247">
            <v>6129235248</v>
          </cell>
          <cell r="N247" t="str">
            <v>2026-06-04</v>
          </cell>
          <cell r="Q247">
            <v>104</v>
          </cell>
          <cell r="R247">
            <v>850000000</v>
          </cell>
        </row>
        <row r="248">
          <cell r="C248">
            <v>10038511</v>
          </cell>
          <cell r="D248" t="str">
            <v>병원광주2</v>
          </cell>
          <cell r="E248" t="str">
            <v>서선열</v>
          </cell>
          <cell r="F248" t="str">
            <v>-</v>
          </cell>
          <cell r="G248" t="str">
            <v>-</v>
          </cell>
          <cell r="H248" t="str">
            <v>미대상</v>
          </cell>
          <cell r="I248" t="str">
            <v>법인</v>
          </cell>
          <cell r="J248" t="str">
            <v>(의)한국의료재단 순천한국병원</v>
          </cell>
          <cell r="L248" t="str">
            <v>검사사용량</v>
          </cell>
          <cell r="M248">
            <v>4168210636</v>
          </cell>
          <cell r="N248" t="str">
            <v>2026-06-09</v>
          </cell>
          <cell r="Q248">
            <v>30</v>
          </cell>
          <cell r="R248">
            <v>378120160</v>
          </cell>
        </row>
        <row r="249">
          <cell r="C249">
            <v>10035528</v>
          </cell>
          <cell r="D249" t="str">
            <v>병원강원</v>
          </cell>
          <cell r="E249" t="str">
            <v>김영진</v>
          </cell>
          <cell r="F249" t="str">
            <v xml:space="preserve">AA+	</v>
          </cell>
          <cell r="G249" t="str">
            <v>-</v>
          </cell>
          <cell r="H249" t="str">
            <v>미대상</v>
          </cell>
          <cell r="I249" t="str">
            <v>법인</v>
          </cell>
          <cell r="J249" t="str">
            <v>홍천아산병원</v>
          </cell>
          <cell r="L249" t="str">
            <v>검사사용량</v>
          </cell>
          <cell r="M249">
            <v>2238201947</v>
          </cell>
          <cell r="N249" t="str">
            <v>2026-04-21</v>
          </cell>
          <cell r="Q249">
            <v>100</v>
          </cell>
          <cell r="R249">
            <v>540122000</v>
          </cell>
        </row>
        <row r="250">
          <cell r="C250">
            <v>10037742</v>
          </cell>
          <cell r="D250" t="str">
            <v>병원전주</v>
          </cell>
          <cell r="E250" t="str">
            <v>황민이</v>
          </cell>
          <cell r="F250" t="str">
            <v>-</v>
          </cell>
          <cell r="G250" t="str">
            <v>-</v>
          </cell>
          <cell r="H250" t="str">
            <v>미대상</v>
          </cell>
          <cell r="I250" t="str">
            <v>법인</v>
          </cell>
          <cell r="J250" t="str">
            <v>정읍아산병원</v>
          </cell>
          <cell r="L250" t="str">
            <v>검사사용량</v>
          </cell>
          <cell r="M250">
            <v>4048200848</v>
          </cell>
          <cell r="N250" t="str">
            <v>2026-04-21</v>
          </cell>
          <cell r="Q250">
            <v>100</v>
          </cell>
          <cell r="R250">
            <v>700192000</v>
          </cell>
        </row>
        <row r="251">
          <cell r="C251">
            <v>10112765</v>
          </cell>
          <cell r="D251" t="str">
            <v>병원부산2</v>
          </cell>
          <cell r="E251" t="str">
            <v>이도엽</v>
          </cell>
          <cell r="F251" t="str">
            <v>-</v>
          </cell>
          <cell r="G251" t="str">
            <v>B+</v>
          </cell>
          <cell r="H251" t="str">
            <v>미대상</v>
          </cell>
          <cell r="I251" t="str">
            <v>법인</v>
          </cell>
          <cell r="J251" t="str">
            <v>의료법인라움의료재단세웅병원</v>
          </cell>
          <cell r="L251" t="str">
            <v>검사사용량</v>
          </cell>
          <cell r="M251">
            <v>2058206304</v>
          </cell>
          <cell r="N251" t="str">
            <v>2025-06-02</v>
          </cell>
          <cell r="Q251">
            <v>50</v>
          </cell>
          <cell r="R251">
            <v>436766000</v>
          </cell>
        </row>
        <row r="252">
          <cell r="C252">
            <v>10112765</v>
          </cell>
          <cell r="D252" t="str">
            <v>병원부산2</v>
          </cell>
          <cell r="E252" t="str">
            <v>이도엽</v>
          </cell>
          <cell r="F252" t="str">
            <v>-</v>
          </cell>
          <cell r="G252" t="str">
            <v>B+</v>
          </cell>
          <cell r="H252" t="str">
            <v>미대상</v>
          </cell>
          <cell r="I252" t="str">
            <v>법인</v>
          </cell>
          <cell r="J252" t="str">
            <v>의료법인라움의료재단세웅병원</v>
          </cell>
          <cell r="K252" t="str">
            <v>추가1</v>
          </cell>
          <cell r="L252" t="str">
            <v>검사사용량</v>
          </cell>
          <cell r="M252">
            <v>2058206304</v>
          </cell>
          <cell r="N252" t="str">
            <v>2025-09-26</v>
          </cell>
          <cell r="Q252">
            <v>50</v>
          </cell>
          <cell r="R252">
            <v>326548000</v>
          </cell>
        </row>
        <row r="253">
          <cell r="C253">
            <v>10039499</v>
          </cell>
          <cell r="D253" t="str">
            <v>병원대구2</v>
          </cell>
          <cell r="E253" t="str">
            <v>이지홍</v>
          </cell>
          <cell r="F253" t="str">
            <v>BBB-</v>
          </cell>
          <cell r="G253" t="str">
            <v>-</v>
          </cell>
          <cell r="H253" t="str">
            <v>미대상</v>
          </cell>
          <cell r="I253" t="str">
            <v>법인</v>
          </cell>
          <cell r="J253" t="str">
            <v>동국대학교의료원(경주)</v>
          </cell>
          <cell r="L253" t="str">
            <v>검사사용량</v>
          </cell>
          <cell r="M253">
            <v>5058203342</v>
          </cell>
          <cell r="N253">
            <v>46204</v>
          </cell>
          <cell r="Q253">
            <v>51</v>
          </cell>
          <cell r="R253">
            <v>338168598</v>
          </cell>
        </row>
        <row r="254">
          <cell r="C254">
            <v>10041846</v>
          </cell>
          <cell r="D254" t="str">
            <v>병원부산1</v>
          </cell>
          <cell r="E254" t="str">
            <v>이승헌</v>
          </cell>
          <cell r="F254" t="str">
            <v>-</v>
          </cell>
          <cell r="G254" t="str">
            <v>-</v>
          </cell>
          <cell r="H254" t="str">
            <v>미대상</v>
          </cell>
          <cell r="I254" t="str">
            <v>법인</v>
          </cell>
          <cell r="J254" t="str">
            <v>동남권원자력의학원</v>
          </cell>
          <cell r="L254" t="str">
            <v>검사사용량</v>
          </cell>
          <cell r="M254">
            <v>6218211241</v>
          </cell>
          <cell r="N254">
            <v>46235</v>
          </cell>
          <cell r="Q254">
            <v>130</v>
          </cell>
          <cell r="R254">
            <v>1198000000</v>
          </cell>
        </row>
        <row r="255">
          <cell r="C255">
            <v>10087161</v>
          </cell>
          <cell r="D255" t="str">
            <v>병원경남2</v>
          </cell>
          <cell r="E255" t="str">
            <v>권수상</v>
          </cell>
          <cell r="F255" t="str">
            <v>-</v>
          </cell>
          <cell r="G255" t="str">
            <v>CCC+</v>
          </cell>
          <cell r="H255" t="str">
            <v>미제출</v>
          </cell>
          <cell r="I255" t="str">
            <v>개인</v>
          </cell>
          <cell r="J255" t="str">
            <v>중앙메디컬병원</v>
          </cell>
          <cell r="K255" t="str">
            <v>갱신1</v>
          </cell>
          <cell r="L255" t="str">
            <v>검사사용량</v>
          </cell>
          <cell r="M255">
            <v>8765600670</v>
          </cell>
          <cell r="N255" t="str">
            <v>2026-06-17</v>
          </cell>
          <cell r="Q255">
            <v>31</v>
          </cell>
          <cell r="R255">
            <v>320528537</v>
          </cell>
        </row>
        <row r="256">
          <cell r="C256">
            <v>10114817</v>
          </cell>
          <cell r="D256" t="str">
            <v>병원서울2</v>
          </cell>
          <cell r="E256" t="str">
            <v>박현진</v>
          </cell>
          <cell r="F256" t="str">
            <v>B</v>
          </cell>
          <cell r="G256" t="str">
            <v>-</v>
          </cell>
          <cell r="H256" t="str">
            <v>제출</v>
          </cell>
          <cell r="I256" t="str">
            <v>개인</v>
          </cell>
          <cell r="J256" t="str">
            <v>서울백강병원</v>
          </cell>
          <cell r="L256" t="str">
            <v>검사사용량</v>
          </cell>
          <cell r="M256">
            <v>2509901947</v>
          </cell>
          <cell r="N256">
            <v>46261</v>
          </cell>
          <cell r="Q256">
            <v>30</v>
          </cell>
          <cell r="R256">
            <v>249331152</v>
          </cell>
        </row>
        <row r="257">
          <cell r="C257">
            <v>10081683</v>
          </cell>
          <cell r="D257" t="str">
            <v>병원청주</v>
          </cell>
          <cell r="E257" t="str">
            <v>이헌찬</v>
          </cell>
          <cell r="F257" t="str">
            <v>-</v>
          </cell>
          <cell r="G257" t="str">
            <v>B-</v>
          </cell>
          <cell r="H257" t="str">
            <v>미대상</v>
          </cell>
          <cell r="I257" t="str">
            <v>법인</v>
          </cell>
          <cell r="J257" t="str">
            <v>가온의료재단혁신성모병원</v>
          </cell>
          <cell r="K257" t="str">
            <v>갱신1</v>
          </cell>
          <cell r="L257" t="str">
            <v>검사사용량</v>
          </cell>
          <cell r="M257">
            <v>3348200383</v>
          </cell>
          <cell r="N257" t="str">
            <v>2026-06-25</v>
          </cell>
          <cell r="Q257">
            <v>20</v>
          </cell>
          <cell r="R257">
            <v>252021770</v>
          </cell>
        </row>
        <row r="258">
          <cell r="C258">
            <v>10032388</v>
          </cell>
          <cell r="D258" t="str">
            <v>병원인천</v>
          </cell>
          <cell r="E258" t="str">
            <v>나천</v>
          </cell>
          <cell r="F258" t="str">
            <v>-</v>
          </cell>
          <cell r="G258" t="str">
            <v>BBB-</v>
          </cell>
          <cell r="H258" t="str">
            <v>미대상</v>
          </cell>
          <cell r="I258" t="str">
            <v>법인</v>
          </cell>
          <cell r="J258" t="str">
            <v>의료법인안은의료재단부평세림병원</v>
          </cell>
          <cell r="K258" t="str">
            <v>추가1</v>
          </cell>
          <cell r="L258" t="str">
            <v>검사사용량</v>
          </cell>
          <cell r="M258">
            <v>1228230509</v>
          </cell>
          <cell r="N258" t="str">
            <v>2026-06-30</v>
          </cell>
          <cell r="Q258">
            <v>30</v>
          </cell>
          <cell r="R258">
            <v>251116544</v>
          </cell>
        </row>
        <row r="259">
          <cell r="C259">
            <v>10033614</v>
          </cell>
          <cell r="D259" t="str">
            <v>병원경기1</v>
          </cell>
          <cell r="E259" t="str">
            <v>장철희</v>
          </cell>
          <cell r="F259" t="str">
            <v>-</v>
          </cell>
          <cell r="G259" t="str">
            <v>BBB+</v>
          </cell>
          <cell r="H259" t="str">
            <v>미대상</v>
          </cell>
          <cell r="I259" t="str">
            <v>법인</v>
          </cell>
          <cell r="J259" t="str">
            <v>대아의료재단 한도병원- 계약서 재작성, 체결 대기</v>
          </cell>
          <cell r="K259" t="str">
            <v>추가1</v>
          </cell>
          <cell r="L259" t="str">
            <v>검사사용량</v>
          </cell>
          <cell r="M259">
            <v>1348207603</v>
          </cell>
          <cell r="N259" t="str">
            <v>2026-06-30</v>
          </cell>
          <cell r="Q259">
            <v>150</v>
          </cell>
          <cell r="R259">
            <v>1392110000</v>
          </cell>
        </row>
        <row r="260">
          <cell r="C260">
            <v>10070076</v>
          </cell>
          <cell r="D260" t="str">
            <v>병원서울1</v>
          </cell>
          <cell r="E260" t="str">
            <v>김태완</v>
          </cell>
          <cell r="F260" t="str">
            <v>-</v>
          </cell>
          <cell r="G260" t="str">
            <v>-</v>
          </cell>
          <cell r="H260" t="str">
            <v>제출</v>
          </cell>
          <cell r="I260" t="str">
            <v>개인</v>
          </cell>
          <cell r="J260" t="str">
            <v>서울세계로병원</v>
          </cell>
          <cell r="L260" t="str">
            <v>검사사용량</v>
          </cell>
          <cell r="M260">
            <v>3679701218</v>
          </cell>
          <cell r="N260" t="str">
            <v>2026-06-18</v>
          </cell>
          <cell r="Q260">
            <v>20</v>
          </cell>
          <cell r="R260">
            <v>194105856</v>
          </cell>
        </row>
        <row r="261">
          <cell r="C261">
            <v>10040113</v>
          </cell>
          <cell r="D261" t="str">
            <v>병원남부1</v>
          </cell>
          <cell r="E261" t="str">
            <v>김상현</v>
          </cell>
          <cell r="F261" t="str">
            <v>-</v>
          </cell>
          <cell r="G261" t="str">
            <v>B+</v>
          </cell>
          <cell r="H261" t="str">
            <v>미제출</v>
          </cell>
          <cell r="I261" t="str">
            <v>개인</v>
          </cell>
          <cell r="J261" t="str">
            <v>올바로병원</v>
          </cell>
          <cell r="L261" t="str">
            <v>구축형</v>
          </cell>
          <cell r="M261">
            <v>5439900350</v>
          </cell>
          <cell r="N261" t="str">
            <v>2026-06-30</v>
          </cell>
          <cell r="Q261">
            <v>20</v>
          </cell>
          <cell r="R261">
            <v>192881400</v>
          </cell>
        </row>
        <row r="262">
          <cell r="C262">
            <v>10038193</v>
          </cell>
          <cell r="D262" t="str">
            <v>병원광주2</v>
          </cell>
          <cell r="E262" t="str">
            <v>주병옥</v>
          </cell>
          <cell r="F262" t="str">
            <v>-</v>
          </cell>
          <cell r="G262" t="str">
            <v>-</v>
          </cell>
          <cell r="H262" t="str">
            <v>미대상</v>
          </cell>
          <cell r="I262" t="str">
            <v>법인</v>
          </cell>
          <cell r="J262" t="str">
            <v>광주기독병원</v>
          </cell>
          <cell r="L262" t="str">
            <v>검사사용량</v>
          </cell>
          <cell r="M262">
            <v>4108200687</v>
          </cell>
          <cell r="N262" t="str">
            <v>2026-07-02</v>
          </cell>
          <cell r="Q262">
            <v>120</v>
          </cell>
          <cell r="R262">
            <v>1337190826</v>
          </cell>
        </row>
        <row r="263">
          <cell r="C263">
            <v>10038148</v>
          </cell>
          <cell r="D263" t="str">
            <v>병원광주1</v>
          </cell>
          <cell r="E263" t="str">
            <v>황원주</v>
          </cell>
          <cell r="F263" t="str">
            <v>-</v>
          </cell>
          <cell r="G263" t="str">
            <v>BB+</v>
          </cell>
          <cell r="H263" t="str">
            <v>미제출</v>
          </cell>
          <cell r="I263" t="str">
            <v>개인</v>
          </cell>
          <cell r="J263" t="str">
            <v>KS병원</v>
          </cell>
          <cell r="K263" t="str">
            <v>추가1</v>
          </cell>
          <cell r="L263" t="str">
            <v>검사사용량</v>
          </cell>
          <cell r="M263">
            <v>4102672846</v>
          </cell>
          <cell r="N263" t="str">
            <v>2026-07-07</v>
          </cell>
          <cell r="Q263">
            <v>40</v>
          </cell>
          <cell r="R263">
            <v>452650075</v>
          </cell>
        </row>
        <row r="264">
          <cell r="C264">
            <v>10032311</v>
          </cell>
          <cell r="D264" t="str">
            <v>병원서울2</v>
          </cell>
          <cell r="E264" t="str">
            <v>김용민</v>
          </cell>
          <cell r="F264" t="str">
            <v>-</v>
          </cell>
          <cell r="G264" t="str">
            <v>BBB</v>
          </cell>
          <cell r="H264" t="str">
            <v>미제출</v>
          </cell>
          <cell r="I264" t="str">
            <v>개인</v>
          </cell>
          <cell r="J264" t="str">
            <v>성모윌병원(갱신) - 계약서 재작성, 체결 대기</v>
          </cell>
          <cell r="L264" t="str">
            <v>검사사용량</v>
          </cell>
          <cell r="M264">
            <v>1219210232</v>
          </cell>
          <cell r="N264" t="str">
            <v>2026-06-30</v>
          </cell>
          <cell r="Q264">
            <v>10</v>
          </cell>
          <cell r="R264">
            <v>48787200</v>
          </cell>
        </row>
        <row r="265">
          <cell r="C265">
            <v>10035633</v>
          </cell>
          <cell r="D265" t="str">
            <v>병원강원</v>
          </cell>
          <cell r="E265" t="str">
            <v>최철준</v>
          </cell>
          <cell r="F265" t="str">
            <v xml:space="preserve">BBB-	</v>
          </cell>
          <cell r="G265" t="str">
            <v>-</v>
          </cell>
          <cell r="H265" t="str">
            <v>미대상</v>
          </cell>
          <cell r="I265" t="str">
            <v>법인</v>
          </cell>
          <cell r="J265" t="str">
            <v>강릉동인병원</v>
          </cell>
          <cell r="L265" t="str">
            <v>검사사용량</v>
          </cell>
          <cell r="M265">
            <v>2268201835</v>
          </cell>
          <cell r="N265" t="str">
            <v>2026-07-09</v>
          </cell>
          <cell r="Q265">
            <v>40</v>
          </cell>
          <cell r="R265">
            <v>355435906</v>
          </cell>
        </row>
        <row r="266">
          <cell r="C266">
            <v>10032743</v>
          </cell>
          <cell r="D266" t="str">
            <v>병원서울3</v>
          </cell>
          <cell r="E266" t="str">
            <v>남용진</v>
          </cell>
          <cell r="F266" t="str">
            <v>A</v>
          </cell>
          <cell r="G266" t="str">
            <v>-</v>
          </cell>
          <cell r="H266" t="str">
            <v>제출</v>
          </cell>
          <cell r="I266" t="str">
            <v>개인</v>
          </cell>
          <cell r="J266" t="str">
            <v>자애요양병원</v>
          </cell>
          <cell r="L266" t="str">
            <v>검사사용량</v>
          </cell>
          <cell r="M266">
            <v>1259602620</v>
          </cell>
          <cell r="N266" t="str">
            <v>2026-06-18</v>
          </cell>
          <cell r="Q266">
            <v>10</v>
          </cell>
          <cell r="R266">
            <v>130283894</v>
          </cell>
        </row>
        <row r="267">
          <cell r="C267">
            <v>10090690</v>
          </cell>
          <cell r="D267" t="str">
            <v>병원경기1</v>
          </cell>
          <cell r="E267" t="str">
            <v>공동호</v>
          </cell>
          <cell r="F267" t="str">
            <v>CCC-</v>
          </cell>
          <cell r="G267" t="str">
            <v>-</v>
          </cell>
          <cell r="H267" t="str">
            <v>미제출</v>
          </cell>
          <cell r="I267" t="str">
            <v>개인</v>
          </cell>
          <cell r="J267" t="str">
            <v>클래스병원</v>
          </cell>
          <cell r="L267" t="str">
            <v>구축형</v>
          </cell>
          <cell r="M267">
            <v>8159201842</v>
          </cell>
          <cell r="N267" t="str">
            <v>2026-07-22</v>
          </cell>
          <cell r="Q267">
            <v>90</v>
          </cell>
          <cell r="R267">
            <v>350000000</v>
          </cell>
        </row>
        <row r="268">
          <cell r="C268">
            <v>10113105</v>
          </cell>
          <cell r="D268" t="str">
            <v>병원부산2</v>
          </cell>
          <cell r="E268" t="str">
            <v>이도엽</v>
          </cell>
          <cell r="F268" t="str">
            <v>-</v>
          </cell>
          <cell r="G268" t="str">
            <v>-</v>
          </cell>
          <cell r="H268" t="str">
            <v>제출</v>
          </cell>
          <cell r="I268" t="str">
            <v>개인</v>
          </cell>
          <cell r="J268" t="str">
            <v>소나무병원</v>
          </cell>
          <cell r="L268" t="str">
            <v>검사사용량</v>
          </cell>
          <cell r="M268">
            <v>7699701807</v>
          </cell>
          <cell r="N268" t="str">
            <v>2026-07-15</v>
          </cell>
          <cell r="Q268">
            <v>80</v>
          </cell>
          <cell r="R268">
            <v>587587392</v>
          </cell>
        </row>
        <row r="269">
          <cell r="C269">
            <v>10033785</v>
          </cell>
          <cell r="D269" t="str">
            <v>병원경기2</v>
          </cell>
          <cell r="E269" t="str">
            <v>백시현</v>
          </cell>
          <cell r="F269" t="str">
            <v>A</v>
          </cell>
          <cell r="G269" t="str">
            <v>-</v>
          </cell>
          <cell r="H269" t="str">
            <v>제출</v>
          </cell>
          <cell r="I269" t="str">
            <v>개인</v>
          </cell>
          <cell r="J269" t="str">
            <v>버팀병원</v>
          </cell>
          <cell r="L269" t="str">
            <v>검사사용량</v>
          </cell>
          <cell r="M269">
            <v>1359263679</v>
          </cell>
          <cell r="N269">
            <v>46266</v>
          </cell>
          <cell r="Q269">
            <v>15</v>
          </cell>
          <cell r="R269">
            <v>199017412</v>
          </cell>
        </row>
        <row r="270">
          <cell r="C270">
            <v>10050323</v>
          </cell>
          <cell r="D270" t="str">
            <v>병원경기1</v>
          </cell>
          <cell r="E270" t="str">
            <v>정종양</v>
          </cell>
          <cell r="F270" t="str">
            <v xml:space="preserve"> AA</v>
          </cell>
          <cell r="G270" t="str">
            <v>-</v>
          </cell>
          <cell r="H270" t="str">
            <v>제출</v>
          </cell>
          <cell r="I270" t="str">
            <v>개인</v>
          </cell>
          <cell r="J270" t="str">
            <v>수원버팀병원</v>
          </cell>
          <cell r="L270" t="str">
            <v>검사사용량</v>
          </cell>
          <cell r="M270">
            <v>2369000352</v>
          </cell>
          <cell r="N270">
            <v>46266</v>
          </cell>
          <cell r="Q270">
            <v>30</v>
          </cell>
          <cell r="R270">
            <v>249331152</v>
          </cell>
        </row>
        <row r="271">
          <cell r="C271">
            <v>10038259</v>
          </cell>
          <cell r="D271" t="str">
            <v>병원광주2</v>
          </cell>
          <cell r="E271" t="str">
            <v>주병옥</v>
          </cell>
          <cell r="F271" t="str">
            <v>-</v>
          </cell>
          <cell r="G271" t="str">
            <v>BB</v>
          </cell>
          <cell r="H271" t="str">
            <v>미제출</v>
          </cell>
          <cell r="I271" t="str">
            <v>개인</v>
          </cell>
          <cell r="J271" t="str">
            <v>동아병원</v>
          </cell>
          <cell r="K271" t="str">
            <v>추가1</v>
          </cell>
          <cell r="L271" t="str">
            <v>검사사용량</v>
          </cell>
          <cell r="M271">
            <v>4109607163</v>
          </cell>
          <cell r="N271" t="str">
            <v>2026-07-22</v>
          </cell>
          <cell r="Q271">
            <v>10</v>
          </cell>
          <cell r="R271">
            <v>72280656</v>
          </cell>
        </row>
        <row r="272">
          <cell r="C272">
            <v>10038451</v>
          </cell>
          <cell r="D272" t="str">
            <v>광주2</v>
          </cell>
          <cell r="E272" t="str">
            <v>선효석</v>
          </cell>
          <cell r="F272" t="str">
            <v>BBB</v>
          </cell>
          <cell r="G272" t="str">
            <v>-</v>
          </cell>
          <cell r="H272" t="str">
            <v>제출</v>
          </cell>
          <cell r="I272" t="str">
            <v>개인</v>
          </cell>
          <cell r="J272" t="str">
            <v>완도대성병원</v>
          </cell>
          <cell r="L272" t="str">
            <v>검사사용량</v>
          </cell>
          <cell r="M272">
            <v>4159602066</v>
          </cell>
          <cell r="N272" t="str">
            <v>2026-07-16</v>
          </cell>
          <cell r="Q272">
            <v>30</v>
          </cell>
          <cell r="R272">
            <v>241903984</v>
          </cell>
        </row>
        <row r="273">
          <cell r="C273">
            <v>10005629</v>
          </cell>
          <cell r="D273" t="str">
            <v>병원중부1</v>
          </cell>
          <cell r="E273" t="str">
            <v>이기범</v>
          </cell>
          <cell r="F273" t="str">
            <v>bbb</v>
          </cell>
          <cell r="G273" t="str">
            <v>BBB</v>
          </cell>
          <cell r="H273" t="str">
            <v>제출</v>
          </cell>
          <cell r="I273" t="str">
            <v>개인</v>
          </cell>
          <cell r="J273" t="str">
            <v>세란병원</v>
          </cell>
          <cell r="L273" t="str">
            <v>검사사용량</v>
          </cell>
          <cell r="M273">
            <v>1011312172</v>
          </cell>
          <cell r="N273">
            <v>46276</v>
          </cell>
          <cell r="Q273">
            <v>127</v>
          </cell>
          <cell r="R273">
            <v>889949040</v>
          </cell>
        </row>
        <row r="274">
          <cell r="C274">
            <v>10032728</v>
          </cell>
          <cell r="D274" t="str">
            <v>병원경기2</v>
          </cell>
          <cell r="E274" t="str">
            <v>이창민</v>
          </cell>
          <cell r="F274" t="str">
            <v xml:space="preserve">AA+	</v>
          </cell>
          <cell r="G274" t="str">
            <v>AA+</v>
          </cell>
          <cell r="H274" t="str">
            <v>미대상</v>
          </cell>
          <cell r="I274" t="str">
            <v>법인</v>
          </cell>
          <cell r="J274" t="str">
            <v>의료법인 양진의료재단 평택성모병원</v>
          </cell>
          <cell r="K274" t="str">
            <v>갱신1</v>
          </cell>
          <cell r="L274" t="str">
            <v>검사사용량</v>
          </cell>
          <cell r="M274">
            <v>1258212553</v>
          </cell>
          <cell r="N274">
            <v>46051</v>
          </cell>
          <cell r="Q274">
            <v>359</v>
          </cell>
          <cell r="R274">
            <v>2163581000</v>
          </cell>
        </row>
        <row r="275">
          <cell r="C275">
            <v>10041314</v>
          </cell>
          <cell r="D275" t="str">
            <v>병원경남2</v>
          </cell>
          <cell r="E275" t="str">
            <v>권수상</v>
          </cell>
          <cell r="F275" t="str">
            <v>B+</v>
          </cell>
          <cell r="G275" t="str">
            <v>-</v>
          </cell>
          <cell r="H275" t="str">
            <v>미대상</v>
          </cell>
          <cell r="I275" t="str">
            <v>법인</v>
          </cell>
          <cell r="J275" t="str">
            <v>경상국립대학교병원</v>
          </cell>
          <cell r="L275" t="str">
            <v>구축형</v>
          </cell>
          <cell r="M275">
            <v>6138205753</v>
          </cell>
          <cell r="N275">
            <v>46238</v>
          </cell>
          <cell r="Q275">
            <v>40</v>
          </cell>
          <cell r="R275">
            <v>240000000</v>
          </cell>
        </row>
        <row r="276">
          <cell r="C276">
            <v>10032148</v>
          </cell>
          <cell r="D276" t="str">
            <v>남부3</v>
          </cell>
          <cell r="E276" t="str">
            <v>오인성</v>
          </cell>
          <cell r="F276" t="str">
            <v>BB+</v>
          </cell>
          <cell r="G276" t="str">
            <v>BB-</v>
          </cell>
          <cell r="H276" t="str">
            <v>미대상</v>
          </cell>
          <cell r="I276" t="str">
            <v>법인</v>
          </cell>
          <cell r="J276" t="str">
            <v>희명병원</v>
          </cell>
          <cell r="K276" t="str">
            <v>갱신1</v>
          </cell>
          <cell r="L276" t="str">
            <v>검사사용량</v>
          </cell>
          <cell r="M276">
            <v>1198201274</v>
          </cell>
          <cell r="N276">
            <v>46126</v>
          </cell>
          <cell r="O276">
            <v>46244</v>
          </cell>
          <cell r="Q276">
            <v>70</v>
          </cell>
          <cell r="R276">
            <v>481261777</v>
          </cell>
        </row>
        <row r="277">
          <cell r="C277">
            <v>10073449</v>
          </cell>
          <cell r="D277" t="str">
            <v>북부3</v>
          </cell>
          <cell r="E277" t="str">
            <v>우원식</v>
          </cell>
          <cell r="F277" t="str">
            <v>A</v>
          </cell>
          <cell r="G277" t="str">
            <v>-</v>
          </cell>
          <cell r="H277" t="str">
            <v>제출</v>
          </cell>
          <cell r="I277" t="str">
            <v>개인</v>
          </cell>
          <cell r="J277" t="str">
            <v>남양주백병원</v>
          </cell>
          <cell r="L277" t="str">
            <v>검사사용량</v>
          </cell>
          <cell r="M277">
            <v>1189405853</v>
          </cell>
          <cell r="N277">
            <v>46234</v>
          </cell>
          <cell r="O277" t="str">
            <v>-</v>
          </cell>
          <cell r="Q277">
            <v>90</v>
          </cell>
          <cell r="R277">
            <v>645056944</v>
          </cell>
        </row>
        <row r="278">
          <cell r="C278">
            <v>10039353</v>
          </cell>
          <cell r="D278" t="str">
            <v>병원대구1</v>
          </cell>
          <cell r="E278" t="str">
            <v>조해찬</v>
          </cell>
          <cell r="F278" t="str">
            <v>AAA</v>
          </cell>
          <cell r="G278" t="str">
            <v>-</v>
          </cell>
          <cell r="H278" t="str">
            <v>제출</v>
          </cell>
          <cell r="I278" t="str">
            <v>개인</v>
          </cell>
          <cell r="J278" t="str">
            <v>더열린병원</v>
          </cell>
          <cell r="L278" t="str">
            <v>검사사용량</v>
          </cell>
          <cell r="M278">
            <v>5039210695</v>
          </cell>
          <cell r="N278">
            <v>46247</v>
          </cell>
          <cell r="O278" t="str">
            <v>-</v>
          </cell>
          <cell r="Q278">
            <v>30</v>
          </cell>
          <cell r="R278">
            <v>353063088</v>
          </cell>
        </row>
        <row r="279">
          <cell r="C279">
            <v>10041141</v>
          </cell>
          <cell r="D279" t="str">
            <v>병원부산2</v>
          </cell>
          <cell r="E279" t="str">
            <v>전경진</v>
          </cell>
          <cell r="F279" t="str">
            <v>A</v>
          </cell>
          <cell r="G279" t="str">
            <v>A-</v>
          </cell>
          <cell r="H279" t="str">
            <v>미대상</v>
          </cell>
          <cell r="I279" t="str">
            <v>법인</v>
          </cell>
          <cell r="J279" t="str">
            <v>의료법인혜명심의료재단(울산병원)</v>
          </cell>
          <cell r="K279" t="str">
            <v>추가1</v>
          </cell>
          <cell r="L279" t="str">
            <v>검사사용량</v>
          </cell>
          <cell r="M279">
            <v>6108205190</v>
          </cell>
          <cell r="N279">
            <v>46247</v>
          </cell>
          <cell r="O279">
            <v>46247</v>
          </cell>
          <cell r="Q279">
            <v>60</v>
          </cell>
          <cell r="R279">
            <v>445788224</v>
          </cell>
        </row>
        <row r="280">
          <cell r="C280">
            <v>10036367</v>
          </cell>
          <cell r="D280" t="str">
            <v>병원대전</v>
          </cell>
          <cell r="E280" t="str">
            <v>양정석</v>
          </cell>
          <cell r="F280" t="str">
            <v>BBB-</v>
          </cell>
          <cell r="G280" t="str">
            <v>-</v>
          </cell>
          <cell r="H280" t="str">
            <v>미대상</v>
          </cell>
          <cell r="I280" t="str">
            <v>법인</v>
          </cell>
          <cell r="J280" t="str">
            <v>대전성모병원 - 계약서 수정 예정</v>
          </cell>
          <cell r="L280" t="str">
            <v>검사사용량</v>
          </cell>
          <cell r="M280">
            <v>3058200236</v>
          </cell>
          <cell r="O280" t="str">
            <v>-</v>
          </cell>
          <cell r="Q280">
            <v>30</v>
          </cell>
          <cell r="R280">
            <v>229992672</v>
          </cell>
        </row>
        <row r="281">
          <cell r="C281">
            <v>10039976</v>
          </cell>
          <cell r="D281" t="str">
            <v>병원대구1</v>
          </cell>
          <cell r="E281" t="str">
            <v>박남준</v>
          </cell>
          <cell r="F281" t="str">
            <v>A</v>
          </cell>
          <cell r="G281" t="str">
            <v>A</v>
          </cell>
          <cell r="H281" t="str">
            <v>미대상</v>
          </cell>
          <cell r="I281" t="str">
            <v>법인</v>
          </cell>
          <cell r="J281" t="str">
            <v>의료법인서명의료재단 세명병원</v>
          </cell>
          <cell r="K281" t="str">
            <v>갱신1</v>
          </cell>
          <cell r="L281" t="str">
            <v>검사사용량</v>
          </cell>
          <cell r="M281">
            <v>5158206462</v>
          </cell>
          <cell r="N281" t="str">
            <v>2026-05-07</v>
          </cell>
          <cell r="Q281">
            <v>90</v>
          </cell>
          <cell r="R281">
            <v>838634050</v>
          </cell>
        </row>
        <row r="282">
          <cell r="C282">
            <v>10036933</v>
          </cell>
          <cell r="D282" t="str">
            <v>병원대전</v>
          </cell>
          <cell r="E282" t="str">
            <v>정지우</v>
          </cell>
          <cell r="F282" t="str">
            <v>A</v>
          </cell>
          <cell r="G282" t="str">
            <v>A</v>
          </cell>
          <cell r="H282" t="str">
            <v>제출</v>
          </cell>
          <cell r="I282" t="str">
            <v>개인</v>
          </cell>
          <cell r="J282" t="str">
            <v>맘모스정형외과병원</v>
          </cell>
          <cell r="L282" t="str">
            <v>검사사용량</v>
          </cell>
          <cell r="M282">
            <v>3149604626</v>
          </cell>
          <cell r="N282">
            <v>46247</v>
          </cell>
          <cell r="Q282">
            <v>30</v>
          </cell>
          <cell r="R282">
            <v>293822144</v>
          </cell>
        </row>
        <row r="283">
          <cell r="C283">
            <v>10033043</v>
          </cell>
          <cell r="D283" t="str">
            <v>병원중부1</v>
          </cell>
          <cell r="E283" t="str">
            <v>남규진</v>
          </cell>
          <cell r="F283" t="str">
            <v xml:space="preserve">BB-	</v>
          </cell>
          <cell r="G283" t="str">
            <v>BB-</v>
          </cell>
          <cell r="H283" t="str">
            <v>미제출</v>
          </cell>
          <cell r="I283" t="str">
            <v>개인</v>
          </cell>
          <cell r="J283" t="str">
            <v>메디인병원</v>
          </cell>
          <cell r="K283" t="str">
            <v>추가1</v>
          </cell>
          <cell r="L283" t="str">
            <v>검사사용량</v>
          </cell>
          <cell r="M283">
            <v>1289131022</v>
          </cell>
          <cell r="N283">
            <v>46263</v>
          </cell>
          <cell r="Q283">
            <v>30</v>
          </cell>
          <cell r="R283">
            <v>152268592</v>
          </cell>
        </row>
        <row r="284">
          <cell r="C284">
            <v>10105386</v>
          </cell>
          <cell r="D284" t="str">
            <v>병원광주2</v>
          </cell>
          <cell r="E284" t="str">
            <v>최송이</v>
          </cell>
          <cell r="F284" t="str">
            <v>A</v>
          </cell>
          <cell r="G284" t="str">
            <v>-</v>
          </cell>
          <cell r="H284" t="str">
            <v>제출</v>
          </cell>
          <cell r="I284" t="str">
            <v>개인</v>
          </cell>
          <cell r="J284" t="str">
            <v>조아진병원</v>
          </cell>
          <cell r="L284" t="str">
            <v>검사사용량</v>
          </cell>
          <cell r="M284">
            <v>6629201909</v>
          </cell>
          <cell r="N284">
            <v>46266</v>
          </cell>
          <cell r="Q284">
            <v>10</v>
          </cell>
          <cell r="R284">
            <v>153888304</v>
          </cell>
        </row>
        <row r="285">
          <cell r="C285">
            <v>10074449</v>
          </cell>
          <cell r="D285" t="str">
            <v>병원서울5</v>
          </cell>
          <cell r="E285" t="str">
            <v>최성철</v>
          </cell>
          <cell r="F285" t="str">
            <v xml:space="preserve">BBB-	</v>
          </cell>
          <cell r="G285" t="str">
            <v>BBB-</v>
          </cell>
          <cell r="H285" t="str">
            <v>미대상</v>
          </cell>
          <cell r="I285" t="str">
            <v>법인</v>
          </cell>
          <cell r="J285" t="str">
            <v>중앙대학교광명병원</v>
          </cell>
          <cell r="K285" t="str">
            <v>추가1</v>
          </cell>
          <cell r="L285" t="str">
            <v>검사사용량</v>
          </cell>
          <cell r="M285">
            <v>1538200538</v>
          </cell>
          <cell r="N285">
            <v>46279</v>
          </cell>
          <cell r="Q285">
            <v>48</v>
          </cell>
          <cell r="R285">
            <v>372664269</v>
          </cell>
        </row>
        <row r="286">
          <cell r="C286">
            <v>10040635</v>
          </cell>
          <cell r="D286" t="str">
            <v>병원부산1</v>
          </cell>
          <cell r="E286" t="str">
            <v>김주영</v>
          </cell>
          <cell r="F286" t="str">
            <v xml:space="preserve">BB+	</v>
          </cell>
          <cell r="G286" t="str">
            <v>B</v>
          </cell>
          <cell r="H286" t="str">
            <v>미대상</v>
          </cell>
          <cell r="I286" t="str">
            <v>법인</v>
          </cell>
          <cell r="J286" t="str">
            <v>인제대학교 부산백병원</v>
          </cell>
          <cell r="K286" t="str">
            <v>추가1</v>
          </cell>
          <cell r="L286" t="str">
            <v>검사사용량</v>
          </cell>
          <cell r="M286">
            <v>6058202148</v>
          </cell>
          <cell r="N286" t="str">
            <v>2026-02-20</v>
          </cell>
          <cell r="Q286">
            <v>55</v>
          </cell>
          <cell r="R286">
            <v>548196768</v>
          </cell>
        </row>
        <row r="287">
          <cell r="C287">
            <v>10038000</v>
          </cell>
          <cell r="D287" t="str">
            <v>병원광주1</v>
          </cell>
          <cell r="E287" t="str">
            <v>김정란</v>
          </cell>
          <cell r="F287" t="str">
            <v xml:space="preserve">bbb-	</v>
          </cell>
          <cell r="G287" t="str">
            <v xml:space="preserve">BBB-	</v>
          </cell>
          <cell r="H287" t="str">
            <v>제출</v>
          </cell>
          <cell r="I287" t="str">
            <v>개인</v>
          </cell>
          <cell r="J287" t="str">
            <v>광주현대병원</v>
          </cell>
          <cell r="K287" t="str">
            <v>추가1</v>
          </cell>
          <cell r="L287" t="str">
            <v>구축형</v>
          </cell>
          <cell r="M287">
            <v>4092331145</v>
          </cell>
          <cell r="N287">
            <v>46273</v>
          </cell>
          <cell r="Q287">
            <v>5</v>
          </cell>
          <cell r="R287">
            <v>21780000</v>
          </cell>
        </row>
        <row r="288">
          <cell r="C288">
            <v>10096085</v>
          </cell>
          <cell r="D288" t="str">
            <v>병원경남2</v>
          </cell>
          <cell r="E288" t="str">
            <v>장홍경</v>
          </cell>
          <cell r="F288" t="str">
            <v>BBB</v>
          </cell>
          <cell r="H288" t="str">
            <v>제출</v>
          </cell>
          <cell r="I288" t="str">
            <v>개인</v>
          </cell>
          <cell r="J288" t="str">
            <v>진주굿모닝병원</v>
          </cell>
          <cell r="L288" t="str">
            <v>검사사용량</v>
          </cell>
          <cell r="M288">
            <v>5279601808</v>
          </cell>
          <cell r="N288">
            <v>46276</v>
          </cell>
          <cell r="Q288">
            <v>17</v>
          </cell>
          <cell r="R288">
            <v>221191600</v>
          </cell>
        </row>
        <row r="289">
          <cell r="C289">
            <v>10035255</v>
          </cell>
          <cell r="D289" t="str">
            <v>병원동부</v>
          </cell>
          <cell r="E289" t="str">
            <v>이윤석</v>
          </cell>
          <cell r="F289" t="str">
            <v>A</v>
          </cell>
          <cell r="G289" t="str">
            <v>A</v>
          </cell>
          <cell r="H289" t="str">
            <v>미대상</v>
          </cell>
          <cell r="I289" t="str">
            <v>법인</v>
          </cell>
          <cell r="J289" t="str">
            <v>동부제일병원</v>
          </cell>
          <cell r="L289" t="str">
            <v>검사사용량</v>
          </cell>
          <cell r="M289">
            <v>2168201105</v>
          </cell>
          <cell r="N289">
            <v>46280</v>
          </cell>
          <cell r="Q289">
            <v>50</v>
          </cell>
          <cell r="R289">
            <v>416479459</v>
          </cell>
        </row>
        <row r="290">
          <cell r="C290">
            <v>10055464</v>
          </cell>
          <cell r="D290" t="str">
            <v>광주1</v>
          </cell>
          <cell r="E290" t="str">
            <v>전세영</v>
          </cell>
          <cell r="F290" t="str">
            <v>A</v>
          </cell>
          <cell r="G290" t="str">
            <v>A</v>
          </cell>
          <cell r="H290" t="str">
            <v>제출</v>
          </cell>
          <cell r="I290" t="str">
            <v>개인</v>
          </cell>
          <cell r="J290" t="str">
            <v>담대한외과의원</v>
          </cell>
          <cell r="L290" t="str">
            <v>분납형</v>
          </cell>
          <cell r="M290">
            <v>7469800874</v>
          </cell>
          <cell r="N290">
            <v>46268</v>
          </cell>
          <cell r="Q290">
            <v>20</v>
          </cell>
          <cell r="R290">
            <v>177406200</v>
          </cell>
        </row>
        <row r="291">
          <cell r="C291">
            <v>10049484</v>
          </cell>
          <cell r="D291" t="str">
            <v>병원서울5</v>
          </cell>
          <cell r="E291" t="str">
            <v>이동성</v>
          </cell>
          <cell r="F291" t="str">
            <v>A</v>
          </cell>
          <cell r="G291" t="str">
            <v>A</v>
          </cell>
          <cell r="H291" t="str">
            <v>제출</v>
          </cell>
          <cell r="I291" t="str">
            <v>개인</v>
          </cell>
          <cell r="J291" t="str">
            <v>광명새움병원</v>
          </cell>
          <cell r="L291" t="str">
            <v>검사사용량</v>
          </cell>
          <cell r="M291">
            <v>1409097027</v>
          </cell>
          <cell r="N291">
            <v>46287</v>
          </cell>
          <cell r="Q291">
            <v>8</v>
          </cell>
          <cell r="R291">
            <v>146325088</v>
          </cell>
        </row>
        <row r="292">
          <cell r="C292">
            <v>10041601</v>
          </cell>
          <cell r="D292" t="str">
            <v>병원부산1</v>
          </cell>
          <cell r="E292" t="str">
            <v>이승헌</v>
          </cell>
          <cell r="F292" t="str">
            <v xml:space="preserve">BB+	</v>
          </cell>
          <cell r="G292" t="str">
            <v>CCC+</v>
          </cell>
          <cell r="H292" t="str">
            <v>미대상</v>
          </cell>
          <cell r="I292" t="str">
            <v>법인</v>
          </cell>
          <cell r="J292" t="str">
            <v>해운대백병원</v>
          </cell>
          <cell r="K292" t="str">
            <v>추가1</v>
          </cell>
          <cell r="L292" t="str">
            <v>검사사용량</v>
          </cell>
          <cell r="M292">
            <v>6178208373</v>
          </cell>
          <cell r="N292" t="str">
            <v>2026-03-00</v>
          </cell>
          <cell r="Q292">
            <v>55</v>
          </cell>
          <cell r="R292">
            <v>553183568</v>
          </cell>
        </row>
        <row r="293">
          <cell r="C293">
            <v>10055464</v>
          </cell>
          <cell r="D293" t="str">
            <v>광주1</v>
          </cell>
          <cell r="E293" t="str">
            <v>전세영</v>
          </cell>
          <cell r="F293" t="str">
            <v>AA</v>
          </cell>
          <cell r="G293" t="str">
            <v>AA</v>
          </cell>
          <cell r="H293" t="str">
            <v>제출</v>
          </cell>
          <cell r="I293" t="str">
            <v>개인</v>
          </cell>
          <cell r="J293" t="str">
            <v>사랑샘병원</v>
          </cell>
          <cell r="L293" t="str">
            <v>검사사용량</v>
          </cell>
          <cell r="M293">
            <v>6629300789</v>
          </cell>
          <cell r="N293">
            <v>46269</v>
          </cell>
          <cell r="Q293">
            <v>20</v>
          </cell>
          <cell r="R293">
            <v>184739744</v>
          </cell>
        </row>
        <row r="294">
          <cell r="C294">
            <v>10071239</v>
          </cell>
          <cell r="D294" t="str">
            <v>병원남부2</v>
          </cell>
          <cell r="E294" t="str">
            <v>이영훈</v>
          </cell>
          <cell r="F294" t="str">
            <v>A</v>
          </cell>
          <cell r="G294" t="str">
            <v>A</v>
          </cell>
          <cell r="H294" t="str">
            <v>제출</v>
          </cell>
          <cell r="I294" t="str">
            <v>개인</v>
          </cell>
          <cell r="J294" t="str">
            <v>새로운병원</v>
          </cell>
          <cell r="L294" t="str">
            <v>검사사용량</v>
          </cell>
          <cell r="M294">
            <v>1404100922</v>
          </cell>
          <cell r="N294">
            <v>46274</v>
          </cell>
          <cell r="Q294">
            <v>30</v>
          </cell>
          <cell r="R294">
            <v>235938830</v>
          </cell>
        </row>
        <row r="295">
          <cell r="C295">
            <v>10032704</v>
          </cell>
          <cell r="D295" t="str">
            <v>병원경기2</v>
          </cell>
          <cell r="E295" t="str">
            <v>이창민</v>
          </cell>
          <cell r="F295" t="str">
            <v>BBB-</v>
          </cell>
          <cell r="G295" t="str">
            <v>BBB-</v>
          </cell>
          <cell r="H295" t="str">
            <v>미대상</v>
          </cell>
          <cell r="I295" t="str">
            <v>법인</v>
          </cell>
          <cell r="J295" t="str">
            <v>의료법인박애의료재단</v>
          </cell>
          <cell r="L295" t="str">
            <v>검사사용량</v>
          </cell>
          <cell r="M295">
            <v>1258204368</v>
          </cell>
          <cell r="N295">
            <v>46274</v>
          </cell>
          <cell r="Q295">
            <v>106</v>
          </cell>
          <cell r="R295">
            <v>585904032</v>
          </cell>
        </row>
        <row r="296">
          <cell r="C296">
            <v>10032281</v>
          </cell>
          <cell r="D296" t="str">
            <v>병원인천</v>
          </cell>
          <cell r="E296" t="str">
            <v>김형태</v>
          </cell>
          <cell r="F296" t="str">
            <v xml:space="preserve">BB+	</v>
          </cell>
          <cell r="G296" t="str">
            <v>BB</v>
          </cell>
          <cell r="H296" t="str">
            <v>미대상</v>
          </cell>
          <cell r="I296" t="str">
            <v>법인</v>
          </cell>
          <cell r="J296" t="str">
            <v>의료법인 성수의료재단 인천백병원</v>
          </cell>
          <cell r="K296" t="str">
            <v>추가2</v>
          </cell>
          <cell r="L296" t="str">
            <v>검사사용량</v>
          </cell>
          <cell r="M296">
            <v>1218216353</v>
          </cell>
          <cell r="N296">
            <v>46286</v>
          </cell>
          <cell r="Q296">
            <v>39</v>
          </cell>
          <cell r="R296">
            <v>292642672</v>
          </cell>
        </row>
        <row r="297">
          <cell r="C297">
            <v>10040733</v>
          </cell>
          <cell r="D297" t="str">
            <v>병원부산3</v>
          </cell>
          <cell r="E297" t="str">
            <v>이창형</v>
          </cell>
          <cell r="F297" t="str">
            <v>A</v>
          </cell>
          <cell r="I297" t="str">
            <v>개인</v>
          </cell>
          <cell r="J297" t="str">
            <v>좋은삼선병원- 특이사항 확인중</v>
          </cell>
          <cell r="L297" t="str">
            <v>검사사용량</v>
          </cell>
          <cell r="M297">
            <v>6068231291</v>
          </cell>
          <cell r="N297">
            <v>46288</v>
          </cell>
          <cell r="Q297">
            <v>200</v>
          </cell>
          <cell r="R297">
            <v>1654571534</v>
          </cell>
        </row>
        <row r="298">
          <cell r="C298">
            <v>10040523</v>
          </cell>
          <cell r="D298" t="str">
            <v>병원부산1</v>
          </cell>
          <cell r="E298" t="str">
            <v>정원종</v>
          </cell>
          <cell r="F298" t="str">
            <v>-</v>
          </cell>
          <cell r="G298" t="str">
            <v>A+</v>
          </cell>
          <cell r="H298" t="str">
            <v>미대상</v>
          </cell>
          <cell r="I298" t="str">
            <v>법인</v>
          </cell>
          <cell r="J298" t="str">
            <v>동아대학교의료원</v>
          </cell>
          <cell r="K298" t="str">
            <v>추가1</v>
          </cell>
          <cell r="L298" t="str">
            <v>검사사용량</v>
          </cell>
          <cell r="M298">
            <v>6038203952</v>
          </cell>
          <cell r="N298" t="str">
            <v>2026-03-19</v>
          </cell>
          <cell r="R298">
            <v>35575232</v>
          </cell>
        </row>
        <row r="299">
          <cell r="C299">
            <v>10039210</v>
          </cell>
          <cell r="D299" t="str">
            <v>병원대구1</v>
          </cell>
          <cell r="E299" t="str">
            <v>오성훈</v>
          </cell>
          <cell r="F299" t="str">
            <v xml:space="preserve">BBB-	</v>
          </cell>
          <cell r="G299" t="str">
            <v>BBB-</v>
          </cell>
          <cell r="H299" t="str">
            <v>미대상</v>
          </cell>
          <cell r="I299" t="str">
            <v>법인</v>
          </cell>
          <cell r="J299" t="str">
            <v>의료법인 백천의료재단 바로본병원</v>
          </cell>
          <cell r="K299" t="str">
            <v>추가1</v>
          </cell>
          <cell r="L299" t="str">
            <v>검사사용량</v>
          </cell>
          <cell r="M299">
            <v>5028213744</v>
          </cell>
          <cell r="N299">
            <v>46288</v>
          </cell>
          <cell r="R299">
            <v>3112600</v>
          </cell>
        </row>
        <row r="300">
          <cell r="C300">
            <v>10037620</v>
          </cell>
          <cell r="D300" t="str">
            <v>병원전주</v>
          </cell>
          <cell r="E300" t="str">
            <v>전창규</v>
          </cell>
          <cell r="F300" t="str">
            <v>AA</v>
          </cell>
          <cell r="G300" t="str">
            <v>AA</v>
          </cell>
          <cell r="H300" t="str">
            <v>제출</v>
          </cell>
          <cell r="I300" t="str">
            <v>개인</v>
          </cell>
          <cell r="J300" t="str">
            <v>효사랑전주요양병원</v>
          </cell>
          <cell r="L300" t="str">
            <v>검사사용량</v>
          </cell>
          <cell r="M300">
            <v>4029145351</v>
          </cell>
          <cell r="N300">
            <v>46287</v>
          </cell>
          <cell r="Q300">
            <v>30</v>
          </cell>
          <cell r="R300">
            <v>275247325</v>
          </cell>
        </row>
        <row r="301">
          <cell r="C301">
            <v>10037623</v>
          </cell>
          <cell r="D301" t="str">
            <v>병원전주</v>
          </cell>
          <cell r="E301" t="str">
            <v>전창규</v>
          </cell>
          <cell r="F301" t="str">
            <v>AA</v>
          </cell>
          <cell r="G301" t="str">
            <v>AA</v>
          </cell>
          <cell r="H301" t="str">
            <v>제출</v>
          </cell>
          <cell r="I301" t="str">
            <v>개인</v>
          </cell>
          <cell r="J301" t="str">
            <v>효사랑가족요양병원</v>
          </cell>
          <cell r="L301" t="str">
            <v>검사사용량</v>
          </cell>
          <cell r="M301">
            <v>4029150382</v>
          </cell>
          <cell r="N301">
            <v>46287</v>
          </cell>
          <cell r="Q301">
            <v>60</v>
          </cell>
          <cell r="R301">
            <v>500000000</v>
          </cell>
        </row>
        <row r="302">
          <cell r="C302">
            <v>10037694</v>
          </cell>
          <cell r="D302" t="str">
            <v>병원전주</v>
          </cell>
          <cell r="E302" t="str">
            <v>전창규</v>
          </cell>
          <cell r="F302" t="str">
            <v xml:space="preserve">BBB+	</v>
          </cell>
          <cell r="G302" t="str">
            <v xml:space="preserve">BBB+	</v>
          </cell>
          <cell r="H302" t="str">
            <v>미대상</v>
          </cell>
          <cell r="I302" t="str">
            <v>법인</v>
          </cell>
          <cell r="J302" t="str">
            <v>백상의료재단가족사랑요양병원</v>
          </cell>
          <cell r="L302" t="str">
            <v>검사사용량</v>
          </cell>
          <cell r="M302">
            <v>4038213850</v>
          </cell>
          <cell r="N302">
            <v>46287</v>
          </cell>
          <cell r="Q302">
            <v>30</v>
          </cell>
          <cell r="R302">
            <v>305584785</v>
          </cell>
        </row>
        <row r="303">
          <cell r="C303">
            <v>10020451</v>
          </cell>
          <cell r="D303" t="str">
            <v>병원서울5</v>
          </cell>
          <cell r="E303" t="str">
            <v>이상원</v>
          </cell>
          <cell r="F303" t="str">
            <v>AA</v>
          </cell>
          <cell r="H303" t="str">
            <v>미대상</v>
          </cell>
          <cell r="I303" t="str">
            <v>법인</v>
          </cell>
          <cell r="J303" t="str">
            <v>평촌성심병원</v>
          </cell>
          <cell r="L303" t="str">
            <v>구축형</v>
          </cell>
          <cell r="M303">
            <v>1388202667</v>
          </cell>
          <cell r="N303">
            <v>46307</v>
          </cell>
          <cell r="Q303">
            <v>42</v>
          </cell>
          <cell r="R303">
            <v>272087660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202"/>
  <sheetViews>
    <sheetView showGridLines="0"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8.88671875" defaultRowHeight="12"/>
  <cols>
    <col min="1" max="1" width="6.33203125" style="17" customWidth="1"/>
    <col min="2" max="2" width="9.44140625" style="1" customWidth="1"/>
    <col min="3" max="3" width="53.109375" style="1" bestFit="1" customWidth="1"/>
    <col min="4" max="4" width="17.77734375" style="18" customWidth="1"/>
    <col min="5" max="5" width="15.88671875" style="2" customWidth="1"/>
    <col min="6" max="6" width="12.33203125" style="3" customWidth="1"/>
    <col min="7" max="7" width="9.21875" style="3" customWidth="1"/>
    <col min="8" max="8" width="12.33203125" style="4" customWidth="1"/>
    <col min="9" max="9" width="12.44140625" style="1" customWidth="1"/>
    <col min="10" max="11" width="19.33203125" style="2" customWidth="1"/>
    <col min="12" max="12" width="9.109375" style="2" customWidth="1"/>
    <col min="13" max="13" width="16.44140625" style="1" customWidth="1"/>
    <col min="14" max="14" width="7.44140625" style="1" customWidth="1"/>
    <col min="15" max="15" width="16.44140625" style="1" customWidth="1"/>
    <col min="16" max="16" width="7.44140625" style="1" customWidth="1"/>
    <col min="17" max="18" width="16.44140625" style="1" customWidth="1"/>
    <col min="19" max="19" width="18.109375" style="1" customWidth="1"/>
    <col min="20" max="22" width="16.44140625" style="1" customWidth="1"/>
    <col min="23" max="23" width="18.109375" style="1" customWidth="1"/>
    <col min="24" max="27" width="16.44140625" style="1" customWidth="1"/>
    <col min="28" max="28" width="15.44140625" style="1" customWidth="1"/>
    <col min="29" max="29" width="16.44140625" style="1" customWidth="1"/>
    <col min="30" max="31" width="18.109375" style="1" customWidth="1"/>
    <col min="32" max="34" width="16.44140625" style="1" customWidth="1"/>
    <col min="35" max="36" width="18.109375" style="1" customWidth="1"/>
    <col min="37" max="37" width="16.44140625" style="1" customWidth="1"/>
    <col min="38" max="39" width="18.109375" style="1" customWidth="1"/>
    <col min="40" max="40" width="16.44140625" style="1" customWidth="1"/>
    <col min="41" max="56" width="18.109375" style="1" customWidth="1"/>
    <col min="57" max="16384" width="8.88671875" style="1"/>
  </cols>
  <sheetData>
    <row r="1" spans="1:56" ht="15" customHeight="1">
      <c r="A1" s="25" t="s">
        <v>482</v>
      </c>
      <c r="D1" s="2">
        <f>SUBTOTAL(9,D4:D202)</f>
        <v>127461579592</v>
      </c>
      <c r="E1" s="2">
        <f>SUBTOTAL(9,E4:E202)</f>
        <v>3540599433.1111093</v>
      </c>
      <c r="F1" s="2"/>
      <c r="G1" s="2">
        <f>SUBTOTAL(9,G4:G202)</f>
        <v>16880</v>
      </c>
      <c r="J1" s="2">
        <f>SUBTOTAL(9,J4:J202)</f>
        <v>27097281755.399986</v>
      </c>
      <c r="K1" s="2">
        <f>SUBTOTAL(9,K4:K202)</f>
        <v>23159231366.599998</v>
      </c>
      <c r="L1" s="2">
        <f>SUBTOTAL(9,L4:L195)</f>
        <v>146.10044347387688</v>
      </c>
      <c r="M1" s="2">
        <f>SUBTOTAL(9,M4:M195)</f>
        <v>673127350</v>
      </c>
      <c r="N1" s="2">
        <f>SUBTOTAL(9,N4:N195)</f>
        <v>0</v>
      </c>
      <c r="O1" s="2">
        <f>SUBTOTAL(9,O4:O195)</f>
        <v>532270500</v>
      </c>
      <c r="P1" s="2">
        <f>SUBTOTAL(9,P4:P195)</f>
        <v>0</v>
      </c>
      <c r="Q1" s="2">
        <f>SUBTOTAL(9,Q4:Q195)</f>
        <v>215127190</v>
      </c>
      <c r="R1" s="2">
        <f>SUBTOTAL(9,R4:R195)</f>
        <v>320691250</v>
      </c>
      <c r="S1" s="2">
        <f>SUBTOTAL(9,S4:S195)</f>
        <v>1225072458</v>
      </c>
      <c r="T1" s="2">
        <f>SUBTOTAL(9,T4:T195)</f>
        <v>704903000</v>
      </c>
      <c r="U1" s="2">
        <f>SUBTOTAL(9,U4:U195)</f>
        <v>606730000</v>
      </c>
      <c r="V1" s="2">
        <f>SUBTOTAL(9,V4:V195)</f>
        <v>581874100</v>
      </c>
      <c r="W1" s="2">
        <f>SUBTOTAL(9,W4:W195)</f>
        <v>1039403999.1</v>
      </c>
      <c r="X1" s="2">
        <f>SUBTOTAL(9,X4:X195)</f>
        <v>214559190</v>
      </c>
      <c r="Y1" s="2">
        <f>SUBTOTAL(9,Y4:Y195)</f>
        <v>164163000</v>
      </c>
      <c r="Z1" s="2">
        <f>SUBTOTAL(9,Z4:Z195)</f>
        <v>417504457.69999999</v>
      </c>
      <c r="AA1" s="2">
        <f>SUBTOTAL(9,AA4:AA195)</f>
        <v>463674000</v>
      </c>
      <c r="AB1" s="2">
        <f>SUBTOTAL(9,AB4:AB195)</f>
        <v>87297500</v>
      </c>
      <c r="AC1" s="2">
        <f>SUBTOTAL(9,AC4:AC195)</f>
        <v>783170000</v>
      </c>
      <c r="AD1" s="2">
        <f>SUBTOTAL(9,AD4:AD195)</f>
        <v>1511522000</v>
      </c>
      <c r="AE1" s="2">
        <f>SUBTOTAL(9,AE4:AE195)</f>
        <v>1104367800</v>
      </c>
      <c r="AF1" s="2">
        <f>SUBTOTAL(9,AF4:AF195)</f>
        <v>899205500</v>
      </c>
      <c r="AG1" s="2">
        <f>SUBTOTAL(9,AG4:AG195)</f>
        <v>464533599.80000001</v>
      </c>
      <c r="AH1" s="2">
        <f>SUBTOTAL(9,AH4:AH195)</f>
        <v>220243500</v>
      </c>
      <c r="AI1" s="2">
        <f>SUBTOTAL(9,AI4:AI195)</f>
        <v>1109355200.2</v>
      </c>
      <c r="AJ1" s="2">
        <f>SUBTOTAL(9,AJ4:AJ195)</f>
        <v>1043240500</v>
      </c>
      <c r="AK1" s="2">
        <f>SUBTOTAL(9,AK4:AK195)</f>
        <v>983087470.60000002</v>
      </c>
      <c r="AL1" s="2">
        <f>SUBTOTAL(9,AL4:AL195)</f>
        <v>1168980400</v>
      </c>
      <c r="AM1" s="2">
        <f>SUBTOTAL(9,AM4:AM195)</f>
        <v>1326792935.5999999</v>
      </c>
      <c r="AN1" s="2">
        <f>SUBTOTAL(9,AN4:AN195)</f>
        <v>884699700</v>
      </c>
      <c r="AO1" s="2">
        <f>SUBTOTAL(9,AO4:AO195)</f>
        <v>1418704248.5</v>
      </c>
      <c r="AP1" s="2">
        <f>SUBTOTAL(9,AP4:AP195)</f>
        <v>1350302370</v>
      </c>
      <c r="AQ1" s="2">
        <f>SUBTOTAL(9,AQ4:AQ195)</f>
        <v>1790111791.6000004</v>
      </c>
      <c r="AR1" s="2">
        <f>SUBTOTAL(9,AR4:AR195)</f>
        <v>1393910522</v>
      </c>
      <c r="AS1" s="2">
        <f>SUBTOTAL(9,AS4:AS195)</f>
        <v>1559632220.3000002</v>
      </c>
      <c r="AT1" s="2">
        <f>SUBTOTAL(9,AT4:AT195)</f>
        <v>1217375390.7</v>
      </c>
      <c r="AU1" s="2">
        <f>SUBTOTAL(9,AU4:AU195)</f>
        <v>1810636048.0999997</v>
      </c>
      <c r="AV1" s="2">
        <f>SUBTOTAL(9,AV4:AV195)</f>
        <v>1971127904</v>
      </c>
      <c r="AW1" s="2">
        <f>SUBTOTAL(9,AW4:AW195)</f>
        <v>2277672886.5</v>
      </c>
      <c r="AX1" s="2">
        <f>SUBTOTAL(9,AX4:AX195)</f>
        <v>1612675550.2</v>
      </c>
      <c r="AY1" s="2">
        <f>SUBTOTAL(9,AY4:AY195)</f>
        <v>2532953468.0999999</v>
      </c>
      <c r="AZ1" s="2">
        <f>SUBTOTAL(9,AZ4:AZ195)</f>
        <v>2504969707</v>
      </c>
      <c r="BA1" s="2">
        <f>SUBTOTAL(9,BA4:BA195)</f>
        <v>2349574442</v>
      </c>
      <c r="BB1" s="2">
        <f>SUBTOTAL(9,BB4:BB195)</f>
        <v>2671463691</v>
      </c>
      <c r="BC1" s="2">
        <f>SUBTOTAL(9,BC4:BC202)</f>
        <v>2667121147</v>
      </c>
      <c r="BD1" s="2">
        <f>SUBTOTAL(9,BD4:BD202)</f>
        <v>2382685134</v>
      </c>
    </row>
    <row r="2" spans="1:56" s="3" customFormat="1" ht="15.6" customHeight="1">
      <c r="A2" s="40" t="s">
        <v>0</v>
      </c>
      <c r="B2" s="40"/>
      <c r="C2" s="40"/>
      <c r="D2" s="41" t="s">
        <v>1</v>
      </c>
      <c r="E2" s="41"/>
      <c r="F2" s="41"/>
      <c r="G2" s="41"/>
      <c r="H2" s="41"/>
      <c r="I2" s="41"/>
      <c r="J2" s="41" t="s">
        <v>2</v>
      </c>
      <c r="K2" s="41"/>
      <c r="L2" s="5"/>
      <c r="M2" s="39" t="s">
        <v>3</v>
      </c>
      <c r="N2" s="39"/>
      <c r="O2" s="39" t="s">
        <v>4</v>
      </c>
      <c r="P2" s="39"/>
      <c r="Q2" s="39" t="s">
        <v>5</v>
      </c>
      <c r="R2" s="39"/>
      <c r="S2" s="39" t="s">
        <v>6</v>
      </c>
      <c r="T2" s="39"/>
      <c r="U2" s="39" t="s">
        <v>7</v>
      </c>
      <c r="V2" s="39"/>
      <c r="W2" s="39" t="s">
        <v>8</v>
      </c>
      <c r="X2" s="39"/>
      <c r="Y2" s="39" t="s">
        <v>9</v>
      </c>
      <c r="Z2" s="39"/>
      <c r="AA2" s="39" t="s">
        <v>10</v>
      </c>
      <c r="AB2" s="39"/>
      <c r="AC2" s="39" t="s">
        <v>11</v>
      </c>
      <c r="AD2" s="39"/>
      <c r="AE2" s="39" t="s">
        <v>12</v>
      </c>
      <c r="AF2" s="39"/>
      <c r="AG2" s="39" t="s">
        <v>13</v>
      </c>
      <c r="AH2" s="39"/>
      <c r="AI2" s="39" t="s">
        <v>14</v>
      </c>
      <c r="AJ2" s="39"/>
      <c r="AK2" s="39" t="s">
        <v>15</v>
      </c>
      <c r="AL2" s="39"/>
      <c r="AM2" s="39" t="s">
        <v>483</v>
      </c>
      <c r="AN2" s="39"/>
      <c r="AO2" s="39" t="s">
        <v>484</v>
      </c>
      <c r="AP2" s="39"/>
      <c r="AQ2" s="39" t="s">
        <v>485</v>
      </c>
      <c r="AR2" s="39"/>
      <c r="AS2" s="39" t="s">
        <v>486</v>
      </c>
      <c r="AT2" s="39"/>
      <c r="AU2" s="39" t="s">
        <v>487</v>
      </c>
      <c r="AV2" s="39"/>
      <c r="AW2" s="39" t="s">
        <v>488</v>
      </c>
      <c r="AX2" s="39"/>
      <c r="AY2" s="39" t="s">
        <v>489</v>
      </c>
      <c r="AZ2" s="39"/>
      <c r="BA2" s="39" t="s">
        <v>465</v>
      </c>
      <c r="BB2" s="39"/>
      <c r="BC2" s="39" t="s">
        <v>466</v>
      </c>
      <c r="BD2" s="39"/>
    </row>
    <row r="3" spans="1:56" s="3" customFormat="1" ht="12.6" customHeight="1">
      <c r="A3" s="6" t="s">
        <v>16</v>
      </c>
      <c r="B3" s="16" t="s">
        <v>17</v>
      </c>
      <c r="C3" s="16" t="s">
        <v>18</v>
      </c>
      <c r="D3" s="26" t="s">
        <v>19</v>
      </c>
      <c r="E3" s="27" t="s">
        <v>20</v>
      </c>
      <c r="F3" s="16" t="s">
        <v>21</v>
      </c>
      <c r="G3" s="16" t="s">
        <v>22</v>
      </c>
      <c r="H3" s="28" t="s">
        <v>23</v>
      </c>
      <c r="I3" s="16" t="s">
        <v>24</v>
      </c>
      <c r="J3" s="27" t="s">
        <v>25</v>
      </c>
      <c r="K3" s="27" t="s">
        <v>26</v>
      </c>
      <c r="L3" s="27" t="s">
        <v>27</v>
      </c>
      <c r="M3" s="29" t="s">
        <v>28</v>
      </c>
      <c r="N3" s="30" t="s">
        <v>29</v>
      </c>
      <c r="O3" s="29" t="s">
        <v>28</v>
      </c>
      <c r="P3" s="30" t="s">
        <v>29</v>
      </c>
      <c r="Q3" s="29" t="s">
        <v>28</v>
      </c>
      <c r="R3" s="30" t="s">
        <v>29</v>
      </c>
      <c r="S3" s="29" t="s">
        <v>28</v>
      </c>
      <c r="T3" s="30" t="s">
        <v>29</v>
      </c>
      <c r="U3" s="29" t="s">
        <v>28</v>
      </c>
      <c r="V3" s="30" t="s">
        <v>29</v>
      </c>
      <c r="W3" s="29" t="s">
        <v>28</v>
      </c>
      <c r="X3" s="30" t="s">
        <v>29</v>
      </c>
      <c r="Y3" s="29" t="s">
        <v>28</v>
      </c>
      <c r="Z3" s="30" t="s">
        <v>29</v>
      </c>
      <c r="AA3" s="29" t="s">
        <v>28</v>
      </c>
      <c r="AB3" s="30" t="s">
        <v>29</v>
      </c>
      <c r="AC3" s="29" t="s">
        <v>28</v>
      </c>
      <c r="AD3" s="30" t="s">
        <v>29</v>
      </c>
      <c r="AE3" s="29" t="s">
        <v>28</v>
      </c>
      <c r="AF3" s="30" t="s">
        <v>29</v>
      </c>
      <c r="AG3" s="29" t="s">
        <v>28</v>
      </c>
      <c r="AH3" s="30" t="s">
        <v>29</v>
      </c>
      <c r="AI3" s="29" t="s">
        <v>28</v>
      </c>
      <c r="AJ3" s="30" t="s">
        <v>29</v>
      </c>
      <c r="AK3" s="29" t="s">
        <v>28</v>
      </c>
      <c r="AL3" s="30" t="s">
        <v>29</v>
      </c>
      <c r="AM3" s="29" t="s">
        <v>28</v>
      </c>
      <c r="AN3" s="30" t="s">
        <v>29</v>
      </c>
      <c r="AO3" s="29" t="s">
        <v>28</v>
      </c>
      <c r="AP3" s="30" t="s">
        <v>29</v>
      </c>
      <c r="AQ3" s="29" t="s">
        <v>28</v>
      </c>
      <c r="AR3" s="30" t="s">
        <v>29</v>
      </c>
      <c r="AS3" s="29" t="s">
        <v>28</v>
      </c>
      <c r="AT3" s="30" t="s">
        <v>29</v>
      </c>
      <c r="AU3" s="29" t="s">
        <v>28</v>
      </c>
      <c r="AV3" s="30" t="s">
        <v>29</v>
      </c>
      <c r="AW3" s="29" t="s">
        <v>28</v>
      </c>
      <c r="AX3" s="30" t="s">
        <v>29</v>
      </c>
      <c r="AY3" s="29" t="s">
        <v>28</v>
      </c>
      <c r="AZ3" s="31" t="s">
        <v>29</v>
      </c>
      <c r="BA3" s="32" t="s">
        <v>28</v>
      </c>
      <c r="BB3" s="33" t="s">
        <v>29</v>
      </c>
      <c r="BC3" s="32" t="s">
        <v>28</v>
      </c>
      <c r="BD3" s="33" t="s">
        <v>29</v>
      </c>
    </row>
    <row r="4" spans="1:56" ht="12" customHeight="1">
      <c r="A4" s="7">
        <v>1</v>
      </c>
      <c r="B4" s="8">
        <v>10031447</v>
      </c>
      <c r="C4" s="24" t="s">
        <v>30</v>
      </c>
      <c r="D4" s="19">
        <v>654495400</v>
      </c>
      <c r="E4" s="10">
        <f t="shared" ref="E4:E67" si="0">D4/36</f>
        <v>18180427.777777776</v>
      </c>
      <c r="F4" s="8" t="s">
        <v>31</v>
      </c>
      <c r="G4" s="8">
        <v>72</v>
      </c>
      <c r="H4" s="35" t="s">
        <v>32</v>
      </c>
      <c r="I4" s="11" t="s">
        <v>448</v>
      </c>
      <c r="J4" s="9">
        <f>M4+O4+Q4+S4+U4+W4+Y4+AA4+AC4+AE4+AG4+AI4+AK4+AM4+AO4+AQ4+AS4+AU4+AW4+AY4+BA4+BC4</f>
        <v>66332001.200000003</v>
      </c>
      <c r="K4" s="9">
        <f>N4+P4+R4+T4+V4+X4+Z4+AB4+AD4+AF4+AH4+AJ4+AL4+AN4+AP4+AR4+AT4+AV4+AX4+AZ4+BB4+BD4</f>
        <v>50328000</v>
      </c>
      <c r="L4" s="12">
        <f t="shared" ref="L4:L67" si="1">K4/J4</f>
        <v>0.75872880494369888</v>
      </c>
      <c r="M4" s="13">
        <v>0</v>
      </c>
      <c r="N4" s="14">
        <v>0</v>
      </c>
      <c r="O4" s="13">
        <v>0</v>
      </c>
      <c r="P4" s="14">
        <v>0</v>
      </c>
      <c r="Q4" s="13">
        <v>0</v>
      </c>
      <c r="R4" s="14">
        <v>0</v>
      </c>
      <c r="S4" s="13">
        <v>0</v>
      </c>
      <c r="T4" s="14">
        <v>0</v>
      </c>
      <c r="U4" s="13">
        <v>0</v>
      </c>
      <c r="V4" s="14">
        <v>0</v>
      </c>
      <c r="W4" s="13">
        <v>0</v>
      </c>
      <c r="X4" s="14">
        <v>0</v>
      </c>
      <c r="Y4" s="13">
        <v>0</v>
      </c>
      <c r="Z4" s="14">
        <v>0</v>
      </c>
      <c r="AA4" s="13">
        <v>0</v>
      </c>
      <c r="AB4" s="14">
        <v>0</v>
      </c>
      <c r="AC4" s="13">
        <v>0</v>
      </c>
      <c r="AD4" s="14">
        <v>0</v>
      </c>
      <c r="AE4" s="13">
        <v>0</v>
      </c>
      <c r="AF4" s="14">
        <v>0</v>
      </c>
      <c r="AG4" s="13">
        <v>0</v>
      </c>
      <c r="AH4" s="14">
        <v>0</v>
      </c>
      <c r="AI4" s="13">
        <v>0</v>
      </c>
      <c r="AJ4" s="14">
        <v>0</v>
      </c>
      <c r="AK4" s="13">
        <v>3524000</v>
      </c>
      <c r="AL4" s="14">
        <v>0</v>
      </c>
      <c r="AM4" s="13">
        <v>7135000.4000000004</v>
      </c>
      <c r="AN4" s="14">
        <v>0</v>
      </c>
      <c r="AO4" s="13">
        <v>6917000.2000000002</v>
      </c>
      <c r="AP4" s="14">
        <v>10659000</v>
      </c>
      <c r="AQ4" s="13">
        <v>6985000</v>
      </c>
      <c r="AR4" s="14">
        <v>6917000</v>
      </c>
      <c r="AS4" s="13">
        <v>6243000.5</v>
      </c>
      <c r="AT4" s="14">
        <v>6985000</v>
      </c>
      <c r="AU4" s="13">
        <v>7102000.4000000004</v>
      </c>
      <c r="AV4" s="14">
        <v>6243000</v>
      </c>
      <c r="AW4" s="13">
        <v>5877999.5999999996</v>
      </c>
      <c r="AX4" s="14">
        <v>7102000</v>
      </c>
      <c r="AY4" s="13">
        <v>6544000.0999999996</v>
      </c>
      <c r="AZ4" s="15">
        <v>5878000</v>
      </c>
      <c r="BA4" s="20">
        <v>8327000</v>
      </c>
      <c r="BB4" s="21">
        <v>0</v>
      </c>
      <c r="BC4" s="20">
        <v>7677000</v>
      </c>
      <c r="BD4" s="21">
        <v>6544000</v>
      </c>
    </row>
    <row r="5" spans="1:56" ht="12" customHeight="1">
      <c r="A5" s="7">
        <v>2</v>
      </c>
      <c r="B5" s="8">
        <v>10008739</v>
      </c>
      <c r="C5" s="24" t="s">
        <v>33</v>
      </c>
      <c r="D5" s="19">
        <v>663274000</v>
      </c>
      <c r="E5" s="10">
        <f t="shared" si="0"/>
        <v>18424277.777777776</v>
      </c>
      <c r="F5" s="8" t="s">
        <v>31</v>
      </c>
      <c r="G5" s="8">
        <v>105</v>
      </c>
      <c r="H5" s="35" t="s">
        <v>34</v>
      </c>
      <c r="I5" s="11" t="s">
        <v>448</v>
      </c>
      <c r="J5" s="9">
        <f t="shared" ref="J5:J68" si="2">M5+O5+Q5+S5+U5+W5+Y5+AA5+AC5+AE5+AG5+AI5+AK5+AM5+AO5+AQ5+AS5+AU5+AW5+AY5+BA5+BC5</f>
        <v>68248828.299999997</v>
      </c>
      <c r="K5" s="9">
        <f t="shared" ref="K5:K68" si="3">N5+P5+R5+T5+V5+X5+Z5+AB5+AD5+AF5+AH5+AJ5+AL5+AN5+AP5+AR5+AT5+AV5+AX5+AZ5+BB5+BD5</f>
        <v>19134612</v>
      </c>
      <c r="L5" s="12">
        <f t="shared" si="1"/>
        <v>0.28036542863256747</v>
      </c>
      <c r="M5" s="13">
        <v>0</v>
      </c>
      <c r="N5" s="14">
        <v>0</v>
      </c>
      <c r="O5" s="13">
        <v>0</v>
      </c>
      <c r="P5" s="14">
        <v>0</v>
      </c>
      <c r="Q5" s="13">
        <v>0</v>
      </c>
      <c r="R5" s="14">
        <v>0</v>
      </c>
      <c r="S5" s="13">
        <v>0</v>
      </c>
      <c r="T5" s="14">
        <v>0</v>
      </c>
      <c r="U5" s="13">
        <v>0</v>
      </c>
      <c r="V5" s="14">
        <v>0</v>
      </c>
      <c r="W5" s="13">
        <v>0</v>
      </c>
      <c r="X5" s="14">
        <v>0</v>
      </c>
      <c r="Y5" s="13">
        <v>0</v>
      </c>
      <c r="Z5" s="14">
        <v>0</v>
      </c>
      <c r="AA5" s="13">
        <v>0</v>
      </c>
      <c r="AB5" s="14">
        <v>0</v>
      </c>
      <c r="AC5" s="13">
        <v>0</v>
      </c>
      <c r="AD5" s="14">
        <v>0</v>
      </c>
      <c r="AE5" s="13">
        <v>0</v>
      </c>
      <c r="AF5" s="14">
        <v>0</v>
      </c>
      <c r="AG5" s="13">
        <v>0</v>
      </c>
      <c r="AH5" s="14">
        <v>0</v>
      </c>
      <c r="AI5" s="13">
        <v>0</v>
      </c>
      <c r="AJ5" s="14">
        <v>0</v>
      </c>
      <c r="AK5" s="13">
        <v>3742000</v>
      </c>
      <c r="AL5" s="14">
        <v>0</v>
      </c>
      <c r="AM5" s="13">
        <v>10791000</v>
      </c>
      <c r="AN5" s="14">
        <v>0</v>
      </c>
      <c r="AO5" s="13">
        <v>15583000.4</v>
      </c>
      <c r="AP5" s="14">
        <v>0</v>
      </c>
      <c r="AQ5" s="13">
        <v>8312000.4000000004</v>
      </c>
      <c r="AR5" s="14">
        <v>0</v>
      </c>
      <c r="AS5" s="13">
        <v>7053180.2000000002</v>
      </c>
      <c r="AT5" s="14">
        <v>0</v>
      </c>
      <c r="AU5" s="13">
        <v>112901.8</v>
      </c>
      <c r="AV5" s="14">
        <v>0</v>
      </c>
      <c r="AW5" s="13">
        <v>3513779.5</v>
      </c>
      <c r="AX5" s="14">
        <v>0</v>
      </c>
      <c r="AY5" s="13">
        <v>8420148</v>
      </c>
      <c r="AZ5" s="15">
        <v>11420502</v>
      </c>
      <c r="BA5" s="20">
        <v>5470818</v>
      </c>
      <c r="BB5" s="21">
        <v>0</v>
      </c>
      <c r="BC5" s="20">
        <v>5250000</v>
      </c>
      <c r="BD5" s="21">
        <v>7714110</v>
      </c>
    </row>
    <row r="6" spans="1:56" ht="12" customHeight="1">
      <c r="A6" s="7">
        <v>3</v>
      </c>
      <c r="B6" s="8">
        <v>10046812</v>
      </c>
      <c r="C6" s="24" t="s">
        <v>35</v>
      </c>
      <c r="D6" s="19">
        <v>837272000</v>
      </c>
      <c r="E6" s="10">
        <f t="shared" si="0"/>
        <v>23257555.555555556</v>
      </c>
      <c r="F6" s="8" t="s">
        <v>31</v>
      </c>
      <c r="G6" s="8">
        <v>120</v>
      </c>
      <c r="H6" s="35" t="s">
        <v>36</v>
      </c>
      <c r="I6" s="11" t="s">
        <v>448</v>
      </c>
      <c r="J6" s="9">
        <f t="shared" si="2"/>
        <v>207291001.20000002</v>
      </c>
      <c r="K6" s="9">
        <f t="shared" si="3"/>
        <v>184212000</v>
      </c>
      <c r="L6" s="12">
        <f t="shared" si="1"/>
        <v>0.88866375739228176</v>
      </c>
      <c r="M6" s="13">
        <v>0</v>
      </c>
      <c r="N6" s="14">
        <v>0</v>
      </c>
      <c r="O6" s="13">
        <v>0</v>
      </c>
      <c r="P6" s="14">
        <v>0</v>
      </c>
      <c r="Q6" s="13">
        <v>0</v>
      </c>
      <c r="R6" s="14">
        <v>0</v>
      </c>
      <c r="S6" s="13">
        <v>0</v>
      </c>
      <c r="T6" s="14">
        <v>0</v>
      </c>
      <c r="U6" s="13">
        <v>0</v>
      </c>
      <c r="V6" s="14">
        <v>0</v>
      </c>
      <c r="W6" s="13">
        <v>0</v>
      </c>
      <c r="X6" s="14">
        <v>0</v>
      </c>
      <c r="Y6" s="13">
        <v>0</v>
      </c>
      <c r="Z6" s="14">
        <v>0</v>
      </c>
      <c r="AA6" s="13">
        <v>0</v>
      </c>
      <c r="AB6" s="14">
        <v>0</v>
      </c>
      <c r="AC6" s="13">
        <v>0</v>
      </c>
      <c r="AD6" s="14">
        <v>0</v>
      </c>
      <c r="AE6" s="13">
        <v>0</v>
      </c>
      <c r="AF6" s="14">
        <v>0</v>
      </c>
      <c r="AG6" s="13">
        <v>0</v>
      </c>
      <c r="AH6" s="14">
        <v>0</v>
      </c>
      <c r="AI6" s="13">
        <v>0</v>
      </c>
      <c r="AJ6" s="14">
        <v>0</v>
      </c>
      <c r="AK6" s="13">
        <v>13449000</v>
      </c>
      <c r="AL6" s="14">
        <v>0</v>
      </c>
      <c r="AM6" s="13">
        <v>29421000.399999999</v>
      </c>
      <c r="AN6" s="14">
        <v>13449000</v>
      </c>
      <c r="AO6" s="13">
        <v>21711000.300000001</v>
      </c>
      <c r="AP6" s="14">
        <v>29421000</v>
      </c>
      <c r="AQ6" s="13">
        <v>20898000.199999999</v>
      </c>
      <c r="AR6" s="14">
        <v>21711000</v>
      </c>
      <c r="AS6" s="13">
        <v>23112999.800000001</v>
      </c>
      <c r="AT6" s="14">
        <v>20898000</v>
      </c>
      <c r="AU6" s="13">
        <v>17026000.199999999</v>
      </c>
      <c r="AV6" s="14">
        <v>23113000</v>
      </c>
      <c r="AW6" s="13">
        <v>17061000</v>
      </c>
      <c r="AX6" s="14">
        <v>17026000</v>
      </c>
      <c r="AY6" s="13">
        <v>20226000.300000001</v>
      </c>
      <c r="AZ6" s="15">
        <v>17061000</v>
      </c>
      <c r="BA6" s="20">
        <v>21307000</v>
      </c>
      <c r="BB6" s="21">
        <v>20226000</v>
      </c>
      <c r="BC6" s="20">
        <v>23079000</v>
      </c>
      <c r="BD6" s="21">
        <v>21307000</v>
      </c>
    </row>
    <row r="7" spans="1:56" ht="12" customHeight="1">
      <c r="A7" s="7">
        <v>4</v>
      </c>
      <c r="B7" s="8">
        <v>10060702</v>
      </c>
      <c r="C7" s="24" t="s">
        <v>37</v>
      </c>
      <c r="D7" s="19">
        <v>536550000</v>
      </c>
      <c r="E7" s="10">
        <f t="shared" si="0"/>
        <v>14904166.666666666</v>
      </c>
      <c r="F7" s="8" t="s">
        <v>31</v>
      </c>
      <c r="G7" s="8">
        <v>90</v>
      </c>
      <c r="H7" s="35" t="s">
        <v>38</v>
      </c>
      <c r="I7" s="11" t="s">
        <v>448</v>
      </c>
      <c r="J7" s="9">
        <f t="shared" si="2"/>
        <v>109791999.5</v>
      </c>
      <c r="K7" s="9">
        <f t="shared" si="3"/>
        <v>99488000</v>
      </c>
      <c r="L7" s="12">
        <f t="shared" si="1"/>
        <v>0.90614981467752576</v>
      </c>
      <c r="M7" s="13">
        <v>0</v>
      </c>
      <c r="N7" s="14">
        <v>0</v>
      </c>
      <c r="O7" s="13">
        <v>0</v>
      </c>
      <c r="P7" s="14">
        <v>0</v>
      </c>
      <c r="Q7" s="13">
        <v>0</v>
      </c>
      <c r="R7" s="14">
        <v>0</v>
      </c>
      <c r="S7" s="13">
        <v>0</v>
      </c>
      <c r="T7" s="14">
        <v>0</v>
      </c>
      <c r="U7" s="13">
        <v>0</v>
      </c>
      <c r="V7" s="14">
        <v>0</v>
      </c>
      <c r="W7" s="13">
        <v>0</v>
      </c>
      <c r="X7" s="14">
        <v>0</v>
      </c>
      <c r="Y7" s="13">
        <v>0</v>
      </c>
      <c r="Z7" s="14">
        <v>0</v>
      </c>
      <c r="AA7" s="13">
        <v>0</v>
      </c>
      <c r="AB7" s="14">
        <v>0</v>
      </c>
      <c r="AC7" s="13">
        <v>0</v>
      </c>
      <c r="AD7" s="14">
        <v>0</v>
      </c>
      <c r="AE7" s="13">
        <v>0</v>
      </c>
      <c r="AF7" s="14">
        <v>0</v>
      </c>
      <c r="AG7" s="13">
        <v>0</v>
      </c>
      <c r="AH7" s="14">
        <v>0</v>
      </c>
      <c r="AI7" s="13">
        <v>1840000</v>
      </c>
      <c r="AJ7" s="14">
        <v>0</v>
      </c>
      <c r="AK7" s="13">
        <v>7312000</v>
      </c>
      <c r="AL7" s="14">
        <v>0</v>
      </c>
      <c r="AM7" s="13">
        <v>13760000.1</v>
      </c>
      <c r="AN7" s="14">
        <v>1840000</v>
      </c>
      <c r="AO7" s="13">
        <v>12511999.5</v>
      </c>
      <c r="AP7" s="14">
        <v>7312000</v>
      </c>
      <c r="AQ7" s="13">
        <v>8703999.6999999993</v>
      </c>
      <c r="AR7" s="14">
        <v>26272000</v>
      </c>
      <c r="AS7" s="13">
        <v>8576000.4000000004</v>
      </c>
      <c r="AT7" s="14">
        <v>8704000</v>
      </c>
      <c r="AU7" s="13">
        <v>12783999.800000001</v>
      </c>
      <c r="AV7" s="14">
        <v>0</v>
      </c>
      <c r="AW7" s="13">
        <v>12927999.699999999</v>
      </c>
      <c r="AX7" s="14">
        <v>21360000</v>
      </c>
      <c r="AY7" s="13">
        <v>12064000.300000001</v>
      </c>
      <c r="AZ7" s="15">
        <v>12928000</v>
      </c>
      <c r="BA7" s="20">
        <v>9008000</v>
      </c>
      <c r="BB7" s="21">
        <v>12064000</v>
      </c>
      <c r="BC7" s="20">
        <v>10304000</v>
      </c>
      <c r="BD7" s="21">
        <v>9008000</v>
      </c>
    </row>
    <row r="8" spans="1:56" ht="12" customHeight="1">
      <c r="A8" s="7">
        <v>5</v>
      </c>
      <c r="B8" s="8">
        <v>10032706</v>
      </c>
      <c r="C8" s="24" t="s">
        <v>39</v>
      </c>
      <c r="D8" s="19">
        <v>429235000</v>
      </c>
      <c r="E8" s="10">
        <f t="shared" si="0"/>
        <v>11923194.444444444</v>
      </c>
      <c r="F8" s="8" t="s">
        <v>31</v>
      </c>
      <c r="G8" s="8">
        <v>60</v>
      </c>
      <c r="H8" s="35" t="s">
        <v>40</v>
      </c>
      <c r="I8" s="11" t="s">
        <v>448</v>
      </c>
      <c r="J8" s="9">
        <f t="shared" si="2"/>
        <v>131264001.59999999</v>
      </c>
      <c r="K8" s="9">
        <f t="shared" si="3"/>
        <v>72643000</v>
      </c>
      <c r="L8" s="12">
        <f t="shared" si="1"/>
        <v>0.55341143889064559</v>
      </c>
      <c r="M8" s="13">
        <v>0</v>
      </c>
      <c r="N8" s="14">
        <v>0</v>
      </c>
      <c r="O8" s="13">
        <v>0</v>
      </c>
      <c r="P8" s="14">
        <v>0</v>
      </c>
      <c r="Q8" s="13">
        <v>0</v>
      </c>
      <c r="R8" s="14">
        <v>0</v>
      </c>
      <c r="S8" s="13">
        <v>0</v>
      </c>
      <c r="T8" s="14">
        <v>0</v>
      </c>
      <c r="U8" s="13">
        <v>0</v>
      </c>
      <c r="V8" s="14">
        <v>0</v>
      </c>
      <c r="W8" s="13">
        <v>0</v>
      </c>
      <c r="X8" s="14">
        <v>0</v>
      </c>
      <c r="Y8" s="13">
        <v>0</v>
      </c>
      <c r="Z8" s="14">
        <v>0</v>
      </c>
      <c r="AA8" s="13">
        <v>0</v>
      </c>
      <c r="AB8" s="14">
        <v>0</v>
      </c>
      <c r="AC8" s="13">
        <v>0</v>
      </c>
      <c r="AD8" s="14">
        <v>0</v>
      </c>
      <c r="AE8" s="13">
        <v>0</v>
      </c>
      <c r="AF8" s="14">
        <v>0</v>
      </c>
      <c r="AG8" s="13">
        <v>0</v>
      </c>
      <c r="AH8" s="14">
        <v>0</v>
      </c>
      <c r="AI8" s="13">
        <v>0</v>
      </c>
      <c r="AJ8" s="14">
        <v>0</v>
      </c>
      <c r="AK8" s="13">
        <v>8413000</v>
      </c>
      <c r="AL8" s="14">
        <v>0</v>
      </c>
      <c r="AM8" s="13">
        <v>12362000.199999999</v>
      </c>
      <c r="AN8" s="14">
        <v>0</v>
      </c>
      <c r="AO8" s="13">
        <v>15868000.5</v>
      </c>
      <c r="AP8" s="14">
        <v>8413000</v>
      </c>
      <c r="AQ8" s="13">
        <v>14405000.5</v>
      </c>
      <c r="AR8" s="14">
        <v>0</v>
      </c>
      <c r="AS8" s="13">
        <v>0</v>
      </c>
      <c r="AT8" s="14">
        <v>12362000</v>
      </c>
      <c r="AU8" s="13">
        <v>34152000.299999997</v>
      </c>
      <c r="AV8" s="14">
        <v>0</v>
      </c>
      <c r="AW8" s="13">
        <v>16497000.300000001</v>
      </c>
      <c r="AX8" s="14">
        <v>15868000</v>
      </c>
      <c r="AY8" s="13">
        <v>13399999.800000001</v>
      </c>
      <c r="AZ8" s="15">
        <v>15000000</v>
      </c>
      <c r="BA8" s="20">
        <v>8189999.9999999991</v>
      </c>
      <c r="BB8" s="21">
        <v>18000000</v>
      </c>
      <c r="BC8" s="20">
        <v>7977000</v>
      </c>
      <c r="BD8" s="21">
        <v>3000000</v>
      </c>
    </row>
    <row r="9" spans="1:56" ht="12" customHeight="1">
      <c r="A9" s="7">
        <v>6</v>
      </c>
      <c r="B9" s="8">
        <v>10045809</v>
      </c>
      <c r="C9" s="24" t="s">
        <v>41</v>
      </c>
      <c r="D9" s="19">
        <v>605334000</v>
      </c>
      <c r="E9" s="10">
        <f t="shared" si="0"/>
        <v>16814833.333333332</v>
      </c>
      <c r="F9" s="8" t="s">
        <v>31</v>
      </c>
      <c r="G9" s="8">
        <v>100</v>
      </c>
      <c r="H9" s="35" t="s">
        <v>42</v>
      </c>
      <c r="I9" s="11" t="s">
        <v>448</v>
      </c>
      <c r="J9" s="9">
        <f t="shared" si="2"/>
        <v>116296000.8</v>
      </c>
      <c r="K9" s="9">
        <f t="shared" si="3"/>
        <v>91544000</v>
      </c>
      <c r="L9" s="12">
        <f t="shared" si="1"/>
        <v>0.78716378353743011</v>
      </c>
      <c r="M9" s="13">
        <v>0</v>
      </c>
      <c r="N9" s="14">
        <v>0</v>
      </c>
      <c r="O9" s="13">
        <v>0</v>
      </c>
      <c r="P9" s="14">
        <v>0</v>
      </c>
      <c r="Q9" s="13">
        <v>0</v>
      </c>
      <c r="R9" s="14">
        <v>0</v>
      </c>
      <c r="S9" s="13">
        <v>0</v>
      </c>
      <c r="T9" s="14">
        <v>0</v>
      </c>
      <c r="U9" s="13">
        <v>0</v>
      </c>
      <c r="V9" s="14">
        <v>0</v>
      </c>
      <c r="W9" s="13">
        <v>0</v>
      </c>
      <c r="X9" s="14">
        <v>0</v>
      </c>
      <c r="Y9" s="13">
        <v>0</v>
      </c>
      <c r="Z9" s="14">
        <v>0</v>
      </c>
      <c r="AA9" s="13">
        <v>0</v>
      </c>
      <c r="AB9" s="14">
        <v>0</v>
      </c>
      <c r="AC9" s="13">
        <v>0</v>
      </c>
      <c r="AD9" s="14">
        <v>0</v>
      </c>
      <c r="AE9" s="13">
        <v>0</v>
      </c>
      <c r="AF9" s="14">
        <v>0</v>
      </c>
      <c r="AG9" s="13">
        <v>0</v>
      </c>
      <c r="AH9" s="14">
        <v>0</v>
      </c>
      <c r="AI9" s="13">
        <v>7031000</v>
      </c>
      <c r="AJ9" s="14">
        <v>0</v>
      </c>
      <c r="AK9" s="13">
        <v>6773000</v>
      </c>
      <c r="AL9" s="14">
        <v>0</v>
      </c>
      <c r="AM9" s="13">
        <v>10192000.5</v>
      </c>
      <c r="AN9" s="14">
        <v>0</v>
      </c>
      <c r="AO9" s="13">
        <v>11257999.5</v>
      </c>
      <c r="AP9" s="14">
        <v>13804000</v>
      </c>
      <c r="AQ9" s="13">
        <v>10855000.199999999</v>
      </c>
      <c r="AR9" s="14">
        <v>10192000</v>
      </c>
      <c r="AS9" s="13">
        <v>11374999.9</v>
      </c>
      <c r="AT9" s="14">
        <v>11258000</v>
      </c>
      <c r="AU9" s="13">
        <v>12285000.199999999</v>
      </c>
      <c r="AV9" s="14">
        <v>10855000</v>
      </c>
      <c r="AW9" s="13">
        <v>11791000.1</v>
      </c>
      <c r="AX9" s="14">
        <v>11375000</v>
      </c>
      <c r="AY9" s="13">
        <v>9984000.4000000004</v>
      </c>
      <c r="AZ9" s="15">
        <v>12285000</v>
      </c>
      <c r="BA9" s="20">
        <v>12272000</v>
      </c>
      <c r="BB9" s="21">
        <v>11791000</v>
      </c>
      <c r="BC9" s="20">
        <v>12480000</v>
      </c>
      <c r="BD9" s="21">
        <v>9984000</v>
      </c>
    </row>
    <row r="10" spans="1:56" ht="12" customHeight="1">
      <c r="A10" s="7">
        <v>7</v>
      </c>
      <c r="B10" s="8">
        <v>10033043</v>
      </c>
      <c r="C10" s="24" t="s">
        <v>43</v>
      </c>
      <c r="D10" s="19">
        <v>351426000</v>
      </c>
      <c r="E10" s="10">
        <f t="shared" si="0"/>
        <v>9761833.333333334</v>
      </c>
      <c r="F10" s="8" t="s">
        <v>31</v>
      </c>
      <c r="G10" s="8">
        <v>30</v>
      </c>
      <c r="H10" s="35" t="s">
        <v>44</v>
      </c>
      <c r="I10" s="11" t="s">
        <v>448</v>
      </c>
      <c r="J10" s="9">
        <f t="shared" si="2"/>
        <v>89845999.699999988</v>
      </c>
      <c r="K10" s="9">
        <f t="shared" si="3"/>
        <v>78717000</v>
      </c>
      <c r="L10" s="12">
        <f t="shared" si="1"/>
        <v>0.87613249630300472</v>
      </c>
      <c r="M10" s="13">
        <v>0</v>
      </c>
      <c r="N10" s="14">
        <v>0</v>
      </c>
      <c r="O10" s="13">
        <v>0</v>
      </c>
      <c r="P10" s="14">
        <v>0</v>
      </c>
      <c r="Q10" s="13">
        <v>0</v>
      </c>
      <c r="R10" s="14">
        <v>0</v>
      </c>
      <c r="S10" s="13">
        <v>0</v>
      </c>
      <c r="T10" s="14">
        <v>0</v>
      </c>
      <c r="U10" s="13">
        <v>0</v>
      </c>
      <c r="V10" s="14">
        <v>0</v>
      </c>
      <c r="W10" s="13">
        <v>0</v>
      </c>
      <c r="X10" s="14">
        <v>0</v>
      </c>
      <c r="Y10" s="13">
        <v>0</v>
      </c>
      <c r="Z10" s="14">
        <v>0</v>
      </c>
      <c r="AA10" s="13">
        <v>0</v>
      </c>
      <c r="AB10" s="14">
        <v>0</v>
      </c>
      <c r="AC10" s="13">
        <v>0</v>
      </c>
      <c r="AD10" s="14">
        <v>0</v>
      </c>
      <c r="AE10" s="13">
        <v>0</v>
      </c>
      <c r="AF10" s="14">
        <v>0</v>
      </c>
      <c r="AG10" s="13">
        <v>0</v>
      </c>
      <c r="AH10" s="14">
        <v>0</v>
      </c>
      <c r="AI10" s="13">
        <v>0</v>
      </c>
      <c r="AJ10" s="14">
        <v>0</v>
      </c>
      <c r="AK10" s="13">
        <v>10003000</v>
      </c>
      <c r="AL10" s="14">
        <v>0</v>
      </c>
      <c r="AM10" s="13">
        <v>9494999.8000000007</v>
      </c>
      <c r="AN10" s="14">
        <v>10003000</v>
      </c>
      <c r="AO10" s="13">
        <v>6929000.0999999996</v>
      </c>
      <c r="AP10" s="14">
        <v>9495000</v>
      </c>
      <c r="AQ10" s="13">
        <v>6105999.9000000004</v>
      </c>
      <c r="AR10" s="14">
        <v>6929000</v>
      </c>
      <c r="AS10" s="13">
        <v>8355000.5</v>
      </c>
      <c r="AT10" s="14">
        <v>6106000</v>
      </c>
      <c r="AU10" s="13">
        <v>9398999.5</v>
      </c>
      <c r="AV10" s="14">
        <v>8355000</v>
      </c>
      <c r="AW10" s="13">
        <v>7645000</v>
      </c>
      <c r="AX10" s="14">
        <v>9399000</v>
      </c>
      <c r="AY10" s="13">
        <v>9009999.9000000004</v>
      </c>
      <c r="AZ10" s="15">
        <v>7645000</v>
      </c>
      <c r="BA10" s="20">
        <v>11775000</v>
      </c>
      <c r="BB10" s="21">
        <v>9010000</v>
      </c>
      <c r="BC10" s="20">
        <v>11129000</v>
      </c>
      <c r="BD10" s="21">
        <v>11775000</v>
      </c>
    </row>
    <row r="11" spans="1:56" ht="12" customHeight="1">
      <c r="A11" s="7">
        <v>8</v>
      </c>
      <c r="B11" s="8">
        <v>10006915</v>
      </c>
      <c r="C11" s="24" t="s">
        <v>45</v>
      </c>
      <c r="D11" s="19">
        <v>1054308548</v>
      </c>
      <c r="E11" s="10">
        <f t="shared" si="0"/>
        <v>29286348.555555556</v>
      </c>
      <c r="F11" s="8" t="s">
        <v>31</v>
      </c>
      <c r="G11" s="8">
        <v>117</v>
      </c>
      <c r="H11" s="35" t="s">
        <v>46</v>
      </c>
      <c r="I11" s="11" t="s">
        <v>448</v>
      </c>
      <c r="J11" s="9">
        <f t="shared" si="2"/>
        <v>83203998.199999988</v>
      </c>
      <c r="K11" s="9">
        <f t="shared" si="3"/>
        <v>75476000</v>
      </c>
      <c r="L11" s="12">
        <f t="shared" si="1"/>
        <v>0.9071198696314573</v>
      </c>
      <c r="M11" s="13">
        <v>0</v>
      </c>
      <c r="N11" s="14">
        <v>0</v>
      </c>
      <c r="O11" s="13">
        <v>0</v>
      </c>
      <c r="P11" s="14">
        <v>0</v>
      </c>
      <c r="Q11" s="13">
        <v>0</v>
      </c>
      <c r="R11" s="14">
        <v>0</v>
      </c>
      <c r="S11" s="13">
        <v>0</v>
      </c>
      <c r="T11" s="14">
        <v>0</v>
      </c>
      <c r="U11" s="13">
        <v>0</v>
      </c>
      <c r="V11" s="14">
        <v>0</v>
      </c>
      <c r="W11" s="13">
        <v>0</v>
      </c>
      <c r="X11" s="14">
        <v>0</v>
      </c>
      <c r="Y11" s="13">
        <v>0</v>
      </c>
      <c r="Z11" s="14">
        <v>0</v>
      </c>
      <c r="AA11" s="13">
        <v>0</v>
      </c>
      <c r="AB11" s="14">
        <v>0</v>
      </c>
      <c r="AC11" s="13">
        <v>0</v>
      </c>
      <c r="AD11" s="14">
        <v>0</v>
      </c>
      <c r="AE11" s="13">
        <v>0</v>
      </c>
      <c r="AF11" s="14">
        <v>0</v>
      </c>
      <c r="AG11" s="13">
        <v>0</v>
      </c>
      <c r="AH11" s="14">
        <v>0</v>
      </c>
      <c r="AI11" s="13">
        <v>0</v>
      </c>
      <c r="AJ11" s="14">
        <v>0</v>
      </c>
      <c r="AK11" s="13">
        <v>2692000</v>
      </c>
      <c r="AL11" s="14">
        <v>0</v>
      </c>
      <c r="AM11" s="13">
        <v>7072000.0999999996</v>
      </c>
      <c r="AN11" s="14">
        <v>0</v>
      </c>
      <c r="AO11" s="13">
        <v>9551999.5999999996</v>
      </c>
      <c r="AP11" s="14">
        <v>9764000</v>
      </c>
      <c r="AQ11" s="13">
        <v>8800000</v>
      </c>
      <c r="AR11" s="14">
        <v>9552000</v>
      </c>
      <c r="AS11" s="13">
        <v>10079999.6</v>
      </c>
      <c r="AT11" s="14">
        <v>8800000</v>
      </c>
      <c r="AU11" s="13">
        <v>9439999.8000000007</v>
      </c>
      <c r="AV11" s="14">
        <v>10080000</v>
      </c>
      <c r="AW11" s="13">
        <v>9695999.5</v>
      </c>
      <c r="AX11" s="14">
        <v>9440000</v>
      </c>
      <c r="AY11" s="13">
        <v>9375999.5999999996</v>
      </c>
      <c r="AZ11" s="15">
        <v>9696000</v>
      </c>
      <c r="BA11" s="20">
        <v>8768000</v>
      </c>
      <c r="BB11" s="21">
        <v>9376000</v>
      </c>
      <c r="BC11" s="20">
        <v>7728000</v>
      </c>
      <c r="BD11" s="21">
        <v>8768000</v>
      </c>
    </row>
    <row r="12" spans="1:56" ht="12" customHeight="1">
      <c r="A12" s="7">
        <v>9</v>
      </c>
      <c r="B12" s="8">
        <v>10033886</v>
      </c>
      <c r="C12" s="24" t="s">
        <v>47</v>
      </c>
      <c r="D12" s="19">
        <v>1146845000</v>
      </c>
      <c r="E12" s="10">
        <f t="shared" si="0"/>
        <v>31856805.555555556</v>
      </c>
      <c r="F12" s="8" t="s">
        <v>31</v>
      </c>
      <c r="G12" s="8">
        <v>241</v>
      </c>
      <c r="H12" s="35" t="s">
        <v>48</v>
      </c>
      <c r="I12" s="11" t="s">
        <v>448</v>
      </c>
      <c r="J12" s="9">
        <f t="shared" si="2"/>
        <v>517048998.90000004</v>
      </c>
      <c r="K12" s="9">
        <f t="shared" si="3"/>
        <v>463151000</v>
      </c>
      <c r="L12" s="12">
        <f t="shared" si="1"/>
        <v>0.89575843099074604</v>
      </c>
      <c r="M12" s="13">
        <v>0</v>
      </c>
      <c r="N12" s="14">
        <v>0</v>
      </c>
      <c r="O12" s="13">
        <v>0</v>
      </c>
      <c r="P12" s="14">
        <v>0</v>
      </c>
      <c r="Q12" s="13">
        <v>0</v>
      </c>
      <c r="R12" s="14">
        <v>0</v>
      </c>
      <c r="S12" s="13">
        <v>0</v>
      </c>
      <c r="T12" s="14">
        <v>0</v>
      </c>
      <c r="U12" s="13">
        <v>0</v>
      </c>
      <c r="V12" s="14">
        <v>0</v>
      </c>
      <c r="W12" s="13">
        <v>0</v>
      </c>
      <c r="X12" s="14">
        <v>0</v>
      </c>
      <c r="Y12" s="13">
        <v>0</v>
      </c>
      <c r="Z12" s="14">
        <v>0</v>
      </c>
      <c r="AA12" s="13">
        <v>0</v>
      </c>
      <c r="AB12" s="14">
        <v>0</v>
      </c>
      <c r="AC12" s="13">
        <v>0</v>
      </c>
      <c r="AD12" s="14">
        <v>0</v>
      </c>
      <c r="AE12" s="13">
        <v>0</v>
      </c>
      <c r="AF12" s="14">
        <v>0</v>
      </c>
      <c r="AG12" s="13">
        <v>0</v>
      </c>
      <c r="AH12" s="14">
        <v>0</v>
      </c>
      <c r="AI12" s="13">
        <v>0</v>
      </c>
      <c r="AJ12" s="14">
        <v>0</v>
      </c>
      <c r="AK12" s="13">
        <v>82381000</v>
      </c>
      <c r="AL12" s="14">
        <v>0</v>
      </c>
      <c r="AM12" s="13">
        <v>39234000.299999997</v>
      </c>
      <c r="AN12" s="14">
        <v>82381000</v>
      </c>
      <c r="AO12" s="13">
        <v>31563999.5</v>
      </c>
      <c r="AP12" s="14">
        <v>39234000</v>
      </c>
      <c r="AQ12" s="13">
        <v>77142000.099999994</v>
      </c>
      <c r="AR12" s="14">
        <v>31564000</v>
      </c>
      <c r="AS12" s="13">
        <v>56991999.899999999</v>
      </c>
      <c r="AT12" s="14">
        <v>77142000</v>
      </c>
      <c r="AU12" s="13">
        <v>35697999.700000003</v>
      </c>
      <c r="AV12" s="14">
        <v>56992000</v>
      </c>
      <c r="AW12" s="13">
        <v>44342999.799999997</v>
      </c>
      <c r="AX12" s="14">
        <v>35698000</v>
      </c>
      <c r="AY12" s="13">
        <v>52077999.600000001</v>
      </c>
      <c r="AZ12" s="15">
        <v>44343000</v>
      </c>
      <c r="BA12" s="20">
        <v>43719000</v>
      </c>
      <c r="BB12" s="21">
        <v>52078000</v>
      </c>
      <c r="BC12" s="20">
        <v>53898000</v>
      </c>
      <c r="BD12" s="21">
        <v>43719000</v>
      </c>
    </row>
    <row r="13" spans="1:56" ht="12" customHeight="1">
      <c r="A13" s="7">
        <v>10</v>
      </c>
      <c r="B13" s="8">
        <v>10034115</v>
      </c>
      <c r="C13" s="24" t="s">
        <v>490</v>
      </c>
      <c r="D13" s="19">
        <v>420564000</v>
      </c>
      <c r="E13" s="10">
        <f t="shared" si="0"/>
        <v>11682333.333333334</v>
      </c>
      <c r="F13" s="8" t="s">
        <v>49</v>
      </c>
      <c r="G13" s="8">
        <v>60</v>
      </c>
      <c r="H13" s="35" t="s">
        <v>50</v>
      </c>
      <c r="I13" s="11">
        <v>0</v>
      </c>
      <c r="J13" s="9">
        <f t="shared" si="2"/>
        <v>420564000</v>
      </c>
      <c r="K13" s="9">
        <f t="shared" si="3"/>
        <v>420564000</v>
      </c>
      <c r="L13" s="12">
        <f t="shared" si="1"/>
        <v>1</v>
      </c>
      <c r="M13" s="13">
        <v>0</v>
      </c>
      <c r="N13" s="14">
        <v>0</v>
      </c>
      <c r="O13" s="13">
        <v>0</v>
      </c>
      <c r="P13" s="14">
        <v>0</v>
      </c>
      <c r="Q13" s="13">
        <v>0</v>
      </c>
      <c r="R13" s="14">
        <v>0</v>
      </c>
      <c r="S13" s="13">
        <v>0</v>
      </c>
      <c r="T13" s="14">
        <v>0</v>
      </c>
      <c r="U13" s="13">
        <v>0</v>
      </c>
      <c r="V13" s="14">
        <v>0</v>
      </c>
      <c r="W13" s="13">
        <v>0</v>
      </c>
      <c r="X13" s="14">
        <v>0</v>
      </c>
      <c r="Y13" s="13">
        <v>0</v>
      </c>
      <c r="Z13" s="14">
        <v>0</v>
      </c>
      <c r="AA13" s="13">
        <v>0</v>
      </c>
      <c r="AB13" s="14">
        <v>0</v>
      </c>
      <c r="AC13" s="13">
        <v>0</v>
      </c>
      <c r="AD13" s="14">
        <v>0</v>
      </c>
      <c r="AE13" s="13">
        <v>0</v>
      </c>
      <c r="AF13" s="14">
        <v>0</v>
      </c>
      <c r="AG13" s="13">
        <v>0</v>
      </c>
      <c r="AH13" s="14">
        <v>0</v>
      </c>
      <c r="AI13" s="13">
        <v>420564000</v>
      </c>
      <c r="AJ13" s="14">
        <v>0</v>
      </c>
      <c r="AK13" s="13">
        <v>0</v>
      </c>
      <c r="AL13" s="14">
        <v>0</v>
      </c>
      <c r="AM13" s="13">
        <v>0</v>
      </c>
      <c r="AN13" s="14">
        <v>0</v>
      </c>
      <c r="AO13" s="13">
        <v>0</v>
      </c>
      <c r="AP13" s="14">
        <v>126169200</v>
      </c>
      <c r="AQ13" s="13">
        <v>0</v>
      </c>
      <c r="AR13" s="14">
        <v>294394800</v>
      </c>
      <c r="AS13" s="13">
        <v>0</v>
      </c>
      <c r="AT13" s="14">
        <v>0</v>
      </c>
      <c r="AU13" s="13">
        <v>0</v>
      </c>
      <c r="AV13" s="14">
        <v>0</v>
      </c>
      <c r="AW13" s="13">
        <v>0</v>
      </c>
      <c r="AX13" s="14">
        <v>0</v>
      </c>
      <c r="AY13" s="13">
        <v>0</v>
      </c>
      <c r="AZ13" s="15">
        <v>0</v>
      </c>
      <c r="BA13" s="20">
        <v>0</v>
      </c>
      <c r="BB13" s="21">
        <v>0</v>
      </c>
      <c r="BC13" s="20">
        <v>0</v>
      </c>
      <c r="BD13" s="21">
        <v>0</v>
      </c>
    </row>
    <row r="14" spans="1:56" ht="12" customHeight="1">
      <c r="A14" s="7">
        <v>11</v>
      </c>
      <c r="B14" s="8">
        <v>10034679</v>
      </c>
      <c r="C14" s="24" t="s">
        <v>51</v>
      </c>
      <c r="D14" s="19">
        <v>490298000</v>
      </c>
      <c r="E14" s="10">
        <f t="shared" si="0"/>
        <v>13619388.888888888</v>
      </c>
      <c r="F14" s="8" t="s">
        <v>31</v>
      </c>
      <c r="G14" s="8">
        <v>80</v>
      </c>
      <c r="H14" s="35" t="s">
        <v>52</v>
      </c>
      <c r="I14" s="11" t="s">
        <v>448</v>
      </c>
      <c r="J14" s="9">
        <f t="shared" si="2"/>
        <v>100027000.90000001</v>
      </c>
      <c r="K14" s="9">
        <f t="shared" si="3"/>
        <v>87192000</v>
      </c>
      <c r="L14" s="12">
        <f t="shared" si="1"/>
        <v>0.87168463730276646</v>
      </c>
      <c r="M14" s="13">
        <v>0</v>
      </c>
      <c r="N14" s="14">
        <v>0</v>
      </c>
      <c r="O14" s="13">
        <v>0</v>
      </c>
      <c r="P14" s="14">
        <v>0</v>
      </c>
      <c r="Q14" s="13">
        <v>0</v>
      </c>
      <c r="R14" s="14">
        <v>0</v>
      </c>
      <c r="S14" s="13">
        <v>0</v>
      </c>
      <c r="T14" s="14">
        <v>0</v>
      </c>
      <c r="U14" s="13">
        <v>0</v>
      </c>
      <c r="V14" s="14">
        <v>0</v>
      </c>
      <c r="W14" s="13">
        <v>0</v>
      </c>
      <c r="X14" s="14">
        <v>0</v>
      </c>
      <c r="Y14" s="13">
        <v>0</v>
      </c>
      <c r="Z14" s="14">
        <v>0</v>
      </c>
      <c r="AA14" s="13">
        <v>0</v>
      </c>
      <c r="AB14" s="14">
        <v>0</v>
      </c>
      <c r="AC14" s="13">
        <v>0</v>
      </c>
      <c r="AD14" s="14">
        <v>0</v>
      </c>
      <c r="AE14" s="13">
        <v>0</v>
      </c>
      <c r="AF14" s="14">
        <v>0</v>
      </c>
      <c r="AG14" s="13">
        <v>0</v>
      </c>
      <c r="AH14" s="14">
        <v>0</v>
      </c>
      <c r="AI14" s="13">
        <v>0</v>
      </c>
      <c r="AJ14" s="14">
        <v>0</v>
      </c>
      <c r="AK14" s="13">
        <v>7759000</v>
      </c>
      <c r="AL14" s="14">
        <v>0</v>
      </c>
      <c r="AM14" s="13">
        <v>12559000.300000001</v>
      </c>
      <c r="AN14" s="14">
        <v>0</v>
      </c>
      <c r="AO14" s="13">
        <v>9934999.8000000007</v>
      </c>
      <c r="AP14" s="14">
        <v>20318000</v>
      </c>
      <c r="AQ14" s="13">
        <v>5438999.5</v>
      </c>
      <c r="AR14" s="14">
        <v>9935000</v>
      </c>
      <c r="AS14" s="13">
        <v>10336000.4</v>
      </c>
      <c r="AT14" s="14">
        <v>5439000</v>
      </c>
      <c r="AU14" s="13">
        <v>11513000.4</v>
      </c>
      <c r="AV14" s="14">
        <v>10336000</v>
      </c>
      <c r="AW14" s="13">
        <v>10131000</v>
      </c>
      <c r="AX14" s="14">
        <v>11513000</v>
      </c>
      <c r="AY14" s="13">
        <v>9400000.5</v>
      </c>
      <c r="AZ14" s="15">
        <v>10131000</v>
      </c>
      <c r="BA14" s="20">
        <v>10120000</v>
      </c>
      <c r="BB14" s="21">
        <v>9400000</v>
      </c>
      <c r="BC14" s="20">
        <v>12835000</v>
      </c>
      <c r="BD14" s="21">
        <v>10120000</v>
      </c>
    </row>
    <row r="15" spans="1:56" ht="12" customHeight="1">
      <c r="A15" s="7">
        <v>12</v>
      </c>
      <c r="B15" s="8">
        <v>10044981</v>
      </c>
      <c r="C15" s="24" t="s">
        <v>53</v>
      </c>
      <c r="D15" s="19">
        <v>404679000</v>
      </c>
      <c r="E15" s="10">
        <f t="shared" si="0"/>
        <v>11241083.333333334</v>
      </c>
      <c r="F15" s="8" t="s">
        <v>31</v>
      </c>
      <c r="G15" s="8">
        <v>50</v>
      </c>
      <c r="H15" s="35" t="s">
        <v>54</v>
      </c>
      <c r="I15" s="11" t="s">
        <v>448</v>
      </c>
      <c r="J15" s="9">
        <f t="shared" si="2"/>
        <v>106554999.40000002</v>
      </c>
      <c r="K15" s="9">
        <f t="shared" si="3"/>
        <v>95450000</v>
      </c>
      <c r="L15" s="12">
        <f t="shared" si="1"/>
        <v>0.89578152632414154</v>
      </c>
      <c r="M15" s="13">
        <v>0</v>
      </c>
      <c r="N15" s="14">
        <v>0</v>
      </c>
      <c r="O15" s="13">
        <v>0</v>
      </c>
      <c r="P15" s="14">
        <v>0</v>
      </c>
      <c r="Q15" s="13">
        <v>0</v>
      </c>
      <c r="R15" s="14">
        <v>0</v>
      </c>
      <c r="S15" s="13">
        <v>0</v>
      </c>
      <c r="T15" s="14">
        <v>0</v>
      </c>
      <c r="U15" s="13">
        <v>0</v>
      </c>
      <c r="V15" s="14">
        <v>0</v>
      </c>
      <c r="W15" s="13">
        <v>0</v>
      </c>
      <c r="X15" s="14">
        <v>0</v>
      </c>
      <c r="Y15" s="13">
        <v>0</v>
      </c>
      <c r="Z15" s="14">
        <v>0</v>
      </c>
      <c r="AA15" s="13">
        <v>0</v>
      </c>
      <c r="AB15" s="14">
        <v>0</v>
      </c>
      <c r="AC15" s="13">
        <v>0</v>
      </c>
      <c r="AD15" s="14">
        <v>0</v>
      </c>
      <c r="AE15" s="13">
        <v>0</v>
      </c>
      <c r="AF15" s="14">
        <v>0</v>
      </c>
      <c r="AG15" s="13">
        <v>0</v>
      </c>
      <c r="AH15" s="14">
        <v>0</v>
      </c>
      <c r="AI15" s="13">
        <v>0</v>
      </c>
      <c r="AJ15" s="14">
        <v>0</v>
      </c>
      <c r="AK15" s="13">
        <v>5964000</v>
      </c>
      <c r="AL15" s="14">
        <v>0</v>
      </c>
      <c r="AM15" s="13">
        <v>10713000.1</v>
      </c>
      <c r="AN15" s="14">
        <v>0</v>
      </c>
      <c r="AO15" s="13">
        <v>13101000</v>
      </c>
      <c r="AP15" s="14">
        <v>5964000</v>
      </c>
      <c r="AQ15" s="13">
        <v>9824999.8000000007</v>
      </c>
      <c r="AR15" s="14">
        <v>10713000</v>
      </c>
      <c r="AS15" s="13">
        <v>12917999.6</v>
      </c>
      <c r="AT15" s="14">
        <v>13101000</v>
      </c>
      <c r="AU15" s="13">
        <v>9395999.8000000007</v>
      </c>
      <c r="AV15" s="14">
        <v>12743000</v>
      </c>
      <c r="AW15" s="13">
        <v>9568000.1999999993</v>
      </c>
      <c r="AX15" s="14">
        <v>14000000</v>
      </c>
      <c r="AY15" s="13">
        <v>11836999.9</v>
      </c>
      <c r="AZ15" s="15">
        <v>14964000</v>
      </c>
      <c r="BA15" s="20">
        <v>12128000</v>
      </c>
      <c r="BB15" s="21">
        <v>11837000</v>
      </c>
      <c r="BC15" s="20">
        <v>11105000</v>
      </c>
      <c r="BD15" s="21">
        <v>12128000</v>
      </c>
    </row>
    <row r="16" spans="1:56" ht="12" customHeight="1">
      <c r="A16" s="7">
        <v>13</v>
      </c>
      <c r="B16" s="8">
        <v>10035069</v>
      </c>
      <c r="C16" s="24" t="s">
        <v>55</v>
      </c>
      <c r="D16" s="19">
        <v>1401889000</v>
      </c>
      <c r="E16" s="10">
        <f t="shared" si="0"/>
        <v>38941361.111111112</v>
      </c>
      <c r="F16" s="8" t="s">
        <v>31</v>
      </c>
      <c r="G16" s="8">
        <v>280</v>
      </c>
      <c r="H16" s="35" t="s">
        <v>56</v>
      </c>
      <c r="I16" s="11" t="s">
        <v>491</v>
      </c>
      <c r="J16" s="9">
        <f t="shared" si="2"/>
        <v>450874400.50000006</v>
      </c>
      <c r="K16" s="9">
        <f t="shared" si="3"/>
        <v>377536400</v>
      </c>
      <c r="L16" s="12">
        <f t="shared" si="1"/>
        <v>0.83734272689096689</v>
      </c>
      <c r="M16" s="13">
        <v>0</v>
      </c>
      <c r="N16" s="14">
        <v>0</v>
      </c>
      <c r="O16" s="13">
        <v>0</v>
      </c>
      <c r="P16" s="14">
        <v>0</v>
      </c>
      <c r="Q16" s="13">
        <v>0</v>
      </c>
      <c r="R16" s="14">
        <v>0</v>
      </c>
      <c r="S16" s="13">
        <v>0</v>
      </c>
      <c r="T16" s="14">
        <v>0</v>
      </c>
      <c r="U16" s="13">
        <v>0</v>
      </c>
      <c r="V16" s="14">
        <v>0</v>
      </c>
      <c r="W16" s="13">
        <v>0</v>
      </c>
      <c r="X16" s="14">
        <v>0</v>
      </c>
      <c r="Y16" s="13">
        <v>0</v>
      </c>
      <c r="Z16" s="14">
        <v>0</v>
      </c>
      <c r="AA16" s="13">
        <v>0</v>
      </c>
      <c r="AB16" s="14">
        <v>0</v>
      </c>
      <c r="AC16" s="13">
        <v>5342000</v>
      </c>
      <c r="AD16" s="14">
        <v>0</v>
      </c>
      <c r="AE16" s="13">
        <v>50708800</v>
      </c>
      <c r="AF16" s="14">
        <v>0</v>
      </c>
      <c r="AG16" s="13">
        <v>47751600</v>
      </c>
      <c r="AH16" s="14">
        <v>0</v>
      </c>
      <c r="AI16" s="13">
        <v>47417200</v>
      </c>
      <c r="AJ16" s="14">
        <v>0</v>
      </c>
      <c r="AK16" s="13">
        <v>29072000</v>
      </c>
      <c r="AL16" s="14">
        <v>103802400</v>
      </c>
      <c r="AM16" s="13">
        <v>31325200.5</v>
      </c>
      <c r="AN16" s="14">
        <v>47417200</v>
      </c>
      <c r="AO16" s="13">
        <v>20231200</v>
      </c>
      <c r="AP16" s="14">
        <v>29072000</v>
      </c>
      <c r="AQ16" s="13">
        <v>23394000.300000001</v>
      </c>
      <c r="AR16" s="14">
        <v>31325200</v>
      </c>
      <c r="AS16" s="13">
        <v>28542800</v>
      </c>
      <c r="AT16" s="14">
        <v>0</v>
      </c>
      <c r="AU16" s="13">
        <v>30392799.800000001</v>
      </c>
      <c r="AV16" s="14">
        <v>43625200</v>
      </c>
      <c r="AW16" s="13">
        <v>31965200.300000001</v>
      </c>
      <c r="AX16" s="14">
        <v>28542800</v>
      </c>
      <c r="AY16" s="13">
        <v>31393599.600000001</v>
      </c>
      <c r="AZ16" s="15">
        <v>30392800</v>
      </c>
      <c r="BA16" s="20">
        <v>37494000</v>
      </c>
      <c r="BB16" s="21">
        <v>0</v>
      </c>
      <c r="BC16" s="20">
        <v>35844000</v>
      </c>
      <c r="BD16" s="21">
        <v>63358800</v>
      </c>
    </row>
    <row r="17" spans="1:56" ht="12" customHeight="1">
      <c r="A17" s="7">
        <v>14</v>
      </c>
      <c r="B17" s="8">
        <v>10035078</v>
      </c>
      <c r="C17" s="24" t="s">
        <v>57</v>
      </c>
      <c r="D17" s="19">
        <v>279085000</v>
      </c>
      <c r="E17" s="10">
        <f t="shared" si="0"/>
        <v>7752361.111111111</v>
      </c>
      <c r="F17" s="8" t="s">
        <v>31</v>
      </c>
      <c r="G17" s="8">
        <v>40</v>
      </c>
      <c r="H17" s="35" t="s">
        <v>58</v>
      </c>
      <c r="I17" s="11" t="s">
        <v>448</v>
      </c>
      <c r="J17" s="9">
        <f t="shared" si="2"/>
        <v>67385998.799999997</v>
      </c>
      <c r="K17" s="9">
        <f t="shared" si="3"/>
        <v>48243000</v>
      </c>
      <c r="L17" s="12">
        <f t="shared" si="1"/>
        <v>0.71592023356638301</v>
      </c>
      <c r="M17" s="13">
        <v>0</v>
      </c>
      <c r="N17" s="14">
        <v>0</v>
      </c>
      <c r="O17" s="13">
        <v>0</v>
      </c>
      <c r="P17" s="14">
        <v>0</v>
      </c>
      <c r="Q17" s="13">
        <v>0</v>
      </c>
      <c r="R17" s="14">
        <v>0</v>
      </c>
      <c r="S17" s="13">
        <v>0</v>
      </c>
      <c r="T17" s="14">
        <v>0</v>
      </c>
      <c r="U17" s="13">
        <v>0</v>
      </c>
      <c r="V17" s="14">
        <v>0</v>
      </c>
      <c r="W17" s="13">
        <v>0</v>
      </c>
      <c r="X17" s="14">
        <v>0</v>
      </c>
      <c r="Y17" s="13">
        <v>0</v>
      </c>
      <c r="Z17" s="14">
        <v>0</v>
      </c>
      <c r="AA17" s="13">
        <v>0</v>
      </c>
      <c r="AB17" s="14">
        <v>0</v>
      </c>
      <c r="AC17" s="13">
        <v>0</v>
      </c>
      <c r="AD17" s="14">
        <v>0</v>
      </c>
      <c r="AE17" s="13">
        <v>0</v>
      </c>
      <c r="AF17" s="14">
        <v>0</v>
      </c>
      <c r="AG17" s="13">
        <v>0</v>
      </c>
      <c r="AH17" s="14">
        <v>0</v>
      </c>
      <c r="AI17" s="13">
        <v>0</v>
      </c>
      <c r="AJ17" s="14">
        <v>0</v>
      </c>
      <c r="AK17" s="13">
        <v>2000000</v>
      </c>
      <c r="AL17" s="14">
        <v>0</v>
      </c>
      <c r="AM17" s="13">
        <v>6227999.7999999998</v>
      </c>
      <c r="AN17" s="14">
        <v>0</v>
      </c>
      <c r="AO17" s="13">
        <v>10474999.699999999</v>
      </c>
      <c r="AP17" s="14">
        <v>0</v>
      </c>
      <c r="AQ17" s="13">
        <v>9429999.6999999993</v>
      </c>
      <c r="AR17" s="14">
        <v>0</v>
      </c>
      <c r="AS17" s="13">
        <v>6361999.5999999996</v>
      </c>
      <c r="AT17" s="14">
        <f>[1]씽크현황!$AS$18*1000000</f>
        <v>28133000</v>
      </c>
      <c r="AU17" s="13">
        <v>7457000.0999999996</v>
      </c>
      <c r="AV17" s="14">
        <v>6362000</v>
      </c>
      <c r="AW17" s="13">
        <v>6291000.0999999996</v>
      </c>
      <c r="AX17" s="14">
        <v>7457000</v>
      </c>
      <c r="AY17" s="13">
        <v>7910999.7999999998</v>
      </c>
      <c r="AZ17" s="15">
        <v>0</v>
      </c>
      <c r="BA17" s="20">
        <v>5651000</v>
      </c>
      <c r="BB17" s="21">
        <v>6291000</v>
      </c>
      <c r="BC17" s="20">
        <v>5581000</v>
      </c>
      <c r="BD17" s="21">
        <v>0</v>
      </c>
    </row>
    <row r="18" spans="1:56" ht="12" customHeight="1">
      <c r="A18" s="7">
        <v>15</v>
      </c>
      <c r="B18" s="8">
        <v>10046570</v>
      </c>
      <c r="C18" s="24" t="s">
        <v>492</v>
      </c>
      <c r="D18" s="19">
        <v>884442000</v>
      </c>
      <c r="E18" s="10">
        <f t="shared" si="0"/>
        <v>24567833.333333332</v>
      </c>
      <c r="F18" s="8" t="s">
        <v>31</v>
      </c>
      <c r="G18" s="8">
        <v>130</v>
      </c>
      <c r="H18" s="35" t="s">
        <v>59</v>
      </c>
      <c r="I18" s="11" t="s">
        <v>448</v>
      </c>
      <c r="J18" s="9">
        <f t="shared" si="2"/>
        <v>205374000.5</v>
      </c>
      <c r="K18" s="9">
        <f t="shared" si="3"/>
        <v>160992000</v>
      </c>
      <c r="L18" s="12">
        <f t="shared" si="1"/>
        <v>0.78389669387581506</v>
      </c>
      <c r="M18" s="13">
        <v>0</v>
      </c>
      <c r="N18" s="14">
        <v>0</v>
      </c>
      <c r="O18" s="13">
        <v>0</v>
      </c>
      <c r="P18" s="14">
        <v>0</v>
      </c>
      <c r="Q18" s="13">
        <v>0</v>
      </c>
      <c r="R18" s="14">
        <v>0</v>
      </c>
      <c r="S18" s="13">
        <v>0</v>
      </c>
      <c r="T18" s="14">
        <v>0</v>
      </c>
      <c r="U18" s="13">
        <v>0</v>
      </c>
      <c r="V18" s="14">
        <v>0</v>
      </c>
      <c r="W18" s="13">
        <v>0</v>
      </c>
      <c r="X18" s="14">
        <v>0</v>
      </c>
      <c r="Y18" s="13">
        <v>0</v>
      </c>
      <c r="Z18" s="14">
        <v>0</v>
      </c>
      <c r="AA18" s="13">
        <v>0</v>
      </c>
      <c r="AB18" s="14">
        <v>0</v>
      </c>
      <c r="AC18" s="13">
        <v>0</v>
      </c>
      <c r="AD18" s="14">
        <v>0</v>
      </c>
      <c r="AE18" s="13">
        <v>0</v>
      </c>
      <c r="AF18" s="14">
        <v>0</v>
      </c>
      <c r="AG18" s="13">
        <v>0</v>
      </c>
      <c r="AH18" s="14">
        <v>0</v>
      </c>
      <c r="AI18" s="13">
        <v>0</v>
      </c>
      <c r="AJ18" s="14">
        <v>0</v>
      </c>
      <c r="AK18" s="13">
        <v>3042000</v>
      </c>
      <c r="AL18" s="14">
        <v>0</v>
      </c>
      <c r="AM18" s="13">
        <v>20617999.600000001</v>
      </c>
      <c r="AN18" s="14">
        <v>3042000</v>
      </c>
      <c r="AO18" s="13">
        <v>27495000.5</v>
      </c>
      <c r="AP18" s="14">
        <v>3042000</v>
      </c>
      <c r="AQ18" s="13">
        <v>17094999.899999999</v>
      </c>
      <c r="AR18" s="14">
        <v>20618000</v>
      </c>
      <c r="AS18" s="13">
        <v>21021000</v>
      </c>
      <c r="AT18" s="14">
        <v>27495000</v>
      </c>
      <c r="AU18" s="13">
        <v>20383999.899999999</v>
      </c>
      <c r="AV18" s="14">
        <v>17095000</v>
      </c>
      <c r="AW18" s="13">
        <v>24089000.100000001</v>
      </c>
      <c r="AX18" s="14">
        <v>21021000</v>
      </c>
      <c r="AY18" s="13">
        <v>24206000.5</v>
      </c>
      <c r="AZ18" s="15">
        <v>20384000</v>
      </c>
      <c r="BA18" s="20">
        <v>25701000</v>
      </c>
      <c r="BB18" s="21">
        <v>24089000</v>
      </c>
      <c r="BC18" s="20">
        <v>21723000</v>
      </c>
      <c r="BD18" s="21">
        <v>24206000</v>
      </c>
    </row>
    <row r="19" spans="1:56" ht="12" customHeight="1">
      <c r="A19" s="7">
        <v>16</v>
      </c>
      <c r="B19" s="8">
        <v>10036016</v>
      </c>
      <c r="C19" s="24" t="s">
        <v>60</v>
      </c>
      <c r="D19" s="19">
        <v>324592000</v>
      </c>
      <c r="E19" s="10">
        <f t="shared" si="0"/>
        <v>9016444.444444444</v>
      </c>
      <c r="F19" s="8" t="s">
        <v>31</v>
      </c>
      <c r="G19" s="8">
        <v>30</v>
      </c>
      <c r="H19" s="35" t="s">
        <v>61</v>
      </c>
      <c r="I19" s="11" t="s">
        <v>448</v>
      </c>
      <c r="J19" s="9">
        <f t="shared" si="2"/>
        <v>37423999</v>
      </c>
      <c r="K19" s="9">
        <f t="shared" si="3"/>
        <v>34224000.200000003</v>
      </c>
      <c r="L19" s="12">
        <f t="shared" si="1"/>
        <v>0.91449340301660453</v>
      </c>
      <c r="M19" s="13">
        <v>0</v>
      </c>
      <c r="N19" s="14">
        <v>0</v>
      </c>
      <c r="O19" s="13">
        <v>0</v>
      </c>
      <c r="P19" s="14">
        <v>0</v>
      </c>
      <c r="Q19" s="13">
        <v>0</v>
      </c>
      <c r="R19" s="14">
        <v>0</v>
      </c>
      <c r="S19" s="13">
        <v>0</v>
      </c>
      <c r="T19" s="14">
        <v>0</v>
      </c>
      <c r="U19" s="13">
        <v>0</v>
      </c>
      <c r="V19" s="14">
        <v>0</v>
      </c>
      <c r="W19" s="13">
        <v>0</v>
      </c>
      <c r="X19" s="14">
        <v>0</v>
      </c>
      <c r="Y19" s="13">
        <v>0</v>
      </c>
      <c r="Z19" s="14">
        <v>0</v>
      </c>
      <c r="AA19" s="13">
        <v>0</v>
      </c>
      <c r="AB19" s="14">
        <v>0</v>
      </c>
      <c r="AC19" s="13">
        <v>0</v>
      </c>
      <c r="AD19" s="14">
        <v>0</v>
      </c>
      <c r="AE19" s="13">
        <v>0</v>
      </c>
      <c r="AF19" s="14">
        <v>0</v>
      </c>
      <c r="AG19" s="13">
        <v>0</v>
      </c>
      <c r="AH19" s="14">
        <v>0</v>
      </c>
      <c r="AI19" s="13">
        <v>0</v>
      </c>
      <c r="AJ19" s="14">
        <v>0</v>
      </c>
      <c r="AK19" s="13">
        <v>1328000</v>
      </c>
      <c r="AL19" s="14">
        <v>0</v>
      </c>
      <c r="AM19" s="13">
        <v>5056000.4000000004</v>
      </c>
      <c r="AN19" s="14">
        <v>1328000</v>
      </c>
      <c r="AO19" s="13">
        <v>3215999.6</v>
      </c>
      <c r="AP19" s="14">
        <v>5056000</v>
      </c>
      <c r="AQ19" s="13">
        <v>4591999.5</v>
      </c>
      <c r="AR19" s="14">
        <v>3216000</v>
      </c>
      <c r="AS19" s="13">
        <v>5951999.9000000004</v>
      </c>
      <c r="AT19" s="14">
        <v>4592000</v>
      </c>
      <c r="AU19" s="13">
        <v>2880000.2</v>
      </c>
      <c r="AV19" s="14">
        <v>5952000</v>
      </c>
      <c r="AW19" s="13">
        <v>2431999.9</v>
      </c>
      <c r="AX19" s="14">
        <v>2880000.2</v>
      </c>
      <c r="AY19" s="13">
        <v>5119999.5</v>
      </c>
      <c r="AZ19" s="15">
        <v>2432000</v>
      </c>
      <c r="BA19" s="20">
        <v>3648000</v>
      </c>
      <c r="BB19" s="21">
        <v>5120000</v>
      </c>
      <c r="BC19" s="20">
        <v>3200000</v>
      </c>
      <c r="BD19" s="21">
        <v>3648000</v>
      </c>
    </row>
    <row r="20" spans="1:56" ht="12" customHeight="1">
      <c r="A20" s="7">
        <v>17</v>
      </c>
      <c r="B20" s="8">
        <v>10036590</v>
      </c>
      <c r="C20" s="24" t="s">
        <v>62</v>
      </c>
      <c r="D20" s="19">
        <v>969531000</v>
      </c>
      <c r="E20" s="10">
        <f t="shared" si="0"/>
        <v>26931416.666666668</v>
      </c>
      <c r="F20" s="8" t="s">
        <v>31</v>
      </c>
      <c r="G20" s="8">
        <v>160</v>
      </c>
      <c r="H20" s="35" t="s">
        <v>63</v>
      </c>
      <c r="I20" s="11" t="s">
        <v>493</v>
      </c>
      <c r="J20" s="9">
        <f t="shared" si="2"/>
        <v>211736998.70000002</v>
      </c>
      <c r="K20" s="9">
        <f t="shared" si="3"/>
        <v>133032000</v>
      </c>
      <c r="L20" s="12">
        <f t="shared" si="1"/>
        <v>0.62828887165103653</v>
      </c>
      <c r="M20" s="13">
        <v>0</v>
      </c>
      <c r="N20" s="14">
        <v>0</v>
      </c>
      <c r="O20" s="13">
        <v>0</v>
      </c>
      <c r="P20" s="14">
        <v>0</v>
      </c>
      <c r="Q20" s="13">
        <v>0</v>
      </c>
      <c r="R20" s="14">
        <v>0</v>
      </c>
      <c r="S20" s="13">
        <v>0</v>
      </c>
      <c r="T20" s="14">
        <v>0</v>
      </c>
      <c r="U20" s="13">
        <v>0</v>
      </c>
      <c r="V20" s="14">
        <v>0</v>
      </c>
      <c r="W20" s="13">
        <v>0</v>
      </c>
      <c r="X20" s="14">
        <v>0</v>
      </c>
      <c r="Y20" s="13">
        <v>0</v>
      </c>
      <c r="Z20" s="14">
        <v>0</v>
      </c>
      <c r="AA20" s="13">
        <v>0</v>
      </c>
      <c r="AB20" s="14">
        <v>0</v>
      </c>
      <c r="AC20" s="13">
        <v>0</v>
      </c>
      <c r="AD20" s="14">
        <v>0</v>
      </c>
      <c r="AE20" s="13">
        <v>0</v>
      </c>
      <c r="AF20" s="14">
        <v>0</v>
      </c>
      <c r="AG20" s="13">
        <v>0</v>
      </c>
      <c r="AH20" s="14">
        <v>0</v>
      </c>
      <c r="AI20" s="13">
        <v>0</v>
      </c>
      <c r="AJ20" s="14">
        <v>0</v>
      </c>
      <c r="AK20" s="13">
        <v>7696000</v>
      </c>
      <c r="AL20" s="14">
        <v>0</v>
      </c>
      <c r="AM20" s="13">
        <v>13882999.9</v>
      </c>
      <c r="AN20" s="14">
        <v>0</v>
      </c>
      <c r="AO20" s="13">
        <v>13751999.800000001</v>
      </c>
      <c r="AP20" s="14">
        <v>7696000</v>
      </c>
      <c r="AQ20" s="13">
        <v>8216000.0999999996</v>
      </c>
      <c r="AR20" s="14">
        <v>14135000</v>
      </c>
      <c r="AS20" s="13">
        <v>12258999.5</v>
      </c>
      <c r="AT20" s="14">
        <v>14004000</v>
      </c>
      <c r="AU20" s="13">
        <v>19386999.5</v>
      </c>
      <c r="AV20" s="14">
        <v>8216000</v>
      </c>
      <c r="AW20" s="13">
        <v>28380999.899999999</v>
      </c>
      <c r="AX20" s="14">
        <v>11755000</v>
      </c>
      <c r="AY20" s="13">
        <v>29458000</v>
      </c>
      <c r="AZ20" s="15">
        <v>19387000</v>
      </c>
      <c r="BA20" s="20">
        <v>27190000</v>
      </c>
      <c r="BB20" s="21">
        <v>28381000</v>
      </c>
      <c r="BC20" s="20">
        <v>51515000</v>
      </c>
      <c r="BD20" s="21">
        <v>29458000</v>
      </c>
    </row>
    <row r="21" spans="1:56" ht="12" customHeight="1">
      <c r="A21" s="7">
        <v>18</v>
      </c>
      <c r="B21" s="8">
        <v>10008171</v>
      </c>
      <c r="C21" s="24" t="s">
        <v>64</v>
      </c>
      <c r="D21" s="19">
        <v>476620000</v>
      </c>
      <c r="E21" s="10">
        <f t="shared" si="0"/>
        <v>13239444.444444444</v>
      </c>
      <c r="F21" s="8" t="s">
        <v>31</v>
      </c>
      <c r="G21" s="8">
        <v>84</v>
      </c>
      <c r="H21" s="35" t="s">
        <v>65</v>
      </c>
      <c r="I21" s="11" t="s">
        <v>448</v>
      </c>
      <c r="J21" s="9">
        <f t="shared" si="2"/>
        <v>143893999.59999999</v>
      </c>
      <c r="K21" s="9">
        <f t="shared" si="3"/>
        <v>43033000</v>
      </c>
      <c r="L21" s="12">
        <f t="shared" si="1"/>
        <v>0.29906042030678254</v>
      </c>
      <c r="M21" s="13">
        <v>0</v>
      </c>
      <c r="N21" s="14">
        <v>0</v>
      </c>
      <c r="O21" s="13">
        <v>0</v>
      </c>
      <c r="P21" s="14">
        <v>0</v>
      </c>
      <c r="Q21" s="13">
        <v>0</v>
      </c>
      <c r="R21" s="14">
        <v>0</v>
      </c>
      <c r="S21" s="13">
        <v>0</v>
      </c>
      <c r="T21" s="14">
        <v>0</v>
      </c>
      <c r="U21" s="13">
        <v>0</v>
      </c>
      <c r="V21" s="14">
        <v>0</v>
      </c>
      <c r="W21" s="13">
        <v>0</v>
      </c>
      <c r="X21" s="14">
        <v>0</v>
      </c>
      <c r="Y21" s="13">
        <v>0</v>
      </c>
      <c r="Z21" s="14">
        <v>0</v>
      </c>
      <c r="AA21" s="13">
        <v>0</v>
      </c>
      <c r="AB21" s="14">
        <v>0</v>
      </c>
      <c r="AC21" s="13">
        <v>0</v>
      </c>
      <c r="AD21" s="14">
        <v>0</v>
      </c>
      <c r="AE21" s="13">
        <v>0</v>
      </c>
      <c r="AF21" s="14">
        <v>0</v>
      </c>
      <c r="AG21" s="13">
        <v>0</v>
      </c>
      <c r="AH21" s="14">
        <v>0</v>
      </c>
      <c r="AI21" s="13">
        <v>0</v>
      </c>
      <c r="AJ21" s="14">
        <v>0</v>
      </c>
      <c r="AK21" s="13">
        <v>2649000</v>
      </c>
      <c r="AL21" s="14">
        <v>0</v>
      </c>
      <c r="AM21" s="13">
        <v>7051000</v>
      </c>
      <c r="AN21" s="14">
        <v>0</v>
      </c>
      <c r="AO21" s="13">
        <v>15752999.9</v>
      </c>
      <c r="AP21" s="14">
        <v>0</v>
      </c>
      <c r="AQ21" s="13">
        <v>17760000.5</v>
      </c>
      <c r="AR21" s="14">
        <v>9700000</v>
      </c>
      <c r="AS21" s="13">
        <v>18560999.600000001</v>
      </c>
      <c r="AT21" s="14">
        <v>0</v>
      </c>
      <c r="AU21" s="13">
        <v>13519000</v>
      </c>
      <c r="AV21" s="14">
        <v>0</v>
      </c>
      <c r="AW21" s="13">
        <v>17249999.800000001</v>
      </c>
      <c r="AX21" s="14">
        <v>0</v>
      </c>
      <c r="AY21" s="13">
        <v>14895999.800000001</v>
      </c>
      <c r="AZ21" s="15">
        <v>0</v>
      </c>
      <c r="BA21" s="20">
        <v>15462000</v>
      </c>
      <c r="BB21" s="21">
        <v>15573000</v>
      </c>
      <c r="BC21" s="20">
        <v>20993000</v>
      </c>
      <c r="BD21" s="21">
        <v>17760000</v>
      </c>
    </row>
    <row r="22" spans="1:56" ht="12" customHeight="1">
      <c r="A22" s="7">
        <v>19</v>
      </c>
      <c r="B22" s="8">
        <v>10037290</v>
      </c>
      <c r="C22" s="24" t="s">
        <v>66</v>
      </c>
      <c r="D22" s="19">
        <v>220000000</v>
      </c>
      <c r="E22" s="10">
        <f t="shared" si="0"/>
        <v>6111111.111111111</v>
      </c>
      <c r="F22" s="8" t="s">
        <v>67</v>
      </c>
      <c r="G22" s="8">
        <v>30</v>
      </c>
      <c r="H22" s="35" t="s">
        <v>68</v>
      </c>
      <c r="I22" s="11" t="s">
        <v>69</v>
      </c>
      <c r="J22" s="9">
        <f t="shared" si="2"/>
        <v>220000000</v>
      </c>
      <c r="K22" s="9">
        <f t="shared" si="3"/>
        <v>220000000</v>
      </c>
      <c r="L22" s="12">
        <f t="shared" si="1"/>
        <v>1</v>
      </c>
      <c r="M22" s="13">
        <v>0</v>
      </c>
      <c r="N22" s="14">
        <v>0</v>
      </c>
      <c r="O22" s="13">
        <v>0</v>
      </c>
      <c r="P22" s="14">
        <v>0</v>
      </c>
      <c r="Q22" s="13">
        <v>0</v>
      </c>
      <c r="R22" s="14">
        <v>0</v>
      </c>
      <c r="S22" s="13">
        <v>0</v>
      </c>
      <c r="T22" s="14">
        <v>0</v>
      </c>
      <c r="U22" s="13">
        <v>0</v>
      </c>
      <c r="V22" s="14">
        <v>0</v>
      </c>
      <c r="W22" s="13">
        <v>0</v>
      </c>
      <c r="X22" s="14">
        <v>0</v>
      </c>
      <c r="Y22" s="13">
        <v>0</v>
      </c>
      <c r="Z22" s="14">
        <v>0</v>
      </c>
      <c r="AA22" s="13">
        <v>0</v>
      </c>
      <c r="AB22" s="14">
        <v>0</v>
      </c>
      <c r="AC22" s="13">
        <v>0</v>
      </c>
      <c r="AD22" s="14">
        <v>0</v>
      </c>
      <c r="AE22" s="13">
        <v>220000000</v>
      </c>
      <c r="AF22" s="14">
        <v>0</v>
      </c>
      <c r="AG22" s="13">
        <v>0</v>
      </c>
      <c r="AH22" s="14">
        <v>0</v>
      </c>
      <c r="AI22" s="13">
        <v>0</v>
      </c>
      <c r="AJ22" s="14">
        <v>0</v>
      </c>
      <c r="AK22" s="13">
        <v>-220000000</v>
      </c>
      <c r="AL22" s="14">
        <v>0</v>
      </c>
      <c r="AM22" s="13">
        <v>220000000</v>
      </c>
      <c r="AN22" s="14">
        <v>0</v>
      </c>
      <c r="AO22" s="13">
        <v>0</v>
      </c>
      <c r="AP22" s="14">
        <v>220000000</v>
      </c>
      <c r="AQ22" s="13">
        <v>0</v>
      </c>
      <c r="AR22" s="14">
        <v>0</v>
      </c>
      <c r="AS22" s="13">
        <v>0</v>
      </c>
      <c r="AT22" s="14">
        <v>0</v>
      </c>
      <c r="AU22" s="13">
        <v>0</v>
      </c>
      <c r="AV22" s="14">
        <v>0</v>
      </c>
      <c r="AW22" s="13">
        <v>0</v>
      </c>
      <c r="AX22" s="14">
        <v>0</v>
      </c>
      <c r="AY22" s="13">
        <v>0</v>
      </c>
      <c r="AZ22" s="15">
        <v>0</v>
      </c>
      <c r="BA22" s="20">
        <v>0</v>
      </c>
      <c r="BB22" s="21">
        <v>0</v>
      </c>
      <c r="BC22" s="20">
        <v>0</v>
      </c>
      <c r="BD22" s="21">
        <v>0</v>
      </c>
    </row>
    <row r="23" spans="1:56" ht="12" customHeight="1">
      <c r="A23" s="7">
        <v>20</v>
      </c>
      <c r="B23" s="8">
        <v>10037788</v>
      </c>
      <c r="C23" s="24" t="s">
        <v>70</v>
      </c>
      <c r="D23" s="19">
        <v>209165000</v>
      </c>
      <c r="E23" s="10">
        <f t="shared" si="0"/>
        <v>5810138.888888889</v>
      </c>
      <c r="F23" s="8" t="s">
        <v>71</v>
      </c>
      <c r="G23" s="8">
        <v>44</v>
      </c>
      <c r="H23" s="35" t="s">
        <v>72</v>
      </c>
      <c r="I23" s="11" t="s">
        <v>448</v>
      </c>
      <c r="J23" s="9">
        <f t="shared" si="2"/>
        <v>209165000</v>
      </c>
      <c r="K23" s="9">
        <f t="shared" si="3"/>
        <v>209165000</v>
      </c>
      <c r="L23" s="12">
        <f t="shared" si="1"/>
        <v>1</v>
      </c>
      <c r="M23" s="13">
        <v>0</v>
      </c>
      <c r="N23" s="14">
        <v>0</v>
      </c>
      <c r="O23" s="13">
        <v>0</v>
      </c>
      <c r="P23" s="14">
        <v>0</v>
      </c>
      <c r="Q23" s="13">
        <v>0</v>
      </c>
      <c r="R23" s="14">
        <v>0</v>
      </c>
      <c r="S23" s="13">
        <v>0</v>
      </c>
      <c r="T23" s="14">
        <v>0</v>
      </c>
      <c r="U23" s="13">
        <v>0</v>
      </c>
      <c r="V23" s="14">
        <v>0</v>
      </c>
      <c r="W23" s="13">
        <v>0</v>
      </c>
      <c r="X23" s="14">
        <v>0</v>
      </c>
      <c r="Y23" s="13">
        <v>0</v>
      </c>
      <c r="Z23" s="14">
        <v>0</v>
      </c>
      <c r="AA23" s="13">
        <v>0</v>
      </c>
      <c r="AB23" s="14">
        <v>0</v>
      </c>
      <c r="AC23" s="13">
        <v>0</v>
      </c>
      <c r="AD23" s="14">
        <v>0</v>
      </c>
      <c r="AE23" s="13">
        <v>0</v>
      </c>
      <c r="AF23" s="14">
        <v>0</v>
      </c>
      <c r="AG23" s="13">
        <v>0</v>
      </c>
      <c r="AH23" s="14">
        <v>0</v>
      </c>
      <c r="AI23" s="13">
        <v>0</v>
      </c>
      <c r="AJ23" s="14">
        <v>0</v>
      </c>
      <c r="AK23" s="13">
        <v>209165000</v>
      </c>
      <c r="AL23" s="14">
        <v>0</v>
      </c>
      <c r="AM23" s="13">
        <v>0</v>
      </c>
      <c r="AN23" s="14">
        <v>69165000</v>
      </c>
      <c r="AO23" s="13">
        <v>0</v>
      </c>
      <c r="AP23" s="14">
        <v>70000000</v>
      </c>
      <c r="AQ23" s="13">
        <v>0</v>
      </c>
      <c r="AR23" s="14">
        <v>70000000</v>
      </c>
      <c r="AS23" s="13">
        <v>0</v>
      </c>
      <c r="AT23" s="14">
        <v>0</v>
      </c>
      <c r="AU23" s="13">
        <v>0</v>
      </c>
      <c r="AV23" s="14">
        <v>0</v>
      </c>
      <c r="AW23" s="13">
        <v>0</v>
      </c>
      <c r="AX23" s="14">
        <v>0</v>
      </c>
      <c r="AY23" s="13">
        <v>0</v>
      </c>
      <c r="AZ23" s="15">
        <v>0</v>
      </c>
      <c r="BA23" s="20">
        <v>0</v>
      </c>
      <c r="BB23" s="21">
        <v>0</v>
      </c>
      <c r="BC23" s="20">
        <v>0</v>
      </c>
      <c r="BD23" s="21">
        <v>0</v>
      </c>
    </row>
    <row r="24" spans="1:56" ht="12" customHeight="1">
      <c r="A24" s="7">
        <v>21</v>
      </c>
      <c r="B24" s="8">
        <v>10038346</v>
      </c>
      <c r="C24" s="24" t="s">
        <v>73</v>
      </c>
      <c r="D24" s="19">
        <v>1600698000</v>
      </c>
      <c r="E24" s="10">
        <f t="shared" si="0"/>
        <v>44463833.333333336</v>
      </c>
      <c r="F24" s="8" t="s">
        <v>31</v>
      </c>
      <c r="G24" s="8">
        <v>280</v>
      </c>
      <c r="H24" s="35" t="s">
        <v>74</v>
      </c>
      <c r="I24" s="11" t="s">
        <v>448</v>
      </c>
      <c r="J24" s="9">
        <f t="shared" si="2"/>
        <v>180983000</v>
      </c>
      <c r="K24" s="9">
        <f t="shared" si="3"/>
        <v>161305000</v>
      </c>
      <c r="L24" s="12">
        <f t="shared" si="1"/>
        <v>0.89127155589198981</v>
      </c>
      <c r="M24" s="13">
        <v>0</v>
      </c>
      <c r="N24" s="14">
        <v>0</v>
      </c>
      <c r="O24" s="13">
        <v>0</v>
      </c>
      <c r="P24" s="14">
        <v>0</v>
      </c>
      <c r="Q24" s="13">
        <v>0</v>
      </c>
      <c r="R24" s="14">
        <v>0</v>
      </c>
      <c r="S24" s="13">
        <v>0</v>
      </c>
      <c r="T24" s="14">
        <v>0</v>
      </c>
      <c r="U24" s="13">
        <v>0</v>
      </c>
      <c r="V24" s="14">
        <v>0</v>
      </c>
      <c r="W24" s="13">
        <v>0</v>
      </c>
      <c r="X24" s="14">
        <v>0</v>
      </c>
      <c r="Y24" s="13">
        <v>0</v>
      </c>
      <c r="Z24" s="14">
        <v>0</v>
      </c>
      <c r="AA24" s="13">
        <v>0</v>
      </c>
      <c r="AB24" s="14">
        <v>0</v>
      </c>
      <c r="AC24" s="13">
        <v>0</v>
      </c>
      <c r="AD24" s="14">
        <v>0</v>
      </c>
      <c r="AE24" s="13">
        <v>0</v>
      </c>
      <c r="AF24" s="14">
        <v>0</v>
      </c>
      <c r="AG24" s="13">
        <v>328000</v>
      </c>
      <c r="AH24" s="14">
        <v>0</v>
      </c>
      <c r="AI24" s="13">
        <v>0</v>
      </c>
      <c r="AJ24" s="14">
        <v>0</v>
      </c>
      <c r="AK24" s="13">
        <v>2789000</v>
      </c>
      <c r="AL24" s="14">
        <v>0</v>
      </c>
      <c r="AM24" s="13">
        <v>14000000.300000001</v>
      </c>
      <c r="AN24" s="14">
        <v>0</v>
      </c>
      <c r="AO24" s="13">
        <v>16332000.300000001</v>
      </c>
      <c r="AP24" s="14">
        <v>3117000</v>
      </c>
      <c r="AQ24" s="13">
        <v>26378000</v>
      </c>
      <c r="AR24" s="14">
        <v>24332000</v>
      </c>
      <c r="AS24" s="13">
        <v>23125999.600000001</v>
      </c>
      <c r="AT24" s="14">
        <v>29378000</v>
      </c>
      <c r="AU24" s="13">
        <v>20658000</v>
      </c>
      <c r="AV24" s="14">
        <v>26126000</v>
      </c>
      <c r="AW24" s="13">
        <v>19803999.600000001</v>
      </c>
      <c r="AX24" s="14">
        <v>20658000</v>
      </c>
      <c r="AY24" s="13">
        <v>17851000.199999999</v>
      </c>
      <c r="AZ24" s="15">
        <v>19804000</v>
      </c>
      <c r="BA24" s="20">
        <v>20039000</v>
      </c>
      <c r="BB24" s="21">
        <v>17851000</v>
      </c>
      <c r="BC24" s="20">
        <v>19678000</v>
      </c>
      <c r="BD24" s="21">
        <v>20039000</v>
      </c>
    </row>
    <row r="25" spans="1:56" ht="12" customHeight="1">
      <c r="A25" s="7">
        <v>22</v>
      </c>
      <c r="B25" s="8">
        <v>10039242</v>
      </c>
      <c r="C25" s="24" t="s">
        <v>75</v>
      </c>
      <c r="D25" s="19">
        <v>254146000</v>
      </c>
      <c r="E25" s="10">
        <f t="shared" si="0"/>
        <v>7059611.111111111</v>
      </c>
      <c r="F25" s="8" t="s">
        <v>31</v>
      </c>
      <c r="G25" s="8">
        <v>30</v>
      </c>
      <c r="H25" s="35" t="s">
        <v>76</v>
      </c>
      <c r="I25" s="11" t="s">
        <v>448</v>
      </c>
      <c r="J25" s="9">
        <f t="shared" si="2"/>
        <v>47931999.199999996</v>
      </c>
      <c r="K25" s="9">
        <f t="shared" si="3"/>
        <v>42120000</v>
      </c>
      <c r="L25" s="12">
        <f t="shared" si="1"/>
        <v>0.87874490325869825</v>
      </c>
      <c r="M25" s="13">
        <v>0</v>
      </c>
      <c r="N25" s="14">
        <v>0</v>
      </c>
      <c r="O25" s="13">
        <v>0</v>
      </c>
      <c r="P25" s="14">
        <v>0</v>
      </c>
      <c r="Q25" s="13">
        <v>0</v>
      </c>
      <c r="R25" s="14">
        <v>0</v>
      </c>
      <c r="S25" s="13">
        <v>0</v>
      </c>
      <c r="T25" s="14">
        <v>0</v>
      </c>
      <c r="U25" s="13">
        <v>0</v>
      </c>
      <c r="V25" s="14">
        <v>0</v>
      </c>
      <c r="W25" s="13">
        <v>0</v>
      </c>
      <c r="X25" s="14">
        <v>0</v>
      </c>
      <c r="Y25" s="13">
        <v>0</v>
      </c>
      <c r="Z25" s="14">
        <v>0</v>
      </c>
      <c r="AA25" s="13">
        <v>0</v>
      </c>
      <c r="AB25" s="14">
        <v>0</v>
      </c>
      <c r="AC25" s="13">
        <v>0</v>
      </c>
      <c r="AD25" s="14">
        <v>0</v>
      </c>
      <c r="AE25" s="13">
        <v>0</v>
      </c>
      <c r="AF25" s="14">
        <v>0</v>
      </c>
      <c r="AG25" s="13">
        <v>0</v>
      </c>
      <c r="AH25" s="14">
        <v>0</v>
      </c>
      <c r="AI25" s="13">
        <v>0</v>
      </c>
      <c r="AJ25" s="14">
        <v>0</v>
      </c>
      <c r="AK25" s="13">
        <v>1668000</v>
      </c>
      <c r="AL25" s="14">
        <v>0</v>
      </c>
      <c r="AM25" s="13">
        <v>4210000.3</v>
      </c>
      <c r="AN25" s="14">
        <v>1668000</v>
      </c>
      <c r="AO25" s="13">
        <v>5992000.2999999998</v>
      </c>
      <c r="AP25" s="14">
        <v>0</v>
      </c>
      <c r="AQ25" s="13">
        <v>4270999.7</v>
      </c>
      <c r="AR25" s="14">
        <v>10202000</v>
      </c>
      <c r="AS25" s="13">
        <v>5062999.7</v>
      </c>
      <c r="AT25" s="14">
        <v>4271000</v>
      </c>
      <c r="AU25" s="13">
        <v>4653999.9000000004</v>
      </c>
      <c r="AV25" s="14">
        <v>5063000</v>
      </c>
      <c r="AW25" s="13">
        <v>4380999.7</v>
      </c>
      <c r="AX25" s="14">
        <v>4654000</v>
      </c>
      <c r="AY25" s="13">
        <v>5811999.5999999996</v>
      </c>
      <c r="AZ25" s="15">
        <v>4381000</v>
      </c>
      <c r="BA25" s="20">
        <v>6069000</v>
      </c>
      <c r="BB25" s="21">
        <v>5812000</v>
      </c>
      <c r="BC25" s="20">
        <v>5812000</v>
      </c>
      <c r="BD25" s="21">
        <v>6069000</v>
      </c>
    </row>
    <row r="26" spans="1:56" ht="12" customHeight="1">
      <c r="A26" s="7">
        <v>23</v>
      </c>
      <c r="B26" s="8">
        <v>10039905</v>
      </c>
      <c r="C26" s="24" t="s">
        <v>494</v>
      </c>
      <c r="D26" s="19">
        <v>137000000</v>
      </c>
      <c r="E26" s="10">
        <f t="shared" si="0"/>
        <v>3805555.5555555555</v>
      </c>
      <c r="F26" s="8" t="s">
        <v>67</v>
      </c>
      <c r="G26" s="8">
        <v>20</v>
      </c>
      <c r="H26" s="35" t="s">
        <v>77</v>
      </c>
      <c r="I26" s="11" t="s">
        <v>78</v>
      </c>
      <c r="J26" s="9">
        <f t="shared" si="2"/>
        <v>137000000</v>
      </c>
      <c r="K26" s="9">
        <f t="shared" si="3"/>
        <v>137000000</v>
      </c>
      <c r="L26" s="12">
        <f t="shared" si="1"/>
        <v>1</v>
      </c>
      <c r="M26" s="13">
        <v>0</v>
      </c>
      <c r="N26" s="14">
        <v>0</v>
      </c>
      <c r="O26" s="13">
        <v>0</v>
      </c>
      <c r="P26" s="14">
        <v>0</v>
      </c>
      <c r="Q26" s="13">
        <v>0</v>
      </c>
      <c r="R26" s="14">
        <v>0</v>
      </c>
      <c r="S26" s="13">
        <v>0</v>
      </c>
      <c r="T26" s="14">
        <v>0</v>
      </c>
      <c r="U26" s="13">
        <v>0</v>
      </c>
      <c r="V26" s="14">
        <v>0</v>
      </c>
      <c r="W26" s="13">
        <v>0</v>
      </c>
      <c r="X26" s="14">
        <v>0</v>
      </c>
      <c r="Y26" s="13">
        <v>0</v>
      </c>
      <c r="Z26" s="14">
        <v>0</v>
      </c>
      <c r="AA26" s="13">
        <v>0</v>
      </c>
      <c r="AB26" s="14">
        <v>0</v>
      </c>
      <c r="AC26" s="13">
        <v>0</v>
      </c>
      <c r="AD26" s="14">
        <v>0</v>
      </c>
      <c r="AE26" s="13">
        <v>0</v>
      </c>
      <c r="AF26" s="14">
        <v>0</v>
      </c>
      <c r="AG26" s="13">
        <v>0</v>
      </c>
      <c r="AH26" s="14">
        <v>0</v>
      </c>
      <c r="AI26" s="13">
        <v>0</v>
      </c>
      <c r="AJ26" s="14">
        <v>0</v>
      </c>
      <c r="AK26" s="13">
        <v>137000000</v>
      </c>
      <c r="AL26" s="14">
        <v>0</v>
      </c>
      <c r="AM26" s="13">
        <v>0</v>
      </c>
      <c r="AN26" s="14">
        <v>0</v>
      </c>
      <c r="AO26" s="13">
        <v>0</v>
      </c>
      <c r="AP26" s="14">
        <v>0</v>
      </c>
      <c r="AQ26" s="13">
        <v>0</v>
      </c>
      <c r="AR26" s="14">
        <v>0</v>
      </c>
      <c r="AS26" s="13">
        <v>0</v>
      </c>
      <c r="AT26" s="14">
        <v>137000000</v>
      </c>
      <c r="AU26" s="13">
        <v>0</v>
      </c>
      <c r="AV26" s="14">
        <v>0</v>
      </c>
      <c r="AW26" s="13">
        <v>0</v>
      </c>
      <c r="AX26" s="14">
        <v>0</v>
      </c>
      <c r="AY26" s="13">
        <v>0</v>
      </c>
      <c r="AZ26" s="15">
        <v>0</v>
      </c>
      <c r="BA26" s="20">
        <v>0</v>
      </c>
      <c r="BB26" s="21">
        <v>0</v>
      </c>
      <c r="BC26" s="20">
        <v>0</v>
      </c>
      <c r="BD26" s="21">
        <v>0</v>
      </c>
    </row>
    <row r="27" spans="1:56" ht="12" customHeight="1">
      <c r="A27" s="7">
        <v>24</v>
      </c>
      <c r="B27" s="8">
        <v>10003599</v>
      </c>
      <c r="C27" s="24" t="s">
        <v>79</v>
      </c>
      <c r="D27" s="19">
        <v>272046000</v>
      </c>
      <c r="E27" s="10">
        <f t="shared" si="0"/>
        <v>7556833.333333333</v>
      </c>
      <c r="F27" s="8" t="s">
        <v>31</v>
      </c>
      <c r="G27" s="8">
        <v>39</v>
      </c>
      <c r="H27" s="35" t="s">
        <v>63</v>
      </c>
      <c r="I27" s="11" t="s">
        <v>448</v>
      </c>
      <c r="J27" s="9">
        <f t="shared" si="2"/>
        <v>72696000.099999994</v>
      </c>
      <c r="K27" s="9">
        <f t="shared" si="3"/>
        <v>51349999.700000003</v>
      </c>
      <c r="L27" s="12">
        <f t="shared" si="1"/>
        <v>0.70636623238367147</v>
      </c>
      <c r="M27" s="13">
        <v>0</v>
      </c>
      <c r="N27" s="14">
        <v>0</v>
      </c>
      <c r="O27" s="13">
        <v>0</v>
      </c>
      <c r="P27" s="14">
        <v>0</v>
      </c>
      <c r="Q27" s="13">
        <v>0</v>
      </c>
      <c r="R27" s="14">
        <v>0</v>
      </c>
      <c r="S27" s="13">
        <v>0</v>
      </c>
      <c r="T27" s="14">
        <v>0</v>
      </c>
      <c r="U27" s="13">
        <v>0</v>
      </c>
      <c r="V27" s="14">
        <v>0</v>
      </c>
      <c r="W27" s="13">
        <v>0</v>
      </c>
      <c r="X27" s="14">
        <v>0</v>
      </c>
      <c r="Y27" s="13">
        <v>0</v>
      </c>
      <c r="Z27" s="14">
        <v>0</v>
      </c>
      <c r="AA27" s="13">
        <v>0</v>
      </c>
      <c r="AB27" s="14">
        <v>0</v>
      </c>
      <c r="AC27" s="13">
        <v>0</v>
      </c>
      <c r="AD27" s="14">
        <v>0</v>
      </c>
      <c r="AE27" s="13">
        <v>0</v>
      </c>
      <c r="AF27" s="14">
        <v>0</v>
      </c>
      <c r="AG27" s="13">
        <v>0</v>
      </c>
      <c r="AH27" s="14">
        <v>0</v>
      </c>
      <c r="AI27" s="13">
        <v>1180000</v>
      </c>
      <c r="AJ27" s="14">
        <v>0</v>
      </c>
      <c r="AK27" s="13">
        <v>0</v>
      </c>
      <c r="AL27" s="14">
        <v>0</v>
      </c>
      <c r="AM27" s="13">
        <v>9262000</v>
      </c>
      <c r="AN27" s="14">
        <v>0</v>
      </c>
      <c r="AO27" s="13">
        <v>13878000.4</v>
      </c>
      <c r="AP27" s="14">
        <v>0</v>
      </c>
      <c r="AQ27" s="13">
        <v>12686999.6</v>
      </c>
      <c r="AR27" s="14">
        <v>0</v>
      </c>
      <c r="AS27" s="13">
        <v>13421999.800000001</v>
      </c>
      <c r="AT27" s="14">
        <v>1179999.7</v>
      </c>
      <c r="AU27" s="13">
        <v>14278999.9</v>
      </c>
      <c r="AV27" s="14">
        <v>0</v>
      </c>
      <c r="AW27" s="13">
        <v>2200000</v>
      </c>
      <c r="AX27" s="14">
        <v>0</v>
      </c>
      <c r="AY27" s="13">
        <v>-15557999.6</v>
      </c>
      <c r="AZ27" s="15">
        <v>0</v>
      </c>
      <c r="BA27" s="20">
        <v>14431000</v>
      </c>
      <c r="BB27" s="21">
        <v>50170000</v>
      </c>
      <c r="BC27" s="20">
        <v>6915000</v>
      </c>
      <c r="BD27" s="21">
        <v>0</v>
      </c>
    </row>
    <row r="28" spans="1:56" ht="12" customHeight="1">
      <c r="A28" s="7">
        <v>25</v>
      </c>
      <c r="B28" s="8">
        <v>10041502</v>
      </c>
      <c r="C28" s="24" t="s">
        <v>80</v>
      </c>
      <c r="D28" s="19">
        <v>2922731000</v>
      </c>
      <c r="E28" s="10">
        <f t="shared" si="0"/>
        <v>81186972.222222224</v>
      </c>
      <c r="F28" s="8" t="s">
        <v>31</v>
      </c>
      <c r="G28" s="8">
        <v>500</v>
      </c>
      <c r="H28" s="35" t="s">
        <v>36</v>
      </c>
      <c r="I28" s="11" t="s">
        <v>495</v>
      </c>
      <c r="J28" s="9">
        <f t="shared" si="2"/>
        <v>276229000.40000004</v>
      </c>
      <c r="K28" s="9">
        <f t="shared" si="3"/>
        <v>221341000</v>
      </c>
      <c r="L28" s="12">
        <f t="shared" si="1"/>
        <v>0.80129530092597756</v>
      </c>
      <c r="M28" s="13">
        <v>0</v>
      </c>
      <c r="N28" s="14">
        <v>0</v>
      </c>
      <c r="O28" s="13">
        <v>0</v>
      </c>
      <c r="P28" s="14">
        <v>0</v>
      </c>
      <c r="Q28" s="13">
        <v>0</v>
      </c>
      <c r="R28" s="14">
        <v>0</v>
      </c>
      <c r="S28" s="13">
        <v>0</v>
      </c>
      <c r="T28" s="14">
        <v>0</v>
      </c>
      <c r="U28" s="13">
        <v>0</v>
      </c>
      <c r="V28" s="14">
        <v>0</v>
      </c>
      <c r="W28" s="13">
        <v>0</v>
      </c>
      <c r="X28" s="14">
        <v>0</v>
      </c>
      <c r="Y28" s="13">
        <v>0</v>
      </c>
      <c r="Z28" s="14">
        <v>0</v>
      </c>
      <c r="AA28" s="13">
        <v>0</v>
      </c>
      <c r="AB28" s="14">
        <v>0</v>
      </c>
      <c r="AC28" s="13">
        <v>0</v>
      </c>
      <c r="AD28" s="14">
        <v>0</v>
      </c>
      <c r="AE28" s="13">
        <v>0</v>
      </c>
      <c r="AF28" s="14">
        <v>0</v>
      </c>
      <c r="AG28" s="13">
        <v>0</v>
      </c>
      <c r="AH28" s="14">
        <v>0</v>
      </c>
      <c r="AI28" s="13">
        <v>0</v>
      </c>
      <c r="AJ28" s="14">
        <v>0</v>
      </c>
      <c r="AK28" s="13">
        <v>26249000</v>
      </c>
      <c r="AL28" s="14">
        <v>0</v>
      </c>
      <c r="AM28" s="13">
        <v>31022999.699999999</v>
      </c>
      <c r="AN28" s="14">
        <v>0</v>
      </c>
      <c r="AO28" s="13">
        <v>32759999.800000001</v>
      </c>
      <c r="AP28" s="14">
        <v>26249000</v>
      </c>
      <c r="AQ28" s="13">
        <v>24085000.5</v>
      </c>
      <c r="AR28" s="14">
        <v>0</v>
      </c>
      <c r="AS28" s="13">
        <v>28278000.300000001</v>
      </c>
      <c r="AT28" s="14">
        <v>31023000</v>
      </c>
      <c r="AU28" s="13">
        <v>25000000.300000001</v>
      </c>
      <c r="AV28" s="14">
        <v>32760000</v>
      </c>
      <c r="AW28" s="13">
        <v>25000000.300000001</v>
      </c>
      <c r="AX28" s="14">
        <v>0</v>
      </c>
      <c r="AY28" s="13">
        <v>28945999.5</v>
      </c>
      <c r="AZ28" s="15">
        <v>102363000</v>
      </c>
      <c r="BA28" s="20">
        <v>27334000</v>
      </c>
      <c r="BB28" s="21">
        <v>28946000</v>
      </c>
      <c r="BC28" s="20">
        <v>27554000</v>
      </c>
      <c r="BD28" s="21">
        <v>0</v>
      </c>
    </row>
    <row r="29" spans="1:56" ht="12" customHeight="1">
      <c r="A29" s="7">
        <v>26</v>
      </c>
      <c r="B29" s="8">
        <v>10047292</v>
      </c>
      <c r="C29" s="24" t="s">
        <v>81</v>
      </c>
      <c r="D29" s="19">
        <v>1705382900</v>
      </c>
      <c r="E29" s="10">
        <f t="shared" si="0"/>
        <v>47371747.222222224</v>
      </c>
      <c r="F29" s="8" t="s">
        <v>31</v>
      </c>
      <c r="G29" s="8">
        <v>200</v>
      </c>
      <c r="H29" s="35" t="s">
        <v>48</v>
      </c>
      <c r="I29" s="11" t="s">
        <v>448</v>
      </c>
      <c r="J29" s="9">
        <f t="shared" si="2"/>
        <v>320949000.69999999</v>
      </c>
      <c r="K29" s="9">
        <f t="shared" si="3"/>
        <v>108829000</v>
      </c>
      <c r="L29" s="12">
        <f t="shared" si="1"/>
        <v>0.33908502523030293</v>
      </c>
      <c r="M29" s="13">
        <v>0</v>
      </c>
      <c r="N29" s="14">
        <v>0</v>
      </c>
      <c r="O29" s="13">
        <v>0</v>
      </c>
      <c r="P29" s="14">
        <v>0</v>
      </c>
      <c r="Q29" s="13">
        <v>0</v>
      </c>
      <c r="R29" s="14">
        <v>0</v>
      </c>
      <c r="S29" s="13">
        <v>0</v>
      </c>
      <c r="T29" s="14">
        <v>0</v>
      </c>
      <c r="U29" s="13">
        <v>0</v>
      </c>
      <c r="V29" s="14">
        <v>0</v>
      </c>
      <c r="W29" s="13">
        <v>0</v>
      </c>
      <c r="X29" s="14">
        <v>0</v>
      </c>
      <c r="Y29" s="13">
        <v>0</v>
      </c>
      <c r="Z29" s="14">
        <v>0</v>
      </c>
      <c r="AA29" s="13">
        <v>0</v>
      </c>
      <c r="AB29" s="14">
        <v>0</v>
      </c>
      <c r="AC29" s="13">
        <v>0</v>
      </c>
      <c r="AD29" s="14">
        <v>0</v>
      </c>
      <c r="AE29" s="13">
        <v>0</v>
      </c>
      <c r="AF29" s="14">
        <v>0</v>
      </c>
      <c r="AG29" s="13">
        <v>0</v>
      </c>
      <c r="AH29" s="14">
        <v>0</v>
      </c>
      <c r="AI29" s="13">
        <v>0</v>
      </c>
      <c r="AJ29" s="14">
        <v>0</v>
      </c>
      <c r="AK29" s="13">
        <v>766000</v>
      </c>
      <c r="AL29" s="14">
        <v>0</v>
      </c>
      <c r="AM29" s="13">
        <v>20671999.699999999</v>
      </c>
      <c r="AN29" s="14">
        <v>0</v>
      </c>
      <c r="AO29" s="13">
        <v>26343000.199999999</v>
      </c>
      <c r="AP29" s="14">
        <v>0</v>
      </c>
      <c r="AQ29" s="13">
        <v>27209000.5</v>
      </c>
      <c r="AR29" s="14">
        <v>0</v>
      </c>
      <c r="AS29" s="13">
        <v>34560000.200000003</v>
      </c>
      <c r="AT29" s="14">
        <v>0</v>
      </c>
      <c r="AU29" s="13">
        <v>33868000.100000001</v>
      </c>
      <c r="AV29" s="14">
        <v>20717000</v>
      </c>
      <c r="AW29" s="13">
        <v>44221999.799999997</v>
      </c>
      <c r="AX29" s="14">
        <v>0</v>
      </c>
      <c r="AY29" s="13">
        <v>47991000.200000003</v>
      </c>
      <c r="AZ29" s="15">
        <v>0</v>
      </c>
      <c r="BA29" s="20">
        <v>43419000</v>
      </c>
      <c r="BB29" s="21">
        <v>53552000</v>
      </c>
      <c r="BC29" s="20">
        <v>41899000</v>
      </c>
      <c r="BD29" s="21">
        <v>34560000</v>
      </c>
    </row>
    <row r="30" spans="1:56" ht="12" customHeight="1">
      <c r="A30" s="7">
        <v>27</v>
      </c>
      <c r="B30" s="8">
        <v>10022281</v>
      </c>
      <c r="C30" s="24" t="s">
        <v>496</v>
      </c>
      <c r="D30" s="19">
        <v>206752000</v>
      </c>
      <c r="E30" s="10">
        <f t="shared" si="0"/>
        <v>5743111.111111111</v>
      </c>
      <c r="F30" s="8" t="s">
        <v>31</v>
      </c>
      <c r="G30" s="8">
        <v>29</v>
      </c>
      <c r="H30" s="35" t="s">
        <v>82</v>
      </c>
      <c r="I30" s="11" t="s">
        <v>448</v>
      </c>
      <c r="J30" s="9">
        <f t="shared" si="2"/>
        <v>20129000.5</v>
      </c>
      <c r="K30" s="9">
        <f t="shared" si="3"/>
        <v>8555000</v>
      </c>
      <c r="L30" s="12">
        <f t="shared" si="1"/>
        <v>0.42500868336706532</v>
      </c>
      <c r="M30" s="13">
        <v>0</v>
      </c>
      <c r="N30" s="14">
        <v>0</v>
      </c>
      <c r="O30" s="13">
        <v>0</v>
      </c>
      <c r="P30" s="14">
        <v>0</v>
      </c>
      <c r="Q30" s="13">
        <v>0</v>
      </c>
      <c r="R30" s="14">
        <v>0</v>
      </c>
      <c r="S30" s="13">
        <v>0</v>
      </c>
      <c r="T30" s="14">
        <v>0</v>
      </c>
      <c r="U30" s="13">
        <v>0</v>
      </c>
      <c r="V30" s="14">
        <v>0</v>
      </c>
      <c r="W30" s="13">
        <v>0</v>
      </c>
      <c r="X30" s="14">
        <v>0</v>
      </c>
      <c r="Y30" s="13">
        <v>0</v>
      </c>
      <c r="Z30" s="14">
        <v>0</v>
      </c>
      <c r="AA30" s="13">
        <v>0</v>
      </c>
      <c r="AB30" s="14">
        <v>0</v>
      </c>
      <c r="AC30" s="13">
        <v>0</v>
      </c>
      <c r="AD30" s="14">
        <v>0</v>
      </c>
      <c r="AE30" s="13">
        <v>0</v>
      </c>
      <c r="AF30" s="14">
        <v>0</v>
      </c>
      <c r="AG30" s="13">
        <v>1155000</v>
      </c>
      <c r="AH30" s="14">
        <v>0</v>
      </c>
      <c r="AI30" s="13">
        <v>1450000</v>
      </c>
      <c r="AJ30" s="14">
        <v>0</v>
      </c>
      <c r="AK30" s="13">
        <v>1450000</v>
      </c>
      <c r="AL30" s="14">
        <v>0</v>
      </c>
      <c r="AM30" s="13">
        <v>2176000.2000000002</v>
      </c>
      <c r="AN30" s="14">
        <v>1000000</v>
      </c>
      <c r="AO30" s="13">
        <v>1450000.2</v>
      </c>
      <c r="AP30" s="14">
        <v>2000000</v>
      </c>
      <c r="AQ30" s="13">
        <v>2015999.7</v>
      </c>
      <c r="AR30" s="14">
        <v>1000000</v>
      </c>
      <c r="AS30" s="13">
        <v>1648000.2</v>
      </c>
      <c r="AT30" s="14">
        <v>0</v>
      </c>
      <c r="AU30" s="13">
        <v>1936000</v>
      </c>
      <c r="AV30" s="14">
        <v>55000</v>
      </c>
      <c r="AW30" s="13">
        <v>1871999.8</v>
      </c>
      <c r="AX30" s="14">
        <v>3000000</v>
      </c>
      <c r="AY30" s="13">
        <v>1712000.4</v>
      </c>
      <c r="AZ30" s="15">
        <v>0</v>
      </c>
      <c r="BA30" s="20">
        <v>1648000</v>
      </c>
      <c r="BB30" s="21">
        <v>1000000</v>
      </c>
      <c r="BC30" s="20">
        <v>1616000</v>
      </c>
      <c r="BD30" s="21">
        <v>500000</v>
      </c>
    </row>
    <row r="31" spans="1:56" ht="12" customHeight="1">
      <c r="A31" s="7">
        <v>28</v>
      </c>
      <c r="B31" s="8">
        <v>10086279</v>
      </c>
      <c r="C31" s="24" t="s">
        <v>83</v>
      </c>
      <c r="D31" s="19">
        <v>276460470</v>
      </c>
      <c r="E31" s="10">
        <f t="shared" si="0"/>
        <v>7679457.5</v>
      </c>
      <c r="F31" s="8" t="s">
        <v>71</v>
      </c>
      <c r="G31" s="8">
        <v>30</v>
      </c>
      <c r="H31" s="35" t="s">
        <v>84</v>
      </c>
      <c r="I31" s="11" t="s">
        <v>448</v>
      </c>
      <c r="J31" s="9">
        <f t="shared" si="2"/>
        <v>276460470</v>
      </c>
      <c r="K31" s="9">
        <f t="shared" si="3"/>
        <v>276460470</v>
      </c>
      <c r="L31" s="12">
        <f t="shared" si="1"/>
        <v>1</v>
      </c>
      <c r="M31" s="13">
        <v>0</v>
      </c>
      <c r="N31" s="14">
        <v>0</v>
      </c>
      <c r="O31" s="13">
        <v>0</v>
      </c>
      <c r="P31" s="14">
        <v>0</v>
      </c>
      <c r="Q31" s="13">
        <v>0</v>
      </c>
      <c r="R31" s="14">
        <v>0</v>
      </c>
      <c r="S31" s="13">
        <v>0</v>
      </c>
      <c r="T31" s="14">
        <v>0</v>
      </c>
      <c r="U31" s="13">
        <v>0</v>
      </c>
      <c r="V31" s="14">
        <v>0</v>
      </c>
      <c r="W31" s="13">
        <v>0</v>
      </c>
      <c r="X31" s="14">
        <v>0</v>
      </c>
      <c r="Y31" s="13">
        <v>0</v>
      </c>
      <c r="Z31" s="14">
        <v>0</v>
      </c>
      <c r="AA31" s="13">
        <v>0</v>
      </c>
      <c r="AB31" s="14">
        <v>0</v>
      </c>
      <c r="AC31" s="13">
        <v>0</v>
      </c>
      <c r="AD31" s="14">
        <v>0</v>
      </c>
      <c r="AE31" s="13">
        <v>0</v>
      </c>
      <c r="AF31" s="14">
        <v>0</v>
      </c>
      <c r="AG31" s="13">
        <v>0</v>
      </c>
      <c r="AH31" s="14">
        <v>0</v>
      </c>
      <c r="AI31" s="13">
        <v>0</v>
      </c>
      <c r="AJ31" s="14">
        <v>0</v>
      </c>
      <c r="AK31" s="13">
        <v>276460470</v>
      </c>
      <c r="AL31" s="14">
        <v>0</v>
      </c>
      <c r="AM31" s="13">
        <v>0</v>
      </c>
      <c r="AN31" s="14">
        <v>100000000</v>
      </c>
      <c r="AO31" s="13">
        <v>0</v>
      </c>
      <c r="AP31" s="14">
        <v>100000000</v>
      </c>
      <c r="AQ31" s="13">
        <v>0</v>
      </c>
      <c r="AR31" s="14">
        <v>76460470</v>
      </c>
      <c r="AS31" s="13">
        <v>0</v>
      </c>
      <c r="AT31" s="14">
        <v>0</v>
      </c>
      <c r="AU31" s="13">
        <v>0</v>
      </c>
      <c r="AV31" s="14">
        <v>0</v>
      </c>
      <c r="AW31" s="13">
        <v>0</v>
      </c>
      <c r="AX31" s="14">
        <v>0</v>
      </c>
      <c r="AY31" s="13">
        <v>0</v>
      </c>
      <c r="AZ31" s="15">
        <v>0</v>
      </c>
      <c r="BA31" s="20">
        <v>0</v>
      </c>
      <c r="BB31" s="21">
        <v>0</v>
      </c>
      <c r="BC31" s="20">
        <v>0</v>
      </c>
      <c r="BD31" s="21">
        <v>0</v>
      </c>
    </row>
    <row r="32" spans="1:56" ht="12" customHeight="1">
      <c r="A32" s="7">
        <v>29</v>
      </c>
      <c r="B32" s="8">
        <v>10041740</v>
      </c>
      <c r="C32" s="24" t="s">
        <v>85</v>
      </c>
      <c r="D32" s="19">
        <v>290885000</v>
      </c>
      <c r="E32" s="10">
        <f t="shared" si="0"/>
        <v>8080138.888888889</v>
      </c>
      <c r="F32" s="8" t="s">
        <v>31</v>
      </c>
      <c r="G32" s="8">
        <v>30</v>
      </c>
      <c r="H32" s="35" t="s">
        <v>63</v>
      </c>
      <c r="I32" s="11" t="s">
        <v>448</v>
      </c>
      <c r="J32" s="9">
        <f t="shared" si="2"/>
        <v>54244000.799999997</v>
      </c>
      <c r="K32" s="9">
        <f t="shared" si="3"/>
        <v>49316000</v>
      </c>
      <c r="L32" s="12">
        <f t="shared" si="1"/>
        <v>0.90915122912541513</v>
      </c>
      <c r="M32" s="13">
        <v>0</v>
      </c>
      <c r="N32" s="14">
        <v>0</v>
      </c>
      <c r="O32" s="13">
        <v>0</v>
      </c>
      <c r="P32" s="14">
        <v>0</v>
      </c>
      <c r="Q32" s="13">
        <v>0</v>
      </c>
      <c r="R32" s="14">
        <v>0</v>
      </c>
      <c r="S32" s="13">
        <v>0</v>
      </c>
      <c r="T32" s="14">
        <v>0</v>
      </c>
      <c r="U32" s="13">
        <v>0</v>
      </c>
      <c r="V32" s="14">
        <v>0</v>
      </c>
      <c r="W32" s="13">
        <v>0</v>
      </c>
      <c r="X32" s="14">
        <v>0</v>
      </c>
      <c r="Y32" s="13">
        <v>0</v>
      </c>
      <c r="Z32" s="14">
        <v>0</v>
      </c>
      <c r="AA32" s="13">
        <v>0</v>
      </c>
      <c r="AB32" s="14">
        <v>0</v>
      </c>
      <c r="AC32" s="13">
        <v>0</v>
      </c>
      <c r="AD32" s="14">
        <v>0</v>
      </c>
      <c r="AE32" s="13">
        <v>0</v>
      </c>
      <c r="AF32" s="14">
        <v>0</v>
      </c>
      <c r="AG32" s="13">
        <v>0</v>
      </c>
      <c r="AH32" s="14">
        <v>0</v>
      </c>
      <c r="AI32" s="13">
        <v>795000</v>
      </c>
      <c r="AJ32" s="14">
        <v>0</v>
      </c>
      <c r="AK32" s="13">
        <v>6197000</v>
      </c>
      <c r="AL32" s="14">
        <v>795000</v>
      </c>
      <c r="AM32" s="13">
        <v>5336999.8</v>
      </c>
      <c r="AN32" s="14">
        <v>6197000</v>
      </c>
      <c r="AO32" s="13">
        <v>5574000.2999999998</v>
      </c>
      <c r="AP32" s="14">
        <v>5337000</v>
      </c>
      <c r="AQ32" s="13">
        <v>5357000</v>
      </c>
      <c r="AR32" s="14">
        <v>5574000</v>
      </c>
      <c r="AS32" s="13">
        <v>4596000.2</v>
      </c>
      <c r="AT32" s="14">
        <v>5357000</v>
      </c>
      <c r="AU32" s="13">
        <v>6034000.5</v>
      </c>
      <c r="AV32" s="14">
        <v>4596000</v>
      </c>
      <c r="AW32" s="13">
        <v>4536999.5</v>
      </c>
      <c r="AX32" s="14">
        <v>6034000</v>
      </c>
      <c r="AY32" s="13">
        <v>5473000.5</v>
      </c>
      <c r="AZ32" s="15">
        <v>4537000</v>
      </c>
      <c r="BA32" s="20">
        <v>5416000</v>
      </c>
      <c r="BB32" s="21">
        <v>5473000</v>
      </c>
      <c r="BC32" s="20">
        <v>4928000</v>
      </c>
      <c r="BD32" s="21">
        <v>5416000</v>
      </c>
    </row>
    <row r="33" spans="1:56" ht="12" customHeight="1">
      <c r="A33" s="7">
        <v>30</v>
      </c>
      <c r="B33" s="8">
        <v>10074449</v>
      </c>
      <c r="C33" s="24" t="s">
        <v>86</v>
      </c>
      <c r="D33" s="19">
        <v>117274167</v>
      </c>
      <c r="E33" s="10">
        <f t="shared" si="0"/>
        <v>3257615.75</v>
      </c>
      <c r="F33" s="8" t="s">
        <v>31</v>
      </c>
      <c r="G33" s="8">
        <v>12</v>
      </c>
      <c r="H33" s="35" t="s">
        <v>87</v>
      </c>
      <c r="I33" s="11" t="s">
        <v>497</v>
      </c>
      <c r="J33" s="9">
        <f t="shared" si="2"/>
        <v>37235999.799999997</v>
      </c>
      <c r="K33" s="9">
        <f t="shared" si="3"/>
        <v>28517000</v>
      </c>
      <c r="L33" s="12">
        <f t="shared" si="1"/>
        <v>0.76584488541113382</v>
      </c>
      <c r="M33" s="13">
        <v>0</v>
      </c>
      <c r="N33" s="14">
        <v>0</v>
      </c>
      <c r="O33" s="13">
        <v>0</v>
      </c>
      <c r="P33" s="14">
        <v>0</v>
      </c>
      <c r="Q33" s="13">
        <v>0</v>
      </c>
      <c r="R33" s="14">
        <v>0</v>
      </c>
      <c r="S33" s="13">
        <v>0</v>
      </c>
      <c r="T33" s="14">
        <v>0</v>
      </c>
      <c r="U33" s="13">
        <v>0</v>
      </c>
      <c r="V33" s="14">
        <v>0</v>
      </c>
      <c r="W33" s="13">
        <v>0</v>
      </c>
      <c r="X33" s="14">
        <v>0</v>
      </c>
      <c r="Y33" s="13">
        <v>0</v>
      </c>
      <c r="Z33" s="14">
        <v>0</v>
      </c>
      <c r="AA33" s="13">
        <v>0</v>
      </c>
      <c r="AB33" s="14">
        <v>0</v>
      </c>
      <c r="AC33" s="13">
        <v>0</v>
      </c>
      <c r="AD33" s="14">
        <v>0</v>
      </c>
      <c r="AE33" s="13">
        <v>1846000</v>
      </c>
      <c r="AF33" s="14">
        <v>0</v>
      </c>
      <c r="AG33" s="13">
        <v>2913000</v>
      </c>
      <c r="AH33" s="14">
        <v>0</v>
      </c>
      <c r="AI33" s="13">
        <v>1918000</v>
      </c>
      <c r="AJ33" s="14">
        <v>0</v>
      </c>
      <c r="AK33" s="13">
        <v>2680000</v>
      </c>
      <c r="AL33" s="14">
        <v>1846000</v>
      </c>
      <c r="AM33" s="13">
        <v>2727000.1</v>
      </c>
      <c r="AN33" s="14">
        <v>2913000</v>
      </c>
      <c r="AO33" s="13">
        <v>2770000.2</v>
      </c>
      <c r="AP33" s="14">
        <v>1918000</v>
      </c>
      <c r="AQ33" s="13">
        <v>3149999.6</v>
      </c>
      <c r="AR33" s="14">
        <v>2680000</v>
      </c>
      <c r="AS33" s="13">
        <v>2477999.7000000002</v>
      </c>
      <c r="AT33" s="14">
        <v>2727000</v>
      </c>
      <c r="AU33" s="13">
        <v>5232000.4000000004</v>
      </c>
      <c r="AV33" s="14">
        <v>2770000</v>
      </c>
      <c r="AW33" s="13">
        <v>2803000.2</v>
      </c>
      <c r="AX33" s="14">
        <v>3150000</v>
      </c>
      <c r="AY33" s="13">
        <v>3974999.6</v>
      </c>
      <c r="AZ33" s="15">
        <v>2478000</v>
      </c>
      <c r="BA33" s="20">
        <v>2595000</v>
      </c>
      <c r="BB33" s="21">
        <v>5232000</v>
      </c>
      <c r="BC33" s="20">
        <v>2149000</v>
      </c>
      <c r="BD33" s="21">
        <v>2803000</v>
      </c>
    </row>
    <row r="34" spans="1:56" ht="12" customHeight="1">
      <c r="A34" s="7">
        <v>31</v>
      </c>
      <c r="B34" s="8">
        <v>10067520</v>
      </c>
      <c r="C34" s="24" t="s">
        <v>88</v>
      </c>
      <c r="D34" s="19">
        <v>120141000</v>
      </c>
      <c r="E34" s="10">
        <f t="shared" si="0"/>
        <v>3337250</v>
      </c>
      <c r="F34" s="8" t="s">
        <v>71</v>
      </c>
      <c r="G34" s="8">
        <v>15</v>
      </c>
      <c r="H34" s="35" t="s">
        <v>89</v>
      </c>
      <c r="I34" s="11" t="s">
        <v>448</v>
      </c>
      <c r="J34" s="9">
        <f t="shared" si="2"/>
        <v>120141000</v>
      </c>
      <c r="K34" s="9">
        <f t="shared" si="3"/>
        <v>120141000</v>
      </c>
      <c r="L34" s="12">
        <f t="shared" si="1"/>
        <v>1</v>
      </c>
      <c r="M34" s="13">
        <v>0</v>
      </c>
      <c r="N34" s="14">
        <v>0</v>
      </c>
      <c r="O34" s="13">
        <v>0</v>
      </c>
      <c r="P34" s="14">
        <v>0</v>
      </c>
      <c r="Q34" s="13">
        <v>0</v>
      </c>
      <c r="R34" s="14">
        <v>0</v>
      </c>
      <c r="S34" s="13">
        <v>0</v>
      </c>
      <c r="T34" s="14">
        <v>0</v>
      </c>
      <c r="U34" s="13">
        <v>0</v>
      </c>
      <c r="V34" s="14">
        <v>0</v>
      </c>
      <c r="W34" s="13">
        <v>0</v>
      </c>
      <c r="X34" s="14">
        <v>0</v>
      </c>
      <c r="Y34" s="13">
        <v>0</v>
      </c>
      <c r="Z34" s="14">
        <v>0</v>
      </c>
      <c r="AA34" s="13">
        <v>0</v>
      </c>
      <c r="AB34" s="14">
        <v>0</v>
      </c>
      <c r="AC34" s="13">
        <v>120141000</v>
      </c>
      <c r="AD34" s="14">
        <v>0</v>
      </c>
      <c r="AE34" s="13">
        <v>0</v>
      </c>
      <c r="AF34" s="14">
        <v>0</v>
      </c>
      <c r="AG34" s="13">
        <v>0</v>
      </c>
      <c r="AH34" s="14">
        <v>0</v>
      </c>
      <c r="AI34" s="13">
        <v>0</v>
      </c>
      <c r="AJ34" s="14">
        <v>0</v>
      </c>
      <c r="AK34" s="13">
        <v>0</v>
      </c>
      <c r="AL34" s="14">
        <v>40000000</v>
      </c>
      <c r="AM34" s="13">
        <v>0</v>
      </c>
      <c r="AN34" s="14">
        <v>40000000</v>
      </c>
      <c r="AO34" s="13">
        <v>0</v>
      </c>
      <c r="AP34" s="14">
        <v>40141000</v>
      </c>
      <c r="AQ34" s="13">
        <v>0</v>
      </c>
      <c r="AR34" s="14">
        <v>0</v>
      </c>
      <c r="AS34" s="13">
        <v>0</v>
      </c>
      <c r="AT34" s="14">
        <v>0</v>
      </c>
      <c r="AU34" s="13">
        <v>0</v>
      </c>
      <c r="AV34" s="14">
        <v>0</v>
      </c>
      <c r="AW34" s="13">
        <v>0</v>
      </c>
      <c r="AX34" s="14">
        <v>0</v>
      </c>
      <c r="AY34" s="13">
        <v>0</v>
      </c>
      <c r="AZ34" s="15">
        <v>0</v>
      </c>
      <c r="BA34" s="20">
        <v>0</v>
      </c>
      <c r="BB34" s="21">
        <v>0</v>
      </c>
      <c r="BC34" s="20">
        <v>0</v>
      </c>
      <c r="BD34" s="21">
        <v>0</v>
      </c>
    </row>
    <row r="35" spans="1:56" ht="12" customHeight="1">
      <c r="A35" s="7">
        <v>32</v>
      </c>
      <c r="B35" s="8">
        <v>10032805</v>
      </c>
      <c r="C35" s="24" t="s">
        <v>90</v>
      </c>
      <c r="D35" s="19">
        <v>234514000</v>
      </c>
      <c r="E35" s="10">
        <f t="shared" si="0"/>
        <v>6514277.777777778</v>
      </c>
      <c r="F35" s="8" t="s">
        <v>31</v>
      </c>
      <c r="G35" s="8">
        <v>30</v>
      </c>
      <c r="H35" s="35" t="s">
        <v>91</v>
      </c>
      <c r="I35" s="11" t="s">
        <v>448</v>
      </c>
      <c r="J35" s="9">
        <f t="shared" si="2"/>
        <v>46687000.799999997</v>
      </c>
      <c r="K35" s="9">
        <f t="shared" si="3"/>
        <v>43219000</v>
      </c>
      <c r="L35" s="12">
        <f t="shared" si="1"/>
        <v>0.92571806411689661</v>
      </c>
      <c r="M35" s="13">
        <v>0</v>
      </c>
      <c r="N35" s="14">
        <v>0</v>
      </c>
      <c r="O35" s="13">
        <v>0</v>
      </c>
      <c r="P35" s="14">
        <v>0</v>
      </c>
      <c r="Q35" s="13">
        <v>0</v>
      </c>
      <c r="R35" s="14">
        <v>0</v>
      </c>
      <c r="S35" s="13">
        <v>0</v>
      </c>
      <c r="T35" s="14">
        <v>0</v>
      </c>
      <c r="U35" s="13">
        <v>0</v>
      </c>
      <c r="V35" s="14">
        <v>0</v>
      </c>
      <c r="W35" s="13">
        <v>0</v>
      </c>
      <c r="X35" s="14">
        <v>0</v>
      </c>
      <c r="Y35" s="13">
        <v>0</v>
      </c>
      <c r="Z35" s="14">
        <v>0</v>
      </c>
      <c r="AA35" s="13">
        <v>0</v>
      </c>
      <c r="AB35" s="14">
        <v>0</v>
      </c>
      <c r="AC35" s="13">
        <v>0</v>
      </c>
      <c r="AD35" s="14">
        <v>0</v>
      </c>
      <c r="AE35" s="13">
        <v>0</v>
      </c>
      <c r="AF35" s="14">
        <v>0</v>
      </c>
      <c r="AG35" s="13">
        <v>0</v>
      </c>
      <c r="AH35" s="14">
        <v>0</v>
      </c>
      <c r="AI35" s="13">
        <v>2687000</v>
      </c>
      <c r="AJ35" s="14">
        <v>0</v>
      </c>
      <c r="AK35" s="13">
        <v>6576000</v>
      </c>
      <c r="AL35" s="14">
        <v>2687000</v>
      </c>
      <c r="AM35" s="13">
        <v>5416999.5</v>
      </c>
      <c r="AN35" s="14">
        <v>6576000</v>
      </c>
      <c r="AO35" s="13">
        <v>5920999.7000000002</v>
      </c>
      <c r="AP35" s="14">
        <v>5417000</v>
      </c>
      <c r="AQ35" s="13">
        <v>4122000.3</v>
      </c>
      <c r="AR35" s="14">
        <v>5921000</v>
      </c>
      <c r="AS35" s="13">
        <v>5158000.0999999996</v>
      </c>
      <c r="AT35" s="14">
        <v>4122000</v>
      </c>
      <c r="AU35" s="13">
        <v>3340000.4</v>
      </c>
      <c r="AV35" s="14">
        <v>5158000</v>
      </c>
      <c r="AW35" s="13">
        <v>4252000.5</v>
      </c>
      <c r="AX35" s="14">
        <v>3340000</v>
      </c>
      <c r="AY35" s="13">
        <v>2615000.2999999998</v>
      </c>
      <c r="AZ35" s="15">
        <v>4252000</v>
      </c>
      <c r="BA35" s="20">
        <v>3131000</v>
      </c>
      <c r="BB35" s="21">
        <v>2615000</v>
      </c>
      <c r="BC35" s="20">
        <v>3468000</v>
      </c>
      <c r="BD35" s="21">
        <v>3131000</v>
      </c>
    </row>
    <row r="36" spans="1:56" ht="12" customHeight="1">
      <c r="A36" s="7">
        <v>33</v>
      </c>
      <c r="B36" s="8">
        <v>10039210</v>
      </c>
      <c r="C36" s="24" t="s">
        <v>92</v>
      </c>
      <c r="D36" s="19">
        <v>380616000</v>
      </c>
      <c r="E36" s="10">
        <f t="shared" si="0"/>
        <v>10572666.666666666</v>
      </c>
      <c r="F36" s="8" t="s">
        <v>31</v>
      </c>
      <c r="G36" s="8">
        <v>50</v>
      </c>
      <c r="H36" s="35" t="s">
        <v>93</v>
      </c>
      <c r="I36" s="11" t="s">
        <v>448</v>
      </c>
      <c r="J36" s="9">
        <f t="shared" si="2"/>
        <v>240765998.69999999</v>
      </c>
      <c r="K36" s="9">
        <f t="shared" si="3"/>
        <v>216986000</v>
      </c>
      <c r="L36" s="12">
        <f t="shared" si="1"/>
        <v>0.90123190638047523</v>
      </c>
      <c r="M36" s="13">
        <v>0</v>
      </c>
      <c r="N36" s="14">
        <v>0</v>
      </c>
      <c r="O36" s="13">
        <v>0</v>
      </c>
      <c r="P36" s="14">
        <v>0</v>
      </c>
      <c r="Q36" s="13">
        <v>0</v>
      </c>
      <c r="R36" s="14">
        <v>0</v>
      </c>
      <c r="S36" s="13">
        <v>0</v>
      </c>
      <c r="T36" s="14">
        <v>0</v>
      </c>
      <c r="U36" s="13">
        <v>0</v>
      </c>
      <c r="V36" s="14">
        <v>0</v>
      </c>
      <c r="W36" s="13">
        <v>0</v>
      </c>
      <c r="X36" s="14">
        <v>0</v>
      </c>
      <c r="Y36" s="13">
        <v>0</v>
      </c>
      <c r="Z36" s="14">
        <v>0</v>
      </c>
      <c r="AA36" s="13">
        <v>0</v>
      </c>
      <c r="AB36" s="14">
        <v>0</v>
      </c>
      <c r="AC36" s="13">
        <v>0</v>
      </c>
      <c r="AD36" s="14">
        <v>0</v>
      </c>
      <c r="AE36" s="13">
        <v>0</v>
      </c>
      <c r="AF36" s="14">
        <v>0</v>
      </c>
      <c r="AG36" s="13">
        <v>0</v>
      </c>
      <c r="AH36" s="14">
        <v>0</v>
      </c>
      <c r="AI36" s="13">
        <v>17824000</v>
      </c>
      <c r="AJ36" s="14">
        <v>0</v>
      </c>
      <c r="AK36" s="13">
        <v>19605000</v>
      </c>
      <c r="AL36" s="14">
        <v>17824000</v>
      </c>
      <c r="AM36" s="13">
        <v>22394000.199999999</v>
      </c>
      <c r="AN36" s="14">
        <v>19605000</v>
      </c>
      <c r="AO36" s="13">
        <v>21068999.600000001</v>
      </c>
      <c r="AP36" s="14">
        <v>22394000</v>
      </c>
      <c r="AQ36" s="13">
        <v>19462999.600000001</v>
      </c>
      <c r="AR36" s="14">
        <v>21069000</v>
      </c>
      <c r="AS36" s="13">
        <v>23058999.699999999</v>
      </c>
      <c r="AT36" s="14">
        <v>19463000</v>
      </c>
      <c r="AU36" s="13">
        <v>24179999.800000001</v>
      </c>
      <c r="AV36" s="14">
        <v>23059000</v>
      </c>
      <c r="AW36" s="13">
        <v>22010000.100000001</v>
      </c>
      <c r="AX36" s="14">
        <v>24180000</v>
      </c>
      <c r="AY36" s="13">
        <v>22695999.699999999</v>
      </c>
      <c r="AZ36" s="15">
        <v>22010000</v>
      </c>
      <c r="BA36" s="20">
        <v>24686000</v>
      </c>
      <c r="BB36" s="21">
        <v>22696000</v>
      </c>
      <c r="BC36" s="20">
        <v>23780000</v>
      </c>
      <c r="BD36" s="21">
        <v>24686000</v>
      </c>
    </row>
    <row r="37" spans="1:56" ht="12" customHeight="1">
      <c r="A37" s="7">
        <v>34</v>
      </c>
      <c r="B37" s="8">
        <v>10069147</v>
      </c>
      <c r="C37" s="24" t="s">
        <v>94</v>
      </c>
      <c r="D37" s="19">
        <v>721098000</v>
      </c>
      <c r="E37" s="10">
        <f t="shared" si="0"/>
        <v>20030500</v>
      </c>
      <c r="F37" s="8" t="s">
        <v>31</v>
      </c>
      <c r="G37" s="8">
        <v>100</v>
      </c>
      <c r="H37" s="35" t="s">
        <v>91</v>
      </c>
      <c r="I37" s="11" t="s">
        <v>495</v>
      </c>
      <c r="J37" s="9">
        <f t="shared" si="2"/>
        <v>352759999.89999998</v>
      </c>
      <c r="K37" s="9">
        <f t="shared" si="3"/>
        <v>319094000</v>
      </c>
      <c r="L37" s="12">
        <f t="shared" si="1"/>
        <v>0.90456400978131424</v>
      </c>
      <c r="M37" s="13">
        <v>0</v>
      </c>
      <c r="N37" s="14">
        <v>0</v>
      </c>
      <c r="O37" s="13">
        <v>0</v>
      </c>
      <c r="P37" s="14">
        <v>0</v>
      </c>
      <c r="Q37" s="13">
        <v>0</v>
      </c>
      <c r="R37" s="14">
        <v>0</v>
      </c>
      <c r="S37" s="13">
        <v>0</v>
      </c>
      <c r="T37" s="14">
        <v>0</v>
      </c>
      <c r="U37" s="13">
        <v>0</v>
      </c>
      <c r="V37" s="14">
        <v>0</v>
      </c>
      <c r="W37" s="13">
        <v>0</v>
      </c>
      <c r="X37" s="14">
        <v>0</v>
      </c>
      <c r="Y37" s="13">
        <v>0</v>
      </c>
      <c r="Z37" s="14">
        <v>0</v>
      </c>
      <c r="AA37" s="13">
        <v>0</v>
      </c>
      <c r="AB37" s="14">
        <v>0</v>
      </c>
      <c r="AC37" s="13">
        <v>0</v>
      </c>
      <c r="AD37" s="14">
        <v>0</v>
      </c>
      <c r="AE37" s="13">
        <v>0</v>
      </c>
      <c r="AF37" s="14">
        <v>0</v>
      </c>
      <c r="AG37" s="13">
        <v>1613000</v>
      </c>
      <c r="AH37" s="14">
        <v>0</v>
      </c>
      <c r="AI37" s="13">
        <v>27262000</v>
      </c>
      <c r="AJ37" s="14">
        <v>1613000</v>
      </c>
      <c r="AK37" s="13">
        <v>29243000</v>
      </c>
      <c r="AL37" s="14">
        <v>27262000</v>
      </c>
      <c r="AM37" s="13">
        <v>34912000.200000003</v>
      </c>
      <c r="AN37" s="14">
        <v>29243000</v>
      </c>
      <c r="AO37" s="13">
        <v>32066999.800000001</v>
      </c>
      <c r="AP37" s="14">
        <v>34912000</v>
      </c>
      <c r="AQ37" s="13">
        <v>30785000.399999999</v>
      </c>
      <c r="AR37" s="14">
        <v>32067000</v>
      </c>
      <c r="AS37" s="13">
        <v>29227000</v>
      </c>
      <c r="AT37" s="14">
        <v>30785000</v>
      </c>
      <c r="AU37" s="13">
        <v>34511999.5</v>
      </c>
      <c r="AV37" s="14">
        <v>29227000</v>
      </c>
      <c r="AW37" s="13">
        <v>35423999.600000001</v>
      </c>
      <c r="AX37" s="14">
        <v>34512000</v>
      </c>
      <c r="AY37" s="13">
        <v>30653000.399999999</v>
      </c>
      <c r="AZ37" s="15">
        <v>35424000</v>
      </c>
      <c r="BA37" s="20">
        <v>33396000</v>
      </c>
      <c r="BB37" s="21">
        <v>30653000</v>
      </c>
      <c r="BC37" s="20">
        <v>33666000</v>
      </c>
      <c r="BD37" s="21">
        <v>33396000</v>
      </c>
    </row>
    <row r="38" spans="1:56" ht="12" customHeight="1">
      <c r="A38" s="7">
        <v>35</v>
      </c>
      <c r="B38" s="8">
        <v>10047520</v>
      </c>
      <c r="C38" s="24" t="s">
        <v>95</v>
      </c>
      <c r="D38" s="19">
        <v>441551458</v>
      </c>
      <c r="E38" s="10">
        <f t="shared" si="0"/>
        <v>12265318.277777778</v>
      </c>
      <c r="F38" s="8" t="s">
        <v>71</v>
      </c>
      <c r="G38" s="8">
        <v>27</v>
      </c>
      <c r="H38" s="35" t="s">
        <v>96</v>
      </c>
      <c r="I38" s="11" t="s">
        <v>448</v>
      </c>
      <c r="J38" s="9">
        <f t="shared" si="2"/>
        <v>441551458</v>
      </c>
      <c r="K38" s="9">
        <f t="shared" si="3"/>
        <v>441551458</v>
      </c>
      <c r="L38" s="12">
        <f t="shared" si="1"/>
        <v>1</v>
      </c>
      <c r="M38" s="13">
        <v>0</v>
      </c>
      <c r="N38" s="14">
        <v>0</v>
      </c>
      <c r="O38" s="13">
        <v>0</v>
      </c>
      <c r="P38" s="14">
        <v>0</v>
      </c>
      <c r="Q38" s="13">
        <v>0</v>
      </c>
      <c r="R38" s="14">
        <v>0</v>
      </c>
      <c r="S38" s="13">
        <v>159521458</v>
      </c>
      <c r="T38" s="14">
        <v>0</v>
      </c>
      <c r="U38" s="13">
        <v>0</v>
      </c>
      <c r="V38" s="14">
        <v>53200000</v>
      </c>
      <c r="W38" s="13">
        <v>0</v>
      </c>
      <c r="X38" s="14">
        <v>53200000</v>
      </c>
      <c r="Y38" s="13">
        <v>0</v>
      </c>
      <c r="Z38" s="14">
        <v>53121458</v>
      </c>
      <c r="AA38" s="13">
        <v>0</v>
      </c>
      <c r="AB38" s="14">
        <v>0</v>
      </c>
      <c r="AC38" s="13">
        <v>0</v>
      </c>
      <c r="AD38" s="14">
        <v>0</v>
      </c>
      <c r="AE38" s="13">
        <v>0</v>
      </c>
      <c r="AF38" s="14">
        <v>0</v>
      </c>
      <c r="AG38" s="13">
        <v>0</v>
      </c>
      <c r="AH38" s="14">
        <v>0</v>
      </c>
      <c r="AI38" s="13">
        <v>0</v>
      </c>
      <c r="AJ38" s="14">
        <v>0</v>
      </c>
      <c r="AK38" s="13">
        <v>282030000</v>
      </c>
      <c r="AL38" s="14">
        <v>70507500</v>
      </c>
      <c r="AM38" s="13">
        <v>0</v>
      </c>
      <c r="AN38" s="14">
        <v>70507500</v>
      </c>
      <c r="AO38" s="13">
        <v>0</v>
      </c>
      <c r="AP38" s="14">
        <v>0</v>
      </c>
      <c r="AQ38" s="13">
        <v>0</v>
      </c>
      <c r="AR38" s="14">
        <v>141015000</v>
      </c>
      <c r="AS38" s="13">
        <v>0</v>
      </c>
      <c r="AT38" s="14">
        <v>0</v>
      </c>
      <c r="AU38" s="13">
        <v>0</v>
      </c>
      <c r="AV38" s="14">
        <v>0</v>
      </c>
      <c r="AW38" s="13">
        <v>0</v>
      </c>
      <c r="AX38" s="14">
        <v>0</v>
      </c>
      <c r="AY38" s="13">
        <v>0</v>
      </c>
      <c r="AZ38" s="15">
        <v>0</v>
      </c>
      <c r="BA38" s="20">
        <v>0</v>
      </c>
      <c r="BB38" s="21">
        <v>0</v>
      </c>
      <c r="BC38" s="20">
        <v>0</v>
      </c>
      <c r="BD38" s="21">
        <v>0</v>
      </c>
    </row>
    <row r="39" spans="1:56" ht="12" customHeight="1">
      <c r="A39" s="7">
        <v>36</v>
      </c>
      <c r="B39" s="8">
        <v>10036320</v>
      </c>
      <c r="C39" s="24" t="s">
        <v>97</v>
      </c>
      <c r="D39" s="19">
        <v>1479065000</v>
      </c>
      <c r="E39" s="10">
        <f t="shared" si="0"/>
        <v>41085138.888888888</v>
      </c>
      <c r="F39" s="8" t="s">
        <v>31</v>
      </c>
      <c r="G39" s="8">
        <v>253</v>
      </c>
      <c r="H39" s="35" t="s">
        <v>98</v>
      </c>
      <c r="I39" s="11" t="s">
        <v>448</v>
      </c>
      <c r="J39" s="9">
        <f t="shared" si="2"/>
        <v>274768000.60000002</v>
      </c>
      <c r="K39" s="9">
        <f t="shared" si="3"/>
        <v>236478000</v>
      </c>
      <c r="L39" s="12">
        <f t="shared" si="1"/>
        <v>0.86064607044347352</v>
      </c>
      <c r="M39" s="13">
        <v>0</v>
      </c>
      <c r="N39" s="14">
        <v>0</v>
      </c>
      <c r="O39" s="13">
        <v>0</v>
      </c>
      <c r="P39" s="14">
        <v>0</v>
      </c>
      <c r="Q39" s="13">
        <v>0</v>
      </c>
      <c r="R39" s="14">
        <v>0</v>
      </c>
      <c r="S39" s="13">
        <v>0</v>
      </c>
      <c r="T39" s="14">
        <v>0</v>
      </c>
      <c r="U39" s="13">
        <v>0</v>
      </c>
      <c r="V39" s="14">
        <v>0</v>
      </c>
      <c r="W39" s="13">
        <v>0</v>
      </c>
      <c r="X39" s="14">
        <v>0</v>
      </c>
      <c r="Y39" s="13">
        <v>0</v>
      </c>
      <c r="Z39" s="14">
        <v>0</v>
      </c>
      <c r="AA39" s="13">
        <v>0</v>
      </c>
      <c r="AB39" s="14">
        <v>0</v>
      </c>
      <c r="AC39" s="13">
        <v>0</v>
      </c>
      <c r="AD39" s="14">
        <v>0</v>
      </c>
      <c r="AE39" s="13">
        <v>2576000</v>
      </c>
      <c r="AF39" s="14">
        <v>0</v>
      </c>
      <c r="AG39" s="13">
        <v>12650000</v>
      </c>
      <c r="AH39" s="14">
        <v>2576000</v>
      </c>
      <c r="AI39" s="13">
        <v>15716000</v>
      </c>
      <c r="AJ39" s="14">
        <v>12650000</v>
      </c>
      <c r="AK39" s="13">
        <v>24241000</v>
      </c>
      <c r="AL39" s="14">
        <v>15716000</v>
      </c>
      <c r="AM39" s="13">
        <v>27389000.100000001</v>
      </c>
      <c r="AN39" s="14">
        <v>0</v>
      </c>
      <c r="AO39" s="13">
        <v>26635999.5</v>
      </c>
      <c r="AP39" s="14">
        <v>51630000</v>
      </c>
      <c r="AQ39" s="13">
        <v>18876000</v>
      </c>
      <c r="AR39" s="14">
        <v>0</v>
      </c>
      <c r="AS39" s="13">
        <v>17070000.199999999</v>
      </c>
      <c r="AT39" s="14">
        <v>45512000</v>
      </c>
      <c r="AU39" s="13">
        <v>26408000.300000001</v>
      </c>
      <c r="AV39" s="14">
        <v>17070000</v>
      </c>
      <c r="AW39" s="13">
        <v>22501000.5</v>
      </c>
      <c r="AX39" s="14">
        <v>26408000</v>
      </c>
      <c r="AY39" s="13">
        <v>18370000</v>
      </c>
      <c r="AZ39" s="15">
        <v>22501000</v>
      </c>
      <c r="BA39" s="20">
        <v>24045000</v>
      </c>
      <c r="BB39" s="21">
        <v>18370000</v>
      </c>
      <c r="BC39" s="20">
        <v>38290000</v>
      </c>
      <c r="BD39" s="21">
        <v>24045000</v>
      </c>
    </row>
    <row r="40" spans="1:56" ht="12" customHeight="1">
      <c r="A40" s="7">
        <v>37</v>
      </c>
      <c r="B40" s="8">
        <v>10041592</v>
      </c>
      <c r="C40" s="24" t="s">
        <v>99</v>
      </c>
      <c r="D40" s="19">
        <v>1474061000</v>
      </c>
      <c r="E40" s="10">
        <f t="shared" si="0"/>
        <v>40946138.888888888</v>
      </c>
      <c r="F40" s="8" t="s">
        <v>31</v>
      </c>
      <c r="G40" s="8">
        <v>50</v>
      </c>
      <c r="H40" s="35" t="s">
        <v>100</v>
      </c>
      <c r="I40" s="11" t="s">
        <v>448</v>
      </c>
      <c r="J40" s="9">
        <f t="shared" si="2"/>
        <v>416559998.89999998</v>
      </c>
      <c r="K40" s="9">
        <f t="shared" si="3"/>
        <v>416152000</v>
      </c>
      <c r="L40" s="12">
        <f t="shared" si="1"/>
        <v>0.99902055189870043</v>
      </c>
      <c r="M40" s="13">
        <v>0</v>
      </c>
      <c r="N40" s="14">
        <v>0</v>
      </c>
      <c r="O40" s="13">
        <v>0</v>
      </c>
      <c r="P40" s="14">
        <v>0</v>
      </c>
      <c r="Q40" s="13">
        <v>0</v>
      </c>
      <c r="R40" s="14">
        <v>0</v>
      </c>
      <c r="S40" s="13">
        <v>0</v>
      </c>
      <c r="T40" s="14">
        <v>0</v>
      </c>
      <c r="U40" s="13">
        <v>0</v>
      </c>
      <c r="V40" s="14">
        <v>0</v>
      </c>
      <c r="W40" s="13">
        <v>0</v>
      </c>
      <c r="X40" s="14">
        <v>0</v>
      </c>
      <c r="Y40" s="13">
        <v>0</v>
      </c>
      <c r="Z40" s="14">
        <v>0</v>
      </c>
      <c r="AA40" s="13">
        <v>0</v>
      </c>
      <c r="AB40" s="14">
        <v>0</v>
      </c>
      <c r="AC40" s="13">
        <v>0</v>
      </c>
      <c r="AD40" s="14">
        <v>0</v>
      </c>
      <c r="AE40" s="13">
        <v>2251000</v>
      </c>
      <c r="AF40" s="14">
        <v>0</v>
      </c>
      <c r="AG40" s="13">
        <v>12500000</v>
      </c>
      <c r="AH40" s="14">
        <v>2251000</v>
      </c>
      <c r="AI40" s="13">
        <v>12500000</v>
      </c>
      <c r="AJ40" s="14">
        <v>12500000</v>
      </c>
      <c r="AK40" s="13">
        <v>18531000</v>
      </c>
      <c r="AL40" s="14">
        <v>12500000</v>
      </c>
      <c r="AM40" s="13">
        <v>33979999.899999999</v>
      </c>
      <c r="AN40" s="14">
        <v>18531000</v>
      </c>
      <c r="AO40" s="13">
        <v>41767999.899999999</v>
      </c>
      <c r="AP40" s="14">
        <v>33980000</v>
      </c>
      <c r="AQ40" s="13">
        <v>46083999.5</v>
      </c>
      <c r="AR40" s="14">
        <v>41768000</v>
      </c>
      <c r="AS40" s="13">
        <v>49623999.700000003</v>
      </c>
      <c r="AT40" s="14">
        <v>46084000</v>
      </c>
      <c r="AU40" s="13">
        <v>49379000</v>
      </c>
      <c r="AV40" s="14">
        <v>49624000</v>
      </c>
      <c r="AW40" s="13">
        <v>52023999.5</v>
      </c>
      <c r="AX40" s="14">
        <v>49379000</v>
      </c>
      <c r="AY40" s="13">
        <v>48231000.399999999</v>
      </c>
      <c r="AZ40" s="15">
        <v>52024000</v>
      </c>
      <c r="BA40" s="20">
        <v>49280000</v>
      </c>
      <c r="BB40" s="21">
        <v>48231000</v>
      </c>
      <c r="BC40" s="20">
        <v>408000</v>
      </c>
      <c r="BD40" s="21">
        <v>49280000</v>
      </c>
    </row>
    <row r="41" spans="1:56" ht="12" customHeight="1">
      <c r="A41" s="7">
        <v>38</v>
      </c>
      <c r="B41" s="8">
        <v>10112765</v>
      </c>
      <c r="C41" s="24" t="s">
        <v>498</v>
      </c>
      <c r="D41" s="19">
        <v>436766000</v>
      </c>
      <c r="E41" s="10">
        <f t="shared" si="0"/>
        <v>12132388.888888888</v>
      </c>
      <c r="F41" s="8" t="s">
        <v>31</v>
      </c>
      <c r="G41" s="8">
        <v>50</v>
      </c>
      <c r="H41" s="35" t="s">
        <v>101</v>
      </c>
      <c r="I41" s="11"/>
      <c r="J41" s="9">
        <f t="shared" si="2"/>
        <v>359531000.10000002</v>
      </c>
      <c r="K41" s="9">
        <f t="shared" si="3"/>
        <v>193319000</v>
      </c>
      <c r="L41" s="12">
        <f t="shared" si="1"/>
        <v>0.53769772271717942</v>
      </c>
      <c r="M41" s="13">
        <v>0</v>
      </c>
      <c r="N41" s="14">
        <v>0</v>
      </c>
      <c r="O41" s="13">
        <v>0</v>
      </c>
      <c r="P41" s="14">
        <v>0</v>
      </c>
      <c r="Q41" s="13">
        <v>0</v>
      </c>
      <c r="R41" s="14">
        <v>0</v>
      </c>
      <c r="S41" s="13">
        <v>0</v>
      </c>
      <c r="T41" s="14">
        <v>0</v>
      </c>
      <c r="U41" s="13">
        <v>0</v>
      </c>
      <c r="V41" s="14">
        <v>0</v>
      </c>
      <c r="W41" s="13">
        <v>0</v>
      </c>
      <c r="X41" s="14">
        <v>0</v>
      </c>
      <c r="Y41" s="13">
        <v>0</v>
      </c>
      <c r="Z41" s="14">
        <v>0</v>
      </c>
      <c r="AA41" s="13">
        <v>0</v>
      </c>
      <c r="AB41" s="14">
        <v>0</v>
      </c>
      <c r="AC41" s="13">
        <v>0</v>
      </c>
      <c r="AD41" s="14">
        <v>0</v>
      </c>
      <c r="AE41" s="13">
        <v>9332000</v>
      </c>
      <c r="AF41" s="14">
        <v>0</v>
      </c>
      <c r="AG41" s="13">
        <v>0</v>
      </c>
      <c r="AH41" s="14">
        <v>0</v>
      </c>
      <c r="AI41" s="13">
        <v>36520000</v>
      </c>
      <c r="AJ41" s="14">
        <v>9332000</v>
      </c>
      <c r="AK41" s="13">
        <v>22880000</v>
      </c>
      <c r="AL41" s="14">
        <v>18685000</v>
      </c>
      <c r="AM41" s="13">
        <v>31549999.800000001</v>
      </c>
      <c r="AN41" s="14">
        <v>17835000</v>
      </c>
      <c r="AO41" s="13">
        <v>31561999.699999999</v>
      </c>
      <c r="AP41" s="14">
        <v>22880000</v>
      </c>
      <c r="AQ41" s="13">
        <v>28578999.899999999</v>
      </c>
      <c r="AR41" s="14">
        <v>31550000</v>
      </c>
      <c r="AS41" s="13">
        <v>32896000.5</v>
      </c>
      <c r="AT41" s="14">
        <v>31562000</v>
      </c>
      <c r="AU41" s="13">
        <v>0</v>
      </c>
      <c r="AV41" s="14">
        <v>61475000</v>
      </c>
      <c r="AW41" s="13">
        <v>0</v>
      </c>
      <c r="AX41" s="14">
        <v>0</v>
      </c>
      <c r="AY41" s="13">
        <v>71927000.200000003</v>
      </c>
      <c r="AZ41" s="15">
        <v>0</v>
      </c>
      <c r="BA41" s="20">
        <v>75658000</v>
      </c>
      <c r="BB41" s="21">
        <v>0</v>
      </c>
      <c r="BC41" s="20">
        <v>18627000</v>
      </c>
      <c r="BD41" s="21">
        <v>0</v>
      </c>
    </row>
    <row r="42" spans="1:56" ht="12" customHeight="1">
      <c r="A42" s="7">
        <v>39</v>
      </c>
      <c r="B42" s="8">
        <v>10047340</v>
      </c>
      <c r="C42" s="24" t="s">
        <v>102</v>
      </c>
      <c r="D42" s="19">
        <v>259531000</v>
      </c>
      <c r="E42" s="10">
        <f t="shared" si="0"/>
        <v>7209194.444444444</v>
      </c>
      <c r="F42" s="8" t="s">
        <v>67</v>
      </c>
      <c r="G42" s="8">
        <v>40</v>
      </c>
      <c r="H42" s="35" t="s">
        <v>103</v>
      </c>
      <c r="I42" s="11" t="s">
        <v>448</v>
      </c>
      <c r="J42" s="9">
        <f t="shared" si="2"/>
        <v>259531000</v>
      </c>
      <c r="K42" s="9">
        <f t="shared" si="3"/>
        <v>259531000</v>
      </c>
      <c r="L42" s="12">
        <f t="shared" si="1"/>
        <v>1</v>
      </c>
      <c r="M42" s="13">
        <v>0</v>
      </c>
      <c r="N42" s="14">
        <v>0</v>
      </c>
      <c r="O42" s="13">
        <v>0</v>
      </c>
      <c r="P42" s="14">
        <v>0</v>
      </c>
      <c r="Q42" s="13">
        <v>0</v>
      </c>
      <c r="R42" s="14">
        <v>0</v>
      </c>
      <c r="S42" s="13">
        <v>0</v>
      </c>
      <c r="T42" s="14">
        <v>0</v>
      </c>
      <c r="U42" s="13">
        <v>0</v>
      </c>
      <c r="V42" s="14">
        <v>0</v>
      </c>
      <c r="W42" s="13">
        <v>0</v>
      </c>
      <c r="X42" s="14">
        <v>0</v>
      </c>
      <c r="Y42" s="13">
        <v>0</v>
      </c>
      <c r="Z42" s="14">
        <v>0</v>
      </c>
      <c r="AA42" s="13">
        <v>0</v>
      </c>
      <c r="AB42" s="14">
        <v>0</v>
      </c>
      <c r="AC42" s="13">
        <v>0</v>
      </c>
      <c r="AD42" s="14">
        <v>0</v>
      </c>
      <c r="AE42" s="13">
        <v>0</v>
      </c>
      <c r="AF42" s="14">
        <v>0</v>
      </c>
      <c r="AG42" s="13">
        <v>259531000</v>
      </c>
      <c r="AH42" s="14">
        <v>0</v>
      </c>
      <c r="AI42" s="13">
        <v>0</v>
      </c>
      <c r="AJ42" s="14">
        <v>0</v>
      </c>
      <c r="AK42" s="13">
        <v>0</v>
      </c>
      <c r="AL42" s="14">
        <v>159531000</v>
      </c>
      <c r="AM42" s="13">
        <v>0</v>
      </c>
      <c r="AN42" s="14">
        <v>100000000</v>
      </c>
      <c r="AO42" s="13">
        <v>0</v>
      </c>
      <c r="AP42" s="14">
        <v>0</v>
      </c>
      <c r="AQ42" s="13">
        <v>0</v>
      </c>
      <c r="AR42" s="14">
        <v>0</v>
      </c>
      <c r="AS42" s="13">
        <v>0</v>
      </c>
      <c r="AT42" s="14">
        <v>0</v>
      </c>
      <c r="AU42" s="13">
        <v>0</v>
      </c>
      <c r="AV42" s="14">
        <v>0</v>
      </c>
      <c r="AW42" s="13">
        <v>0</v>
      </c>
      <c r="AX42" s="14">
        <v>0</v>
      </c>
      <c r="AY42" s="13">
        <v>0</v>
      </c>
      <c r="AZ42" s="15">
        <v>0</v>
      </c>
      <c r="BA42" s="20">
        <v>0</v>
      </c>
      <c r="BB42" s="21">
        <v>0</v>
      </c>
      <c r="BC42" s="20">
        <v>0</v>
      </c>
      <c r="BD42" s="21">
        <v>0</v>
      </c>
    </row>
    <row r="43" spans="1:56" ht="12" customHeight="1">
      <c r="A43" s="7">
        <v>40</v>
      </c>
      <c r="B43" s="8">
        <v>10040545</v>
      </c>
      <c r="C43" s="24" t="s">
        <v>104</v>
      </c>
      <c r="D43" s="19">
        <v>251823000</v>
      </c>
      <c r="E43" s="10">
        <f t="shared" si="0"/>
        <v>6995083.333333333</v>
      </c>
      <c r="F43" s="8" t="s">
        <v>31</v>
      </c>
      <c r="G43" s="8">
        <v>30</v>
      </c>
      <c r="H43" s="35" t="s">
        <v>105</v>
      </c>
      <c r="I43" s="11" t="s">
        <v>448</v>
      </c>
      <c r="J43" s="9">
        <f t="shared" si="2"/>
        <v>107609000.7</v>
      </c>
      <c r="K43" s="9">
        <f t="shared" si="3"/>
        <v>100438464</v>
      </c>
      <c r="L43" s="12">
        <f t="shared" si="1"/>
        <v>0.93336489835092384</v>
      </c>
      <c r="M43" s="13">
        <v>0</v>
      </c>
      <c r="N43" s="14">
        <v>0</v>
      </c>
      <c r="O43" s="13">
        <v>0</v>
      </c>
      <c r="P43" s="14">
        <v>0</v>
      </c>
      <c r="Q43" s="13">
        <v>0</v>
      </c>
      <c r="R43" s="14">
        <v>0</v>
      </c>
      <c r="S43" s="13">
        <v>0</v>
      </c>
      <c r="T43" s="14">
        <v>0</v>
      </c>
      <c r="U43" s="13">
        <v>0</v>
      </c>
      <c r="V43" s="14">
        <v>0</v>
      </c>
      <c r="W43" s="13">
        <v>0</v>
      </c>
      <c r="X43" s="14">
        <v>0</v>
      </c>
      <c r="Y43" s="13">
        <v>0</v>
      </c>
      <c r="Z43" s="14">
        <v>0</v>
      </c>
      <c r="AA43" s="13">
        <v>0</v>
      </c>
      <c r="AB43" s="14">
        <v>0</v>
      </c>
      <c r="AC43" s="13">
        <v>0</v>
      </c>
      <c r="AD43" s="14">
        <v>0</v>
      </c>
      <c r="AE43" s="13">
        <v>0</v>
      </c>
      <c r="AF43" s="14">
        <v>0</v>
      </c>
      <c r="AG43" s="13">
        <v>6567000</v>
      </c>
      <c r="AH43" s="14">
        <v>0</v>
      </c>
      <c r="AI43" s="13">
        <v>11123000</v>
      </c>
      <c r="AJ43" s="14">
        <v>6567000</v>
      </c>
      <c r="AK43" s="13">
        <v>10490000</v>
      </c>
      <c r="AL43" s="14">
        <v>11123000</v>
      </c>
      <c r="AM43" s="13">
        <v>9615999.8000000007</v>
      </c>
      <c r="AN43" s="14">
        <v>10490000</v>
      </c>
      <c r="AO43" s="13">
        <v>8770999.5999999996</v>
      </c>
      <c r="AP43" s="14">
        <v>9616000</v>
      </c>
      <c r="AQ43" s="13">
        <v>8019999.9000000004</v>
      </c>
      <c r="AR43" s="14">
        <v>8771000</v>
      </c>
      <c r="AS43" s="13">
        <v>10885000.5</v>
      </c>
      <c r="AT43" s="14">
        <v>8020000</v>
      </c>
      <c r="AU43" s="13">
        <v>10085000.199999999</v>
      </c>
      <c r="AV43" s="14">
        <v>11132464</v>
      </c>
      <c r="AW43" s="13">
        <v>7585000.5</v>
      </c>
      <c r="AX43" s="14">
        <v>10085000</v>
      </c>
      <c r="AY43" s="13">
        <v>8259000.2000000002</v>
      </c>
      <c r="AZ43" s="15">
        <v>7585000</v>
      </c>
      <c r="BA43" s="20">
        <v>8790000</v>
      </c>
      <c r="BB43" s="21">
        <v>8259000</v>
      </c>
      <c r="BC43" s="20">
        <v>7418000</v>
      </c>
      <c r="BD43" s="21">
        <v>8790000</v>
      </c>
    </row>
    <row r="44" spans="1:56" ht="12" customHeight="1">
      <c r="A44" s="7">
        <v>41</v>
      </c>
      <c r="B44" s="8">
        <v>10033733</v>
      </c>
      <c r="C44" s="24" t="s">
        <v>499</v>
      </c>
      <c r="D44" s="19">
        <v>190000000</v>
      </c>
      <c r="E44" s="10">
        <f t="shared" si="0"/>
        <v>5277777.777777778</v>
      </c>
      <c r="F44" s="8" t="s">
        <v>49</v>
      </c>
      <c r="G44" s="8">
        <v>30</v>
      </c>
      <c r="H44" s="35" t="s">
        <v>106</v>
      </c>
      <c r="I44" s="11">
        <v>0</v>
      </c>
      <c r="J44" s="9">
        <f t="shared" si="2"/>
        <v>190000000</v>
      </c>
      <c r="K44" s="9">
        <f t="shared" si="3"/>
        <v>190000000</v>
      </c>
      <c r="L44" s="12">
        <f t="shared" si="1"/>
        <v>1</v>
      </c>
      <c r="M44" s="13">
        <v>0</v>
      </c>
      <c r="N44" s="14">
        <v>0</v>
      </c>
      <c r="O44" s="13">
        <v>0</v>
      </c>
      <c r="P44" s="14">
        <v>0</v>
      </c>
      <c r="Q44" s="13">
        <v>0</v>
      </c>
      <c r="R44" s="14">
        <v>0</v>
      </c>
      <c r="S44" s="13">
        <v>0</v>
      </c>
      <c r="T44" s="14">
        <v>0</v>
      </c>
      <c r="U44" s="13">
        <v>0</v>
      </c>
      <c r="V44" s="14">
        <v>0</v>
      </c>
      <c r="W44" s="13">
        <v>190000000</v>
      </c>
      <c r="X44" s="14">
        <v>0</v>
      </c>
      <c r="Y44" s="13">
        <v>0</v>
      </c>
      <c r="Z44" s="14">
        <v>0</v>
      </c>
      <c r="AA44" s="13">
        <v>0</v>
      </c>
      <c r="AB44" s="14">
        <v>0</v>
      </c>
      <c r="AC44" s="13">
        <v>0</v>
      </c>
      <c r="AD44" s="14">
        <v>0</v>
      </c>
      <c r="AE44" s="13">
        <v>0</v>
      </c>
      <c r="AF44" s="14">
        <v>0</v>
      </c>
      <c r="AG44" s="13">
        <v>0</v>
      </c>
      <c r="AH44" s="14">
        <v>20000000</v>
      </c>
      <c r="AI44" s="13">
        <v>0</v>
      </c>
      <c r="AJ44" s="14">
        <v>50000000</v>
      </c>
      <c r="AK44" s="13">
        <v>0</v>
      </c>
      <c r="AL44" s="14">
        <v>50000000</v>
      </c>
      <c r="AM44" s="13">
        <v>0</v>
      </c>
      <c r="AN44" s="14">
        <v>50000000</v>
      </c>
      <c r="AO44" s="13">
        <v>0</v>
      </c>
      <c r="AP44" s="14">
        <v>20000000</v>
      </c>
      <c r="AQ44" s="13">
        <v>0</v>
      </c>
      <c r="AR44" s="14">
        <v>0</v>
      </c>
      <c r="AS44" s="13">
        <v>0</v>
      </c>
      <c r="AT44" s="14">
        <v>0</v>
      </c>
      <c r="AU44" s="13">
        <v>0</v>
      </c>
      <c r="AV44" s="14">
        <v>0</v>
      </c>
      <c r="AW44" s="13">
        <v>0</v>
      </c>
      <c r="AX44" s="14">
        <v>0</v>
      </c>
      <c r="AY44" s="13">
        <v>0</v>
      </c>
      <c r="AZ44" s="15">
        <v>0</v>
      </c>
      <c r="BA44" s="20">
        <v>0</v>
      </c>
      <c r="BB44" s="21">
        <v>0</v>
      </c>
      <c r="BC44" s="20">
        <v>0</v>
      </c>
      <c r="BD44" s="21">
        <v>0</v>
      </c>
    </row>
    <row r="45" spans="1:56" ht="12" customHeight="1">
      <c r="A45" s="7">
        <v>42</v>
      </c>
      <c r="B45" s="8">
        <v>10039216</v>
      </c>
      <c r="C45" s="24" t="s">
        <v>107</v>
      </c>
      <c r="D45" s="19">
        <v>164163000</v>
      </c>
      <c r="E45" s="10">
        <f t="shared" si="0"/>
        <v>4560083.333333333</v>
      </c>
      <c r="F45" s="8" t="s">
        <v>67</v>
      </c>
      <c r="G45" s="8">
        <v>20</v>
      </c>
      <c r="H45" s="35" t="s">
        <v>108</v>
      </c>
      <c r="I45" s="11" t="s">
        <v>500</v>
      </c>
      <c r="J45" s="9">
        <f t="shared" si="2"/>
        <v>164163000</v>
      </c>
      <c r="K45" s="9">
        <f t="shared" si="3"/>
        <v>164163000</v>
      </c>
      <c r="L45" s="12">
        <f t="shared" si="1"/>
        <v>1</v>
      </c>
      <c r="M45" s="13">
        <v>0</v>
      </c>
      <c r="N45" s="14">
        <v>0</v>
      </c>
      <c r="O45" s="13">
        <v>0</v>
      </c>
      <c r="P45" s="14">
        <v>0</v>
      </c>
      <c r="Q45" s="13">
        <v>0</v>
      </c>
      <c r="R45" s="14">
        <v>0</v>
      </c>
      <c r="S45" s="13">
        <v>0</v>
      </c>
      <c r="T45" s="14">
        <v>0</v>
      </c>
      <c r="U45" s="13">
        <v>0</v>
      </c>
      <c r="V45" s="14">
        <v>0</v>
      </c>
      <c r="W45" s="13">
        <v>0</v>
      </c>
      <c r="X45" s="14">
        <v>0</v>
      </c>
      <c r="Y45" s="13">
        <v>164163000</v>
      </c>
      <c r="Z45" s="14">
        <v>0</v>
      </c>
      <c r="AA45" s="13">
        <v>0</v>
      </c>
      <c r="AB45" s="14">
        <v>0</v>
      </c>
      <c r="AC45" s="13">
        <v>0</v>
      </c>
      <c r="AD45" s="14">
        <v>0</v>
      </c>
      <c r="AE45" s="13">
        <v>0</v>
      </c>
      <c r="AF45" s="14">
        <v>27360500</v>
      </c>
      <c r="AG45" s="13">
        <v>0</v>
      </c>
      <c r="AH45" s="14">
        <v>27360500</v>
      </c>
      <c r="AI45" s="13">
        <v>0</v>
      </c>
      <c r="AJ45" s="14">
        <v>27360500</v>
      </c>
      <c r="AK45" s="13">
        <v>0</v>
      </c>
      <c r="AL45" s="14">
        <v>27360500</v>
      </c>
      <c r="AM45" s="13">
        <v>0</v>
      </c>
      <c r="AN45" s="14">
        <v>54721000</v>
      </c>
      <c r="AO45" s="13">
        <v>0</v>
      </c>
      <c r="AP45" s="14">
        <v>0</v>
      </c>
      <c r="AQ45" s="13">
        <v>0</v>
      </c>
      <c r="AR45" s="14">
        <v>0</v>
      </c>
      <c r="AS45" s="13">
        <v>0</v>
      </c>
      <c r="AT45" s="14">
        <v>0</v>
      </c>
      <c r="AU45" s="13">
        <v>0</v>
      </c>
      <c r="AV45" s="14">
        <v>0</v>
      </c>
      <c r="AW45" s="13">
        <v>0</v>
      </c>
      <c r="AX45" s="14">
        <v>0</v>
      </c>
      <c r="AY45" s="13">
        <v>0</v>
      </c>
      <c r="AZ45" s="15">
        <v>0</v>
      </c>
      <c r="BA45" s="20">
        <v>0</v>
      </c>
      <c r="BB45" s="21">
        <v>0</v>
      </c>
      <c r="BC45" s="20">
        <v>0</v>
      </c>
      <c r="BD45" s="21">
        <v>0</v>
      </c>
    </row>
    <row r="46" spans="1:56" ht="12" customHeight="1">
      <c r="A46" s="7">
        <v>43</v>
      </c>
      <c r="B46" s="8">
        <v>10037883</v>
      </c>
      <c r="C46" s="24" t="s">
        <v>109</v>
      </c>
      <c r="D46" s="19">
        <v>936980000</v>
      </c>
      <c r="E46" s="10">
        <f t="shared" si="0"/>
        <v>26027222.222222224</v>
      </c>
      <c r="F46" s="8" t="s">
        <v>31</v>
      </c>
      <c r="G46" s="8">
        <v>150</v>
      </c>
      <c r="H46" s="35" t="s">
        <v>100</v>
      </c>
      <c r="I46" s="11" t="s">
        <v>448</v>
      </c>
      <c r="J46" s="9">
        <f t="shared" si="2"/>
        <v>339951001</v>
      </c>
      <c r="K46" s="9">
        <f t="shared" si="3"/>
        <v>319026000</v>
      </c>
      <c r="L46" s="12">
        <f t="shared" si="1"/>
        <v>0.93844700872053033</v>
      </c>
      <c r="M46" s="13">
        <v>0</v>
      </c>
      <c r="N46" s="14">
        <v>0</v>
      </c>
      <c r="O46" s="13">
        <v>0</v>
      </c>
      <c r="P46" s="14">
        <v>0</v>
      </c>
      <c r="Q46" s="13">
        <v>0</v>
      </c>
      <c r="R46" s="14">
        <v>0</v>
      </c>
      <c r="S46" s="13">
        <v>0</v>
      </c>
      <c r="T46" s="14">
        <v>0</v>
      </c>
      <c r="U46" s="13">
        <v>0</v>
      </c>
      <c r="V46" s="14">
        <v>0</v>
      </c>
      <c r="W46" s="13">
        <v>0</v>
      </c>
      <c r="X46" s="14">
        <v>0</v>
      </c>
      <c r="Y46" s="13">
        <v>0</v>
      </c>
      <c r="Z46" s="14">
        <v>0</v>
      </c>
      <c r="AA46" s="13">
        <v>0</v>
      </c>
      <c r="AB46" s="14">
        <v>0</v>
      </c>
      <c r="AC46" s="13">
        <v>0</v>
      </c>
      <c r="AD46" s="14">
        <v>0</v>
      </c>
      <c r="AE46" s="13">
        <v>0</v>
      </c>
      <c r="AF46" s="14">
        <v>0</v>
      </c>
      <c r="AG46" s="13">
        <v>25390000</v>
      </c>
      <c r="AH46" s="14">
        <v>0</v>
      </c>
      <c r="AI46" s="13">
        <v>32179000</v>
      </c>
      <c r="AJ46" s="14">
        <v>25390000</v>
      </c>
      <c r="AK46" s="13">
        <v>28493000</v>
      </c>
      <c r="AL46" s="14">
        <v>32179000</v>
      </c>
      <c r="AM46" s="13">
        <v>39226000</v>
      </c>
      <c r="AN46" s="14">
        <v>28493000</v>
      </c>
      <c r="AO46" s="13">
        <v>36938999.899999999</v>
      </c>
      <c r="AP46" s="14">
        <v>39226000</v>
      </c>
      <c r="AQ46" s="13">
        <v>29843000</v>
      </c>
      <c r="AR46" s="14">
        <v>36939000</v>
      </c>
      <c r="AS46" s="13">
        <v>36473000.299999997</v>
      </c>
      <c r="AT46" s="14">
        <v>29843000</v>
      </c>
      <c r="AU46" s="13">
        <v>24317000.399999999</v>
      </c>
      <c r="AV46" s="14">
        <v>36473000</v>
      </c>
      <c r="AW46" s="13">
        <v>24737000.199999999</v>
      </c>
      <c r="AX46" s="14">
        <v>24317000</v>
      </c>
      <c r="AY46" s="13">
        <v>20447000.199999999</v>
      </c>
      <c r="AZ46" s="15">
        <v>24737000</v>
      </c>
      <c r="BA46" s="20">
        <v>20982000</v>
      </c>
      <c r="BB46" s="21">
        <v>20982000</v>
      </c>
      <c r="BC46" s="20">
        <v>20925000</v>
      </c>
      <c r="BD46" s="21">
        <v>20447000</v>
      </c>
    </row>
    <row r="47" spans="1:56" ht="12" customHeight="1">
      <c r="A47" s="7">
        <v>44</v>
      </c>
      <c r="B47" s="8">
        <v>10036633</v>
      </c>
      <c r="C47" s="24" t="s">
        <v>110</v>
      </c>
      <c r="D47" s="19">
        <v>611986000</v>
      </c>
      <c r="E47" s="10">
        <f t="shared" si="0"/>
        <v>16999611.111111112</v>
      </c>
      <c r="F47" s="8" t="s">
        <v>31</v>
      </c>
      <c r="G47" s="8">
        <v>100</v>
      </c>
      <c r="H47" s="35" t="s">
        <v>98</v>
      </c>
      <c r="I47" s="11" t="s">
        <v>448</v>
      </c>
      <c r="J47" s="9">
        <f t="shared" si="2"/>
        <v>189622999.59999996</v>
      </c>
      <c r="K47" s="9">
        <f t="shared" si="3"/>
        <v>169647000</v>
      </c>
      <c r="L47" s="12">
        <f t="shared" si="1"/>
        <v>0.89465413139683314</v>
      </c>
      <c r="M47" s="13">
        <v>0</v>
      </c>
      <c r="N47" s="14">
        <v>0</v>
      </c>
      <c r="O47" s="13">
        <v>0</v>
      </c>
      <c r="P47" s="14">
        <v>0</v>
      </c>
      <c r="Q47" s="13">
        <v>0</v>
      </c>
      <c r="R47" s="14">
        <v>0</v>
      </c>
      <c r="S47" s="13">
        <v>0</v>
      </c>
      <c r="T47" s="14">
        <v>0</v>
      </c>
      <c r="U47" s="13">
        <v>0</v>
      </c>
      <c r="V47" s="14">
        <v>0</v>
      </c>
      <c r="W47" s="13">
        <v>0</v>
      </c>
      <c r="X47" s="14">
        <v>0</v>
      </c>
      <c r="Y47" s="13">
        <v>0</v>
      </c>
      <c r="Z47" s="14">
        <v>0</v>
      </c>
      <c r="AA47" s="13">
        <v>0</v>
      </c>
      <c r="AB47" s="14">
        <v>0</v>
      </c>
      <c r="AC47" s="13">
        <v>4505000</v>
      </c>
      <c r="AD47" s="14">
        <v>0</v>
      </c>
      <c r="AE47" s="13">
        <v>20613000</v>
      </c>
      <c r="AF47" s="14">
        <v>4505000</v>
      </c>
      <c r="AG47" s="13">
        <v>16273000</v>
      </c>
      <c r="AH47" s="14">
        <v>10613000</v>
      </c>
      <c r="AI47" s="13">
        <v>20004000</v>
      </c>
      <c r="AJ47" s="14">
        <v>10000000</v>
      </c>
      <c r="AK47" s="13">
        <v>23364000</v>
      </c>
      <c r="AL47" s="14">
        <v>36277000</v>
      </c>
      <c r="AM47" s="13">
        <v>21445000.5</v>
      </c>
      <c r="AN47" s="14">
        <v>10000000</v>
      </c>
      <c r="AO47" s="13">
        <v>13562000.1</v>
      </c>
      <c r="AP47" s="14">
        <v>18364000</v>
      </c>
      <c r="AQ47" s="13">
        <v>12345999.6</v>
      </c>
      <c r="AR47" s="14">
        <v>21897000</v>
      </c>
      <c r="AS47" s="13">
        <v>8754000.1999999993</v>
      </c>
      <c r="AT47" s="14">
        <v>15276000</v>
      </c>
      <c r="AU47" s="13">
        <v>7634999.9000000004</v>
      </c>
      <c r="AV47" s="14">
        <v>9000000</v>
      </c>
      <c r="AW47" s="13">
        <v>9573999.5999999996</v>
      </c>
      <c r="AX47" s="14">
        <v>8934000</v>
      </c>
      <c r="AY47" s="13">
        <v>8571999.6999999993</v>
      </c>
      <c r="AZ47" s="15">
        <v>8209000</v>
      </c>
      <c r="BA47" s="20">
        <v>11705000</v>
      </c>
      <c r="BB47" s="21">
        <v>13572000</v>
      </c>
      <c r="BC47" s="20">
        <v>11271000</v>
      </c>
      <c r="BD47" s="21">
        <v>3000000</v>
      </c>
    </row>
    <row r="48" spans="1:56" ht="12" customHeight="1">
      <c r="A48" s="7">
        <v>45</v>
      </c>
      <c r="B48" s="8">
        <v>10070268</v>
      </c>
      <c r="C48" s="24" t="s">
        <v>111</v>
      </c>
      <c r="D48" s="19">
        <v>632326000</v>
      </c>
      <c r="E48" s="10">
        <f t="shared" si="0"/>
        <v>17564611.111111112</v>
      </c>
      <c r="F48" s="8" t="s">
        <v>31</v>
      </c>
      <c r="G48" s="8">
        <v>110</v>
      </c>
      <c r="H48" s="35" t="s">
        <v>56</v>
      </c>
      <c r="I48" s="11" t="s">
        <v>448</v>
      </c>
      <c r="J48" s="9">
        <f t="shared" si="2"/>
        <v>168896000.19999999</v>
      </c>
      <c r="K48" s="9">
        <f t="shared" si="3"/>
        <v>153472000</v>
      </c>
      <c r="L48" s="12">
        <f t="shared" si="1"/>
        <v>0.90867752829116444</v>
      </c>
      <c r="M48" s="13">
        <v>0</v>
      </c>
      <c r="N48" s="14">
        <v>0</v>
      </c>
      <c r="O48" s="13">
        <v>0</v>
      </c>
      <c r="P48" s="14">
        <v>0</v>
      </c>
      <c r="Q48" s="13">
        <v>0</v>
      </c>
      <c r="R48" s="14">
        <v>0</v>
      </c>
      <c r="S48" s="13">
        <v>0</v>
      </c>
      <c r="T48" s="14">
        <v>0</v>
      </c>
      <c r="U48" s="13">
        <v>0</v>
      </c>
      <c r="V48" s="14">
        <v>0</v>
      </c>
      <c r="W48" s="13">
        <v>0</v>
      </c>
      <c r="X48" s="14">
        <v>0</v>
      </c>
      <c r="Y48" s="13">
        <v>0</v>
      </c>
      <c r="Z48" s="14">
        <v>0</v>
      </c>
      <c r="AA48" s="13">
        <v>0</v>
      </c>
      <c r="AB48" s="14">
        <v>0</v>
      </c>
      <c r="AC48" s="13">
        <v>0</v>
      </c>
      <c r="AD48" s="14">
        <v>0</v>
      </c>
      <c r="AE48" s="13">
        <v>8893000</v>
      </c>
      <c r="AF48" s="14">
        <v>0</v>
      </c>
      <c r="AG48" s="13">
        <v>10776000</v>
      </c>
      <c r="AH48" s="14">
        <v>8893000</v>
      </c>
      <c r="AI48" s="13">
        <v>12637000</v>
      </c>
      <c r="AJ48" s="14">
        <v>10776000</v>
      </c>
      <c r="AK48" s="13">
        <v>11348000</v>
      </c>
      <c r="AL48" s="14">
        <v>12637000</v>
      </c>
      <c r="AM48" s="13">
        <v>12920000.5</v>
      </c>
      <c r="AN48" s="14">
        <v>11348000</v>
      </c>
      <c r="AO48" s="13">
        <v>11737999.9</v>
      </c>
      <c r="AP48" s="14">
        <v>12920000</v>
      </c>
      <c r="AQ48" s="13">
        <v>11267999.6</v>
      </c>
      <c r="AR48" s="14">
        <v>11738000</v>
      </c>
      <c r="AS48" s="13">
        <v>12484000.1</v>
      </c>
      <c r="AT48" s="14">
        <v>11268000</v>
      </c>
      <c r="AU48" s="13">
        <v>12318000.199999999</v>
      </c>
      <c r="AV48" s="14">
        <v>12484000</v>
      </c>
      <c r="AW48" s="13">
        <v>13783000</v>
      </c>
      <c r="AX48" s="14">
        <v>12318000</v>
      </c>
      <c r="AY48" s="13">
        <v>16247999.9</v>
      </c>
      <c r="AZ48" s="15">
        <v>13783000</v>
      </c>
      <c r="BA48" s="20">
        <v>19059000</v>
      </c>
      <c r="BB48" s="21">
        <v>16248000.000000002</v>
      </c>
      <c r="BC48" s="20">
        <v>15424000</v>
      </c>
      <c r="BD48" s="21">
        <v>19059000</v>
      </c>
    </row>
    <row r="49" spans="1:56" ht="12" customHeight="1">
      <c r="A49" s="7">
        <v>46</v>
      </c>
      <c r="B49" s="8">
        <v>10032935</v>
      </c>
      <c r="C49" s="24" t="s">
        <v>112</v>
      </c>
      <c r="D49" s="19">
        <v>1141151000</v>
      </c>
      <c r="E49" s="10">
        <f t="shared" si="0"/>
        <v>31698638.888888888</v>
      </c>
      <c r="F49" s="8" t="s">
        <v>31</v>
      </c>
      <c r="G49" s="8">
        <v>169</v>
      </c>
      <c r="H49" s="35" t="s">
        <v>54</v>
      </c>
      <c r="I49" s="11" t="s">
        <v>448</v>
      </c>
      <c r="J49" s="9">
        <f t="shared" si="2"/>
        <v>473302999.79999995</v>
      </c>
      <c r="K49" s="9">
        <f t="shared" si="3"/>
        <v>404855000</v>
      </c>
      <c r="L49" s="12">
        <f t="shared" si="1"/>
        <v>0.85538228190203003</v>
      </c>
      <c r="M49" s="13">
        <v>0</v>
      </c>
      <c r="N49" s="14">
        <v>0</v>
      </c>
      <c r="O49" s="13">
        <v>0</v>
      </c>
      <c r="P49" s="14">
        <v>0</v>
      </c>
      <c r="Q49" s="13">
        <v>0</v>
      </c>
      <c r="R49" s="14">
        <v>0</v>
      </c>
      <c r="S49" s="13">
        <v>0</v>
      </c>
      <c r="T49" s="14">
        <v>0</v>
      </c>
      <c r="U49" s="13">
        <v>0</v>
      </c>
      <c r="V49" s="14">
        <v>0</v>
      </c>
      <c r="W49" s="13">
        <v>0</v>
      </c>
      <c r="X49" s="14">
        <v>0</v>
      </c>
      <c r="Y49" s="13">
        <v>0</v>
      </c>
      <c r="Z49" s="14">
        <v>0</v>
      </c>
      <c r="AA49" s="13">
        <v>0</v>
      </c>
      <c r="AB49" s="14">
        <v>0</v>
      </c>
      <c r="AC49" s="13">
        <v>0</v>
      </c>
      <c r="AD49" s="14">
        <v>0</v>
      </c>
      <c r="AE49" s="13">
        <v>52158000</v>
      </c>
      <c r="AF49" s="14">
        <v>0</v>
      </c>
      <c r="AG49" s="13">
        <v>45991000</v>
      </c>
      <c r="AH49" s="14">
        <v>52158000</v>
      </c>
      <c r="AI49" s="13">
        <v>39868000</v>
      </c>
      <c r="AJ49" s="14">
        <v>52158000</v>
      </c>
      <c r="AK49" s="13">
        <v>40104000</v>
      </c>
      <c r="AL49" s="14">
        <v>0</v>
      </c>
      <c r="AM49" s="13">
        <v>47038999.700000003</v>
      </c>
      <c r="AN49" s="14">
        <v>33701000</v>
      </c>
      <c r="AO49" s="13">
        <v>38784000.200000003</v>
      </c>
      <c r="AP49" s="14">
        <v>40104000</v>
      </c>
      <c r="AQ49" s="13">
        <v>37246000</v>
      </c>
      <c r="AR49" s="14">
        <v>47039000</v>
      </c>
      <c r="AS49" s="13">
        <v>38304999.700000003</v>
      </c>
      <c r="AT49" s="14">
        <v>38784000</v>
      </c>
      <c r="AU49" s="13">
        <v>23680000.300000001</v>
      </c>
      <c r="AV49" s="14">
        <v>37246000</v>
      </c>
      <c r="AW49" s="13">
        <v>21712000.199999999</v>
      </c>
      <c r="AX49" s="14">
        <v>38305000</v>
      </c>
      <c r="AY49" s="13">
        <v>19967999.699999999</v>
      </c>
      <c r="AZ49" s="15">
        <v>23680000</v>
      </c>
      <c r="BA49" s="20">
        <v>34368000</v>
      </c>
      <c r="BB49" s="21">
        <v>21712000</v>
      </c>
      <c r="BC49" s="20">
        <v>34080000</v>
      </c>
      <c r="BD49" s="21">
        <v>19968000</v>
      </c>
    </row>
    <row r="50" spans="1:56" ht="12" customHeight="1">
      <c r="A50" s="7" t="s">
        <v>113</v>
      </c>
      <c r="B50" s="8">
        <v>10003837</v>
      </c>
      <c r="C50" s="24" t="s">
        <v>114</v>
      </c>
      <c r="D50" s="19">
        <v>125000000</v>
      </c>
      <c r="E50" s="10">
        <f t="shared" si="0"/>
        <v>3472222.222222222</v>
      </c>
      <c r="F50" s="8" t="s">
        <v>49</v>
      </c>
      <c r="G50" s="8">
        <v>10</v>
      </c>
      <c r="H50" s="35" t="s">
        <v>115</v>
      </c>
      <c r="I50" s="11" t="s">
        <v>448</v>
      </c>
      <c r="J50" s="9">
        <f t="shared" si="2"/>
        <v>125000000</v>
      </c>
      <c r="K50" s="9">
        <f t="shared" si="3"/>
        <v>125000000</v>
      </c>
      <c r="L50" s="12">
        <f t="shared" si="1"/>
        <v>1</v>
      </c>
      <c r="M50" s="13">
        <v>0</v>
      </c>
      <c r="N50" s="14">
        <v>0</v>
      </c>
      <c r="O50" s="13">
        <v>0</v>
      </c>
      <c r="P50" s="14">
        <v>0</v>
      </c>
      <c r="Q50" s="13">
        <v>0</v>
      </c>
      <c r="R50" s="14">
        <v>0</v>
      </c>
      <c r="S50" s="13">
        <v>0</v>
      </c>
      <c r="T50" s="14">
        <v>0</v>
      </c>
      <c r="U50" s="13">
        <v>125000000</v>
      </c>
      <c r="V50" s="14">
        <v>0</v>
      </c>
      <c r="W50" s="13">
        <v>0</v>
      </c>
      <c r="X50" s="14">
        <v>0</v>
      </c>
      <c r="Y50" s="13">
        <v>0</v>
      </c>
      <c r="Z50" s="14">
        <v>0</v>
      </c>
      <c r="AA50" s="13">
        <v>0</v>
      </c>
      <c r="AB50" s="14">
        <v>0</v>
      </c>
      <c r="AC50" s="13">
        <v>0</v>
      </c>
      <c r="AD50" s="14">
        <v>0</v>
      </c>
      <c r="AE50" s="13">
        <v>0</v>
      </c>
      <c r="AF50" s="14">
        <v>125000000</v>
      </c>
      <c r="AG50" s="13">
        <v>0</v>
      </c>
      <c r="AH50" s="14">
        <v>0</v>
      </c>
      <c r="AI50" s="13">
        <v>0</v>
      </c>
      <c r="AJ50" s="14">
        <v>0</v>
      </c>
      <c r="AK50" s="13">
        <v>0</v>
      </c>
      <c r="AL50" s="14">
        <v>0</v>
      </c>
      <c r="AM50" s="13">
        <v>0</v>
      </c>
      <c r="AN50" s="14">
        <v>0</v>
      </c>
      <c r="AO50" s="13">
        <v>0</v>
      </c>
      <c r="AP50" s="14">
        <v>0</v>
      </c>
      <c r="AQ50" s="13">
        <v>0</v>
      </c>
      <c r="AR50" s="14"/>
      <c r="AS50" s="13">
        <v>0</v>
      </c>
      <c r="AT50" s="14"/>
      <c r="AU50" s="13">
        <v>0</v>
      </c>
      <c r="AV50" s="14"/>
      <c r="AW50" s="13">
        <v>0</v>
      </c>
      <c r="AX50" s="14"/>
      <c r="AY50" s="13">
        <v>0</v>
      </c>
      <c r="AZ50" s="15"/>
      <c r="BA50" s="20"/>
      <c r="BB50" s="21"/>
      <c r="BC50" s="20">
        <v>0</v>
      </c>
      <c r="BD50" s="21">
        <v>0</v>
      </c>
    </row>
    <row r="51" spans="1:56" ht="12" customHeight="1">
      <c r="A51" s="7" t="s">
        <v>116</v>
      </c>
      <c r="B51" s="8">
        <v>10003837</v>
      </c>
      <c r="C51" s="24" t="s">
        <v>114</v>
      </c>
      <c r="D51" s="19">
        <v>505204000</v>
      </c>
      <c r="E51" s="10">
        <f t="shared" si="0"/>
        <v>14033444.444444444</v>
      </c>
      <c r="F51" s="8" t="s">
        <v>31</v>
      </c>
      <c r="G51" s="8">
        <v>100</v>
      </c>
      <c r="H51" s="35" t="s">
        <v>117</v>
      </c>
      <c r="I51" s="11" t="s">
        <v>448</v>
      </c>
      <c r="J51" s="9">
        <f t="shared" si="2"/>
        <v>181167000.59999999</v>
      </c>
      <c r="K51" s="9">
        <f t="shared" si="3"/>
        <v>138800000</v>
      </c>
      <c r="L51" s="12">
        <f t="shared" si="1"/>
        <v>0.76614394199999802</v>
      </c>
      <c r="M51" s="13">
        <v>0</v>
      </c>
      <c r="N51" s="14">
        <v>0</v>
      </c>
      <c r="O51" s="13">
        <v>0</v>
      </c>
      <c r="P51" s="14">
        <v>0</v>
      </c>
      <c r="Q51" s="13">
        <v>0</v>
      </c>
      <c r="R51" s="14">
        <v>0</v>
      </c>
      <c r="S51" s="13">
        <v>0</v>
      </c>
      <c r="T51" s="14">
        <v>0</v>
      </c>
      <c r="U51" s="13">
        <v>0</v>
      </c>
      <c r="V51" s="14">
        <v>0</v>
      </c>
      <c r="W51" s="13">
        <v>0</v>
      </c>
      <c r="X51" s="14">
        <v>0</v>
      </c>
      <c r="Y51" s="13">
        <v>0</v>
      </c>
      <c r="Z51" s="14">
        <v>0</v>
      </c>
      <c r="AA51" s="13">
        <v>1204000</v>
      </c>
      <c r="AB51" s="14">
        <v>0</v>
      </c>
      <c r="AC51" s="13">
        <v>12748000</v>
      </c>
      <c r="AD51" s="14">
        <v>1204000</v>
      </c>
      <c r="AE51" s="13">
        <v>15113000</v>
      </c>
      <c r="AF51" s="14">
        <v>12748000</v>
      </c>
      <c r="AG51" s="13">
        <v>14691000</v>
      </c>
      <c r="AH51" s="14">
        <v>15113000</v>
      </c>
      <c r="AI51" s="13">
        <v>16287000</v>
      </c>
      <c r="AJ51" s="14">
        <v>14691000</v>
      </c>
      <c r="AK51" s="13">
        <v>22155000</v>
      </c>
      <c r="AL51" s="14">
        <v>0</v>
      </c>
      <c r="AM51" s="13">
        <v>23404000.399999999</v>
      </c>
      <c r="AN51" s="14">
        <v>38442000</v>
      </c>
      <c r="AO51" s="13">
        <v>33198000</v>
      </c>
      <c r="AP51" s="14">
        <v>23404000</v>
      </c>
      <c r="AQ51" s="13">
        <v>24206000.5</v>
      </c>
      <c r="AR51" s="14">
        <v>33198000</v>
      </c>
      <c r="AS51" s="13">
        <v>2925000.1</v>
      </c>
      <c r="AT51" s="14">
        <v>0</v>
      </c>
      <c r="AU51" s="13">
        <v>0</v>
      </c>
      <c r="AV51" s="14">
        <v>0</v>
      </c>
      <c r="AW51" s="13">
        <v>0</v>
      </c>
      <c r="AX51" s="14">
        <v>0</v>
      </c>
      <c r="AY51" s="13">
        <v>6999999.5999999996</v>
      </c>
      <c r="AZ51" s="15">
        <v>0</v>
      </c>
      <c r="BA51" s="20">
        <v>7000000</v>
      </c>
      <c r="BB51" s="21">
        <v>0</v>
      </c>
      <c r="BC51" s="20">
        <v>1236000</v>
      </c>
      <c r="BD51" s="21">
        <v>0</v>
      </c>
    </row>
    <row r="52" spans="1:56" ht="12" customHeight="1">
      <c r="A52" s="7" t="s">
        <v>118</v>
      </c>
      <c r="B52" s="8">
        <v>10021890</v>
      </c>
      <c r="C52" s="24" t="s">
        <v>119</v>
      </c>
      <c r="D52" s="19">
        <v>112436100</v>
      </c>
      <c r="E52" s="10">
        <f t="shared" si="0"/>
        <v>3123225</v>
      </c>
      <c r="F52" s="8" t="s">
        <v>49</v>
      </c>
      <c r="G52" s="8">
        <v>12</v>
      </c>
      <c r="H52" s="35" t="s">
        <v>120</v>
      </c>
      <c r="I52" s="11" t="s">
        <v>121</v>
      </c>
      <c r="J52" s="9">
        <f t="shared" si="2"/>
        <v>112436100</v>
      </c>
      <c r="K52" s="9">
        <f t="shared" si="3"/>
        <v>112436100</v>
      </c>
      <c r="L52" s="12">
        <f t="shared" si="1"/>
        <v>1</v>
      </c>
      <c r="M52" s="13">
        <v>112436100</v>
      </c>
      <c r="N52" s="14">
        <v>0</v>
      </c>
      <c r="O52" s="13">
        <v>0</v>
      </c>
      <c r="P52" s="14">
        <v>0</v>
      </c>
      <c r="Q52" s="13">
        <v>0</v>
      </c>
      <c r="R52" s="14">
        <v>0</v>
      </c>
      <c r="S52" s="13">
        <v>0</v>
      </c>
      <c r="T52" s="14">
        <v>0</v>
      </c>
      <c r="U52" s="13">
        <v>0</v>
      </c>
      <c r="V52" s="14">
        <v>112436100</v>
      </c>
      <c r="W52" s="13">
        <v>0</v>
      </c>
      <c r="X52" s="14">
        <v>0</v>
      </c>
      <c r="Y52" s="13">
        <v>0</v>
      </c>
      <c r="Z52" s="14">
        <v>0</v>
      </c>
      <c r="AA52" s="13">
        <v>0</v>
      </c>
      <c r="AB52" s="14">
        <v>0</v>
      </c>
      <c r="AC52" s="13">
        <v>0</v>
      </c>
      <c r="AD52" s="14">
        <v>0</v>
      </c>
      <c r="AE52" s="13">
        <v>0</v>
      </c>
      <c r="AF52" s="14">
        <v>0</v>
      </c>
      <c r="AG52" s="13">
        <v>0</v>
      </c>
      <c r="AH52" s="14">
        <v>0</v>
      </c>
      <c r="AI52" s="13">
        <v>0</v>
      </c>
      <c r="AJ52" s="14">
        <v>0</v>
      </c>
      <c r="AK52" s="13">
        <v>0</v>
      </c>
      <c r="AL52" s="14">
        <v>0</v>
      </c>
      <c r="AM52" s="13">
        <v>0</v>
      </c>
      <c r="AN52" s="14"/>
      <c r="AO52" s="13">
        <v>0</v>
      </c>
      <c r="AP52" s="14"/>
      <c r="AQ52" s="13">
        <v>0</v>
      </c>
      <c r="AR52" s="14"/>
      <c r="AS52" s="13">
        <v>0</v>
      </c>
      <c r="AT52" s="14"/>
      <c r="AU52" s="13">
        <v>0</v>
      </c>
      <c r="AV52" s="14"/>
      <c r="AW52" s="13">
        <v>0</v>
      </c>
      <c r="AX52" s="14"/>
      <c r="AY52" s="13">
        <v>0</v>
      </c>
      <c r="AZ52" s="15"/>
      <c r="BA52" s="20"/>
      <c r="BB52" s="21"/>
      <c r="BC52" s="20">
        <v>0</v>
      </c>
      <c r="BD52" s="21">
        <v>0</v>
      </c>
    </row>
    <row r="53" spans="1:56" ht="12" customHeight="1">
      <c r="A53" s="7" t="s">
        <v>122</v>
      </c>
      <c r="B53" s="8">
        <v>10021890</v>
      </c>
      <c r="C53" s="24" t="s">
        <v>119</v>
      </c>
      <c r="D53" s="19">
        <v>489469500</v>
      </c>
      <c r="E53" s="10">
        <f t="shared" si="0"/>
        <v>13596375</v>
      </c>
      <c r="F53" s="8" t="s">
        <v>31</v>
      </c>
      <c r="G53" s="8">
        <v>48</v>
      </c>
      <c r="H53" s="35" t="s">
        <v>123</v>
      </c>
      <c r="I53" s="11" t="s">
        <v>121</v>
      </c>
      <c r="J53" s="9">
        <f t="shared" si="2"/>
        <v>150391000.5</v>
      </c>
      <c r="K53" s="9">
        <f t="shared" si="3"/>
        <v>133504000</v>
      </c>
      <c r="L53" s="12">
        <f t="shared" si="1"/>
        <v>0.88771269262218921</v>
      </c>
      <c r="M53" s="13">
        <v>0</v>
      </c>
      <c r="N53" s="14">
        <v>0</v>
      </c>
      <c r="O53" s="13">
        <v>0</v>
      </c>
      <c r="P53" s="14">
        <v>0</v>
      </c>
      <c r="Q53" s="13">
        <v>0</v>
      </c>
      <c r="R53" s="14">
        <v>0</v>
      </c>
      <c r="S53" s="13">
        <v>0</v>
      </c>
      <c r="T53" s="14">
        <v>0</v>
      </c>
      <c r="U53" s="13">
        <v>0</v>
      </c>
      <c r="V53" s="14">
        <v>0</v>
      </c>
      <c r="W53" s="13">
        <v>0</v>
      </c>
      <c r="X53" s="14">
        <v>0</v>
      </c>
      <c r="Y53" s="13">
        <v>0</v>
      </c>
      <c r="Z53" s="14">
        <v>0</v>
      </c>
      <c r="AA53" s="13">
        <v>1279000</v>
      </c>
      <c r="AB53" s="14">
        <v>0</v>
      </c>
      <c r="AC53" s="13">
        <v>4617000</v>
      </c>
      <c r="AD53" s="14">
        <v>0</v>
      </c>
      <c r="AE53" s="13">
        <v>5008000</v>
      </c>
      <c r="AF53" s="14">
        <v>0</v>
      </c>
      <c r="AG53" s="13">
        <v>5709000</v>
      </c>
      <c r="AH53" s="14">
        <v>1279000</v>
      </c>
      <c r="AI53" s="13">
        <v>5098000</v>
      </c>
      <c r="AJ53" s="14">
        <v>15334000</v>
      </c>
      <c r="AK53" s="13">
        <v>4804000</v>
      </c>
      <c r="AL53" s="14">
        <v>5098000</v>
      </c>
      <c r="AM53" s="13">
        <v>4983000</v>
      </c>
      <c r="AN53" s="14">
        <v>4804000</v>
      </c>
      <c r="AO53" s="13">
        <v>8206999.9000000004</v>
      </c>
      <c r="AP53" s="14">
        <v>4983000</v>
      </c>
      <c r="AQ53" s="13">
        <v>13978000.300000001</v>
      </c>
      <c r="AR53" s="14">
        <v>8207000</v>
      </c>
      <c r="AS53" s="13">
        <v>17981000.399999999</v>
      </c>
      <c r="AT53" s="14">
        <v>13978000</v>
      </c>
      <c r="AU53" s="13">
        <v>16338999.6</v>
      </c>
      <c r="AV53" s="14">
        <v>17981000</v>
      </c>
      <c r="AW53" s="13">
        <v>14847000.300000001</v>
      </c>
      <c r="AX53" s="14">
        <v>16339000</v>
      </c>
      <c r="AY53" s="13">
        <v>14872000</v>
      </c>
      <c r="AZ53" s="15">
        <v>14847000</v>
      </c>
      <c r="BA53" s="20">
        <v>15782000</v>
      </c>
      <c r="BB53" s="21">
        <v>14872000</v>
      </c>
      <c r="BC53" s="20">
        <v>16887000</v>
      </c>
      <c r="BD53" s="21">
        <v>15782000</v>
      </c>
    </row>
    <row r="54" spans="1:56" ht="12" customHeight="1">
      <c r="A54" s="7" t="s">
        <v>124</v>
      </c>
      <c r="B54" s="8">
        <v>10031781</v>
      </c>
      <c r="C54" s="24" t="s">
        <v>501</v>
      </c>
      <c r="D54" s="19">
        <v>145000000</v>
      </c>
      <c r="E54" s="10">
        <f t="shared" si="0"/>
        <v>4027777.777777778</v>
      </c>
      <c r="F54" s="8" t="s">
        <v>67</v>
      </c>
      <c r="G54" s="8">
        <v>18</v>
      </c>
      <c r="H54" s="35" t="s">
        <v>125</v>
      </c>
      <c r="I54" s="11" t="s">
        <v>491</v>
      </c>
      <c r="J54" s="9">
        <f t="shared" si="2"/>
        <v>145000000</v>
      </c>
      <c r="K54" s="9">
        <f t="shared" si="3"/>
        <v>145000000</v>
      </c>
      <c r="L54" s="12">
        <f t="shared" si="1"/>
        <v>1</v>
      </c>
      <c r="M54" s="13">
        <v>0</v>
      </c>
      <c r="N54" s="14">
        <v>0</v>
      </c>
      <c r="O54" s="13">
        <v>0</v>
      </c>
      <c r="P54" s="14">
        <v>0</v>
      </c>
      <c r="Q54" s="13">
        <v>0</v>
      </c>
      <c r="R54" s="14">
        <v>0</v>
      </c>
      <c r="S54" s="13">
        <v>0</v>
      </c>
      <c r="T54" s="14">
        <v>0</v>
      </c>
      <c r="U54" s="13">
        <v>0</v>
      </c>
      <c r="V54" s="14">
        <v>0</v>
      </c>
      <c r="W54" s="13">
        <v>0</v>
      </c>
      <c r="X54" s="14">
        <v>0</v>
      </c>
      <c r="Y54" s="13">
        <v>0</v>
      </c>
      <c r="Z54" s="14">
        <v>0</v>
      </c>
      <c r="AA54" s="13">
        <v>0</v>
      </c>
      <c r="AB54" s="14">
        <v>0</v>
      </c>
      <c r="AC54" s="13">
        <v>145000000</v>
      </c>
      <c r="AD54" s="14">
        <v>0</v>
      </c>
      <c r="AE54" s="13">
        <v>0</v>
      </c>
      <c r="AF54" s="14">
        <v>0</v>
      </c>
      <c r="AG54" s="13">
        <v>0</v>
      </c>
      <c r="AH54" s="14">
        <v>0</v>
      </c>
      <c r="AI54" s="13">
        <v>0</v>
      </c>
      <c r="AJ54" s="14">
        <v>0</v>
      </c>
      <c r="AK54" s="13">
        <v>0</v>
      </c>
      <c r="AL54" s="14">
        <v>145000000</v>
      </c>
      <c r="AM54" s="13">
        <v>0</v>
      </c>
      <c r="AN54" s="14">
        <v>0</v>
      </c>
      <c r="AO54" s="13">
        <v>0</v>
      </c>
      <c r="AP54" s="14">
        <v>0</v>
      </c>
      <c r="AQ54" s="13">
        <v>0</v>
      </c>
      <c r="AR54" s="14">
        <v>0</v>
      </c>
      <c r="AS54" s="13">
        <v>0</v>
      </c>
      <c r="AT54" s="14">
        <v>0</v>
      </c>
      <c r="AU54" s="13">
        <v>0</v>
      </c>
      <c r="AV54" s="14">
        <v>0</v>
      </c>
      <c r="AW54" s="13">
        <v>0</v>
      </c>
      <c r="AX54" s="14">
        <v>0</v>
      </c>
      <c r="AY54" s="13">
        <v>0</v>
      </c>
      <c r="AZ54" s="15"/>
      <c r="BA54" s="20">
        <v>0</v>
      </c>
      <c r="BB54" s="21">
        <v>0</v>
      </c>
      <c r="BC54" s="20">
        <v>0</v>
      </c>
      <c r="BD54" s="21">
        <v>0</v>
      </c>
    </row>
    <row r="55" spans="1:56" ht="12" customHeight="1">
      <c r="A55" s="7" t="s">
        <v>126</v>
      </c>
      <c r="B55" s="8">
        <v>10032281</v>
      </c>
      <c r="C55" s="24" t="s">
        <v>502</v>
      </c>
      <c r="D55" s="19">
        <v>477867000</v>
      </c>
      <c r="E55" s="10">
        <f t="shared" si="0"/>
        <v>13274083.333333334</v>
      </c>
      <c r="F55" s="8" t="s">
        <v>49</v>
      </c>
      <c r="G55" s="8">
        <v>54</v>
      </c>
      <c r="H55" s="35" t="s">
        <v>127</v>
      </c>
      <c r="I55" s="11" t="s">
        <v>128</v>
      </c>
      <c r="J55" s="9">
        <f t="shared" si="2"/>
        <v>477867000</v>
      </c>
      <c r="K55" s="9">
        <f t="shared" si="3"/>
        <v>477867000</v>
      </c>
      <c r="L55" s="12">
        <f t="shared" si="1"/>
        <v>1</v>
      </c>
      <c r="M55" s="13">
        <v>0</v>
      </c>
      <c r="N55" s="14">
        <v>0</v>
      </c>
      <c r="O55" s="13">
        <v>0</v>
      </c>
      <c r="P55" s="14">
        <v>0</v>
      </c>
      <c r="Q55" s="13">
        <v>0</v>
      </c>
      <c r="R55" s="14">
        <v>0</v>
      </c>
      <c r="S55" s="13">
        <v>0</v>
      </c>
      <c r="T55" s="14">
        <v>0</v>
      </c>
      <c r="U55" s="13">
        <v>310938000</v>
      </c>
      <c r="V55" s="14">
        <v>310938000</v>
      </c>
      <c r="W55" s="13">
        <v>0</v>
      </c>
      <c r="X55" s="14">
        <v>0</v>
      </c>
      <c r="Y55" s="13">
        <v>0</v>
      </c>
      <c r="Z55" s="14">
        <v>0</v>
      </c>
      <c r="AA55" s="13">
        <v>149065000</v>
      </c>
      <c r="AB55" s="14">
        <v>0</v>
      </c>
      <c r="AC55" s="13">
        <v>17864000</v>
      </c>
      <c r="AD55" s="14">
        <v>166929000</v>
      </c>
      <c r="AE55" s="13">
        <v>0</v>
      </c>
      <c r="AF55" s="14">
        <v>0</v>
      </c>
      <c r="AG55" s="13">
        <v>0</v>
      </c>
      <c r="AH55" s="14">
        <v>0</v>
      </c>
      <c r="AI55" s="13">
        <v>0</v>
      </c>
      <c r="AJ55" s="14">
        <v>0</v>
      </c>
      <c r="AK55" s="13">
        <v>0</v>
      </c>
      <c r="AL55" s="14">
        <v>0</v>
      </c>
      <c r="AM55" s="13">
        <v>0</v>
      </c>
      <c r="AN55" s="14">
        <v>0</v>
      </c>
      <c r="AO55" s="13">
        <v>0</v>
      </c>
      <c r="AP55" s="14">
        <v>0</v>
      </c>
      <c r="AQ55" s="13">
        <v>0</v>
      </c>
      <c r="AR55" s="14">
        <v>0</v>
      </c>
      <c r="AS55" s="13">
        <v>0</v>
      </c>
      <c r="AT55" s="14">
        <v>0</v>
      </c>
      <c r="AU55" s="13">
        <v>0</v>
      </c>
      <c r="AV55" s="14">
        <v>0</v>
      </c>
      <c r="AW55" s="13">
        <v>0</v>
      </c>
      <c r="AX55" s="14">
        <v>0</v>
      </c>
      <c r="AY55" s="13">
        <v>0</v>
      </c>
      <c r="AZ55" s="15">
        <v>0</v>
      </c>
      <c r="BA55" s="20">
        <v>0</v>
      </c>
      <c r="BB55" s="21">
        <v>0</v>
      </c>
      <c r="BC55" s="20">
        <v>0</v>
      </c>
      <c r="BD55" s="21">
        <v>0</v>
      </c>
    </row>
    <row r="56" spans="1:56" ht="12" customHeight="1">
      <c r="A56" s="7" t="s">
        <v>129</v>
      </c>
      <c r="B56" s="8">
        <v>10033726</v>
      </c>
      <c r="C56" s="24" t="s">
        <v>130</v>
      </c>
      <c r="D56" s="19">
        <v>133103000</v>
      </c>
      <c r="E56" s="10">
        <f t="shared" si="0"/>
        <v>3697305.5555555555</v>
      </c>
      <c r="F56" s="8" t="s">
        <v>67</v>
      </c>
      <c r="G56" s="8">
        <v>20</v>
      </c>
      <c r="H56" s="35" t="s">
        <v>131</v>
      </c>
      <c r="I56" s="11" t="s">
        <v>448</v>
      </c>
      <c r="J56" s="9">
        <f t="shared" si="2"/>
        <v>133103000</v>
      </c>
      <c r="K56" s="9">
        <f t="shared" si="3"/>
        <v>133103000</v>
      </c>
      <c r="L56" s="12">
        <f t="shared" si="1"/>
        <v>1</v>
      </c>
      <c r="M56" s="13">
        <v>0</v>
      </c>
      <c r="N56" s="14">
        <v>0</v>
      </c>
      <c r="O56" s="13">
        <v>0</v>
      </c>
      <c r="P56" s="14">
        <v>0</v>
      </c>
      <c r="Q56" s="13">
        <v>0</v>
      </c>
      <c r="R56" s="14">
        <v>0</v>
      </c>
      <c r="S56" s="13">
        <v>0</v>
      </c>
      <c r="T56" s="14">
        <v>0</v>
      </c>
      <c r="U56" s="13">
        <v>0</v>
      </c>
      <c r="V56" s="14">
        <v>0</v>
      </c>
      <c r="W56" s="13">
        <v>133103000</v>
      </c>
      <c r="X56" s="14">
        <v>0</v>
      </c>
      <c r="Y56" s="13">
        <v>0</v>
      </c>
      <c r="Z56" s="14">
        <v>0</v>
      </c>
      <c r="AA56" s="13">
        <v>0</v>
      </c>
      <c r="AB56" s="14">
        <v>0</v>
      </c>
      <c r="AC56" s="13">
        <v>0</v>
      </c>
      <c r="AD56" s="14">
        <v>133103000</v>
      </c>
      <c r="AE56" s="13">
        <v>0</v>
      </c>
      <c r="AF56" s="14">
        <v>0</v>
      </c>
      <c r="AG56" s="13">
        <v>0</v>
      </c>
      <c r="AH56" s="14">
        <v>0</v>
      </c>
      <c r="AI56" s="13">
        <v>0</v>
      </c>
      <c r="AJ56" s="14">
        <v>0</v>
      </c>
      <c r="AK56" s="13">
        <v>0</v>
      </c>
      <c r="AL56" s="14">
        <v>0</v>
      </c>
      <c r="AM56" s="13">
        <v>0</v>
      </c>
      <c r="AN56" s="14">
        <v>0</v>
      </c>
      <c r="AO56" s="13">
        <v>0</v>
      </c>
      <c r="AP56" s="14">
        <v>0</v>
      </c>
      <c r="AQ56" s="13">
        <v>0</v>
      </c>
      <c r="AR56" s="14">
        <v>0</v>
      </c>
      <c r="AS56" s="13">
        <v>0</v>
      </c>
      <c r="AT56" s="14">
        <v>0</v>
      </c>
      <c r="AU56" s="13">
        <v>0</v>
      </c>
      <c r="AV56" s="14">
        <v>0</v>
      </c>
      <c r="AW56" s="13">
        <v>0</v>
      </c>
      <c r="AX56" s="14">
        <v>0</v>
      </c>
      <c r="AY56" s="13">
        <v>0</v>
      </c>
      <c r="AZ56" s="15">
        <v>0</v>
      </c>
      <c r="BA56" s="20">
        <v>0</v>
      </c>
      <c r="BB56" s="21">
        <v>0</v>
      </c>
      <c r="BC56" s="20">
        <v>0</v>
      </c>
      <c r="BD56" s="21">
        <v>0</v>
      </c>
    </row>
    <row r="57" spans="1:56" ht="12" customHeight="1">
      <c r="A57" s="7" t="s">
        <v>132</v>
      </c>
      <c r="B57" s="8">
        <v>10033875</v>
      </c>
      <c r="C57" s="24" t="s">
        <v>503</v>
      </c>
      <c r="D57" s="19">
        <v>965498000</v>
      </c>
      <c r="E57" s="10">
        <f t="shared" si="0"/>
        <v>26819388.888888888</v>
      </c>
      <c r="F57" s="8" t="s">
        <v>49</v>
      </c>
      <c r="G57" s="8">
        <v>172</v>
      </c>
      <c r="H57" s="35" t="s">
        <v>133</v>
      </c>
      <c r="I57" s="11" t="s">
        <v>128</v>
      </c>
      <c r="J57" s="9">
        <f t="shared" si="2"/>
        <v>965498000</v>
      </c>
      <c r="K57" s="9">
        <f t="shared" si="3"/>
        <v>965498000</v>
      </c>
      <c r="L57" s="12">
        <f t="shared" si="1"/>
        <v>1</v>
      </c>
      <c r="M57" s="13">
        <v>0</v>
      </c>
      <c r="N57" s="14">
        <v>0</v>
      </c>
      <c r="O57" s="13">
        <v>0</v>
      </c>
      <c r="P57" s="14">
        <v>0</v>
      </c>
      <c r="Q57" s="13">
        <v>0</v>
      </c>
      <c r="R57" s="14">
        <v>0</v>
      </c>
      <c r="S57" s="13">
        <v>965498000</v>
      </c>
      <c r="T57" s="14">
        <v>0</v>
      </c>
      <c r="U57" s="13">
        <v>0</v>
      </c>
      <c r="V57" s="14">
        <v>0</v>
      </c>
      <c r="W57" s="13">
        <v>0</v>
      </c>
      <c r="X57" s="14">
        <v>0</v>
      </c>
      <c r="Y57" s="13">
        <v>0</v>
      </c>
      <c r="Z57" s="14">
        <v>0</v>
      </c>
      <c r="AA57" s="13">
        <v>0</v>
      </c>
      <c r="AB57" s="14">
        <v>0</v>
      </c>
      <c r="AC57" s="13">
        <v>0</v>
      </c>
      <c r="AD57" s="14">
        <v>965498000</v>
      </c>
      <c r="AE57" s="13">
        <v>0</v>
      </c>
      <c r="AF57" s="14">
        <v>0</v>
      </c>
      <c r="AG57" s="13">
        <v>0</v>
      </c>
      <c r="AH57" s="14">
        <v>0</v>
      </c>
      <c r="AI57" s="13">
        <v>0</v>
      </c>
      <c r="AJ57" s="14">
        <v>0</v>
      </c>
      <c r="AK57" s="13">
        <v>0</v>
      </c>
      <c r="AL57" s="14">
        <v>0</v>
      </c>
      <c r="AM57" s="13">
        <v>0</v>
      </c>
      <c r="AN57" s="14">
        <v>0</v>
      </c>
      <c r="AO57" s="13">
        <v>0</v>
      </c>
      <c r="AP57" s="14">
        <v>0</v>
      </c>
      <c r="AQ57" s="13">
        <v>0</v>
      </c>
      <c r="AR57" s="14">
        <v>0</v>
      </c>
      <c r="AS57" s="13">
        <v>0</v>
      </c>
      <c r="AT57" s="14">
        <v>0</v>
      </c>
      <c r="AU57" s="13">
        <v>0</v>
      </c>
      <c r="AV57" s="14">
        <v>0</v>
      </c>
      <c r="AW57" s="13">
        <v>0</v>
      </c>
      <c r="AX57" s="14">
        <v>0</v>
      </c>
      <c r="AY57" s="13">
        <v>0</v>
      </c>
      <c r="AZ57" s="15">
        <v>0</v>
      </c>
      <c r="BA57" s="20">
        <v>0</v>
      </c>
      <c r="BB57" s="21">
        <v>0</v>
      </c>
      <c r="BC57" s="20">
        <v>0</v>
      </c>
      <c r="BD57" s="21">
        <v>0</v>
      </c>
    </row>
    <row r="58" spans="1:56" ht="12" customHeight="1">
      <c r="A58" s="7" t="s">
        <v>134</v>
      </c>
      <c r="B58" s="8">
        <v>10035467</v>
      </c>
      <c r="C58" s="24" t="s">
        <v>135</v>
      </c>
      <c r="D58" s="19">
        <v>240000000</v>
      </c>
      <c r="E58" s="10">
        <f t="shared" si="0"/>
        <v>6666666.666666667</v>
      </c>
      <c r="F58" s="8" t="s">
        <v>67</v>
      </c>
      <c r="G58" s="8">
        <v>30</v>
      </c>
      <c r="H58" s="35" t="s">
        <v>136</v>
      </c>
      <c r="I58" s="11" t="s">
        <v>504</v>
      </c>
      <c r="J58" s="9">
        <f t="shared" si="2"/>
        <v>240000000</v>
      </c>
      <c r="K58" s="9">
        <f t="shared" si="3"/>
        <v>240000000</v>
      </c>
      <c r="L58" s="12">
        <f t="shared" si="1"/>
        <v>1</v>
      </c>
      <c r="M58" s="13">
        <v>240000000</v>
      </c>
      <c r="N58" s="14">
        <v>0</v>
      </c>
      <c r="O58" s="13">
        <v>0</v>
      </c>
      <c r="P58" s="14">
        <v>0</v>
      </c>
      <c r="Q58" s="13">
        <v>0</v>
      </c>
      <c r="R58" s="14">
        <v>0</v>
      </c>
      <c r="S58" s="13">
        <v>0</v>
      </c>
      <c r="T58" s="14">
        <v>240000000</v>
      </c>
      <c r="U58" s="13">
        <v>0</v>
      </c>
      <c r="V58" s="14">
        <v>0</v>
      </c>
      <c r="W58" s="13">
        <v>0</v>
      </c>
      <c r="X58" s="14">
        <v>0</v>
      </c>
      <c r="Y58" s="13">
        <v>0</v>
      </c>
      <c r="Z58" s="14">
        <v>0</v>
      </c>
      <c r="AA58" s="13">
        <v>0</v>
      </c>
      <c r="AB58" s="14">
        <v>0</v>
      </c>
      <c r="AC58" s="13">
        <v>0</v>
      </c>
      <c r="AD58" s="14">
        <v>0</v>
      </c>
      <c r="AE58" s="13">
        <v>0</v>
      </c>
      <c r="AF58" s="14">
        <v>0</v>
      </c>
      <c r="AG58" s="13">
        <v>0</v>
      </c>
      <c r="AH58" s="14">
        <v>0</v>
      </c>
      <c r="AI58" s="13">
        <v>0</v>
      </c>
      <c r="AJ58" s="14">
        <v>0</v>
      </c>
      <c r="AK58" s="13">
        <v>0</v>
      </c>
      <c r="AL58" s="14">
        <v>0</v>
      </c>
      <c r="AM58" s="13">
        <v>0</v>
      </c>
      <c r="AN58" s="14">
        <v>0</v>
      </c>
      <c r="AO58" s="13">
        <v>0</v>
      </c>
      <c r="AP58" s="14">
        <v>0</v>
      </c>
      <c r="AQ58" s="13">
        <v>0</v>
      </c>
      <c r="AR58" s="14">
        <v>0</v>
      </c>
      <c r="AS58" s="13">
        <v>0</v>
      </c>
      <c r="AT58" s="14">
        <v>0</v>
      </c>
      <c r="AU58" s="13">
        <v>0</v>
      </c>
      <c r="AV58" s="14">
        <v>0</v>
      </c>
      <c r="AW58" s="13">
        <v>0</v>
      </c>
      <c r="AX58" s="14">
        <v>0</v>
      </c>
      <c r="AY58" s="13">
        <v>0</v>
      </c>
      <c r="AZ58" s="15">
        <v>0</v>
      </c>
      <c r="BA58" s="20">
        <v>0</v>
      </c>
      <c r="BB58" s="21">
        <v>0</v>
      </c>
      <c r="BC58" s="20">
        <v>0</v>
      </c>
      <c r="BD58" s="21">
        <v>0</v>
      </c>
    </row>
    <row r="59" spans="1:56" ht="12" customHeight="1">
      <c r="A59" s="7" t="s">
        <v>137</v>
      </c>
      <c r="B59" s="8">
        <v>10019136</v>
      </c>
      <c r="C59" s="24" t="s">
        <v>505</v>
      </c>
      <c r="D59" s="19">
        <v>98145000</v>
      </c>
      <c r="E59" s="10">
        <f t="shared" si="0"/>
        <v>2726250</v>
      </c>
      <c r="F59" s="8" t="s">
        <v>49</v>
      </c>
      <c r="G59" s="8">
        <v>12</v>
      </c>
      <c r="H59" s="35" t="s">
        <v>138</v>
      </c>
      <c r="I59" s="11" t="s">
        <v>448</v>
      </c>
      <c r="J59" s="9">
        <f t="shared" si="2"/>
        <v>98145000</v>
      </c>
      <c r="K59" s="9">
        <f t="shared" si="3"/>
        <v>98145000</v>
      </c>
      <c r="L59" s="12">
        <f t="shared" si="1"/>
        <v>1</v>
      </c>
      <c r="M59" s="13">
        <v>0</v>
      </c>
      <c r="N59" s="14">
        <v>0</v>
      </c>
      <c r="O59" s="13">
        <v>0</v>
      </c>
      <c r="P59" s="14">
        <v>0</v>
      </c>
      <c r="Q59" s="13">
        <v>0</v>
      </c>
      <c r="R59" s="14">
        <v>0</v>
      </c>
      <c r="S59" s="13">
        <v>0</v>
      </c>
      <c r="T59" s="14">
        <v>0</v>
      </c>
      <c r="U59" s="13">
        <v>0</v>
      </c>
      <c r="V59" s="14">
        <v>0</v>
      </c>
      <c r="W59" s="13">
        <v>98145000</v>
      </c>
      <c r="X59" s="14">
        <v>0</v>
      </c>
      <c r="Y59" s="13">
        <v>0</v>
      </c>
      <c r="Z59" s="14">
        <v>0</v>
      </c>
      <c r="AA59" s="13">
        <v>0</v>
      </c>
      <c r="AB59" s="14">
        <v>0</v>
      </c>
      <c r="AC59" s="13">
        <v>0</v>
      </c>
      <c r="AD59" s="14">
        <v>98145000</v>
      </c>
      <c r="AE59" s="13">
        <v>0</v>
      </c>
      <c r="AF59" s="14">
        <v>0</v>
      </c>
      <c r="AG59" s="13">
        <v>0</v>
      </c>
      <c r="AH59" s="14">
        <v>0</v>
      </c>
      <c r="AI59" s="13">
        <v>0</v>
      </c>
      <c r="AJ59" s="14">
        <v>0</v>
      </c>
      <c r="AK59" s="13">
        <v>0</v>
      </c>
      <c r="AL59" s="14">
        <v>0</v>
      </c>
      <c r="AM59" s="13">
        <v>0</v>
      </c>
      <c r="AN59" s="14">
        <v>0</v>
      </c>
      <c r="AO59" s="13">
        <v>0</v>
      </c>
      <c r="AP59" s="14">
        <v>0</v>
      </c>
      <c r="AQ59" s="13">
        <v>0</v>
      </c>
      <c r="AR59" s="14">
        <v>0</v>
      </c>
      <c r="AS59" s="13">
        <v>0</v>
      </c>
      <c r="AT59" s="14">
        <v>0</v>
      </c>
      <c r="AU59" s="13">
        <v>0</v>
      </c>
      <c r="AV59" s="14">
        <v>0</v>
      </c>
      <c r="AW59" s="13">
        <v>0</v>
      </c>
      <c r="AX59" s="14">
        <v>0</v>
      </c>
      <c r="AY59" s="13">
        <v>0</v>
      </c>
      <c r="AZ59" s="15">
        <v>0</v>
      </c>
      <c r="BA59" s="20">
        <v>0</v>
      </c>
      <c r="BB59" s="21">
        <v>0</v>
      </c>
      <c r="BC59" s="20">
        <v>0</v>
      </c>
      <c r="BD59" s="21">
        <v>0</v>
      </c>
    </row>
    <row r="60" spans="1:56" ht="12" customHeight="1">
      <c r="A60" s="7" t="s">
        <v>139</v>
      </c>
      <c r="B60" s="8">
        <v>10035639</v>
      </c>
      <c r="C60" s="24" t="s">
        <v>140</v>
      </c>
      <c r="D60" s="19">
        <v>198000000</v>
      </c>
      <c r="E60" s="10">
        <f t="shared" si="0"/>
        <v>5500000</v>
      </c>
      <c r="F60" s="8" t="s">
        <v>67</v>
      </c>
      <c r="G60" s="8">
        <v>40</v>
      </c>
      <c r="H60" s="35" t="s">
        <v>141</v>
      </c>
      <c r="I60" s="11">
        <v>0</v>
      </c>
      <c r="J60" s="9">
        <f t="shared" si="2"/>
        <v>198000000</v>
      </c>
      <c r="K60" s="9">
        <f t="shared" si="3"/>
        <v>198000000</v>
      </c>
      <c r="L60" s="12">
        <f t="shared" si="1"/>
        <v>1</v>
      </c>
      <c r="M60" s="13">
        <v>0</v>
      </c>
      <c r="N60" s="14">
        <v>0</v>
      </c>
      <c r="O60" s="13">
        <v>198000000</v>
      </c>
      <c r="P60" s="14">
        <v>0</v>
      </c>
      <c r="Q60" s="13">
        <v>0</v>
      </c>
      <c r="R60" s="14">
        <v>0</v>
      </c>
      <c r="S60" s="13">
        <v>0</v>
      </c>
      <c r="T60" s="14">
        <v>198000000</v>
      </c>
      <c r="U60" s="13">
        <v>0</v>
      </c>
      <c r="V60" s="14">
        <v>0</v>
      </c>
      <c r="W60" s="13">
        <v>0</v>
      </c>
      <c r="X60" s="14">
        <v>0</v>
      </c>
      <c r="Y60" s="13">
        <v>0</v>
      </c>
      <c r="Z60" s="14">
        <v>0</v>
      </c>
      <c r="AA60" s="13">
        <v>0</v>
      </c>
      <c r="AB60" s="14">
        <v>0</v>
      </c>
      <c r="AC60" s="13">
        <v>0</v>
      </c>
      <c r="AD60" s="14">
        <v>0</v>
      </c>
      <c r="AE60" s="13">
        <v>0</v>
      </c>
      <c r="AF60" s="14">
        <v>0</v>
      </c>
      <c r="AG60" s="13">
        <v>0</v>
      </c>
      <c r="AH60" s="14">
        <v>0</v>
      </c>
      <c r="AI60" s="13">
        <v>0</v>
      </c>
      <c r="AJ60" s="14">
        <v>0</v>
      </c>
      <c r="AK60" s="13">
        <v>0</v>
      </c>
      <c r="AL60" s="14">
        <v>0</v>
      </c>
      <c r="AM60" s="13">
        <v>0</v>
      </c>
      <c r="AN60" s="14">
        <v>0</v>
      </c>
      <c r="AO60" s="13">
        <v>0</v>
      </c>
      <c r="AP60" s="14">
        <v>0</v>
      </c>
      <c r="AQ60" s="13">
        <v>0</v>
      </c>
      <c r="AR60" s="14">
        <v>0</v>
      </c>
      <c r="AS60" s="13">
        <v>0</v>
      </c>
      <c r="AT60" s="14">
        <v>0</v>
      </c>
      <c r="AU60" s="13">
        <v>0</v>
      </c>
      <c r="AV60" s="14">
        <v>0</v>
      </c>
      <c r="AW60" s="13">
        <v>0</v>
      </c>
      <c r="AX60" s="14">
        <v>0</v>
      </c>
      <c r="AY60" s="13"/>
      <c r="AZ60" s="15">
        <v>0</v>
      </c>
      <c r="BA60" s="20"/>
      <c r="BB60" s="21"/>
      <c r="BC60" s="20">
        <v>0</v>
      </c>
      <c r="BD60" s="21">
        <v>0</v>
      </c>
    </row>
    <row r="61" spans="1:56" ht="12" customHeight="1">
      <c r="A61" s="7" t="s">
        <v>142</v>
      </c>
      <c r="B61" s="8">
        <v>10035639</v>
      </c>
      <c r="C61" s="24" t="s">
        <v>140</v>
      </c>
      <c r="D61" s="19">
        <v>654321000</v>
      </c>
      <c r="E61" s="10">
        <f t="shared" si="0"/>
        <v>18175583.333333332</v>
      </c>
      <c r="F61" s="8" t="s">
        <v>31</v>
      </c>
      <c r="G61" s="8">
        <v>121</v>
      </c>
      <c r="H61" s="35" t="s">
        <v>143</v>
      </c>
      <c r="I61" s="11">
        <v>0</v>
      </c>
      <c r="J61" s="9">
        <f t="shared" si="2"/>
        <v>16030999.5</v>
      </c>
      <c r="K61" s="9">
        <f t="shared" si="3"/>
        <v>10978000</v>
      </c>
      <c r="L61" s="12">
        <f t="shared" si="1"/>
        <v>0.68479822483931829</v>
      </c>
      <c r="M61" s="13">
        <v>0</v>
      </c>
      <c r="N61" s="14">
        <v>0</v>
      </c>
      <c r="O61" s="13"/>
      <c r="P61" s="14">
        <v>0</v>
      </c>
      <c r="Q61" s="13">
        <v>0</v>
      </c>
      <c r="R61" s="14">
        <v>0</v>
      </c>
      <c r="S61" s="13">
        <v>0</v>
      </c>
      <c r="T61" s="14"/>
      <c r="U61" s="13">
        <v>0</v>
      </c>
      <c r="V61" s="14">
        <v>0</v>
      </c>
      <c r="W61" s="13">
        <v>0</v>
      </c>
      <c r="X61" s="14">
        <v>0</v>
      </c>
      <c r="Y61" s="13">
        <v>0</v>
      </c>
      <c r="Z61" s="14">
        <v>0</v>
      </c>
      <c r="AA61" s="13">
        <v>0</v>
      </c>
      <c r="AB61" s="14">
        <v>0</v>
      </c>
      <c r="AC61" s="13">
        <v>0</v>
      </c>
      <c r="AD61" s="14">
        <v>0</v>
      </c>
      <c r="AE61" s="13">
        <v>0</v>
      </c>
      <c r="AF61" s="14">
        <v>0</v>
      </c>
      <c r="AG61" s="13">
        <v>0</v>
      </c>
      <c r="AH61" s="14">
        <v>0</v>
      </c>
      <c r="AI61" s="13">
        <v>0</v>
      </c>
      <c r="AJ61" s="14">
        <v>0</v>
      </c>
      <c r="AK61" s="13">
        <v>0</v>
      </c>
      <c r="AL61" s="14">
        <v>0</v>
      </c>
      <c r="AM61" s="13">
        <v>0</v>
      </c>
      <c r="AN61" s="14">
        <v>0</v>
      </c>
      <c r="AO61" s="13">
        <v>0</v>
      </c>
      <c r="AP61" s="14">
        <v>0</v>
      </c>
      <c r="AQ61" s="13">
        <v>0</v>
      </c>
      <c r="AR61" s="14">
        <v>0</v>
      </c>
      <c r="AS61" s="13">
        <v>0</v>
      </c>
      <c r="AT61" s="14">
        <v>0</v>
      </c>
      <c r="AU61" s="13">
        <v>0</v>
      </c>
      <c r="AV61" s="14">
        <v>0</v>
      </c>
      <c r="AW61" s="13">
        <v>0</v>
      </c>
      <c r="AX61" s="14">
        <v>0</v>
      </c>
      <c r="AY61" s="13">
        <v>4030999.5</v>
      </c>
      <c r="AZ61" s="15">
        <v>0</v>
      </c>
      <c r="BA61" s="20">
        <v>6947000</v>
      </c>
      <c r="BB61" s="21">
        <v>4030999.9999999995</v>
      </c>
      <c r="BC61" s="20">
        <v>5053000</v>
      </c>
      <c r="BD61" s="21">
        <v>6947000</v>
      </c>
    </row>
    <row r="62" spans="1:56" ht="12" customHeight="1">
      <c r="A62" s="7" t="s">
        <v>144</v>
      </c>
      <c r="B62" s="8">
        <v>10046527</v>
      </c>
      <c r="C62" s="24" t="s">
        <v>145</v>
      </c>
      <c r="D62" s="19">
        <v>531958000</v>
      </c>
      <c r="E62" s="10">
        <f t="shared" si="0"/>
        <v>14776611.111111112</v>
      </c>
      <c r="F62" s="8" t="s">
        <v>49</v>
      </c>
      <c r="G62" s="8">
        <v>52</v>
      </c>
      <c r="H62" s="35" t="s">
        <v>98</v>
      </c>
      <c r="I62" s="11" t="s">
        <v>128</v>
      </c>
      <c r="J62" s="9">
        <f t="shared" si="2"/>
        <v>312126000</v>
      </c>
      <c r="K62" s="9">
        <f t="shared" si="3"/>
        <v>312126000</v>
      </c>
      <c r="L62" s="12">
        <f t="shared" si="1"/>
        <v>1</v>
      </c>
      <c r="M62" s="13">
        <v>0</v>
      </c>
      <c r="N62" s="14">
        <v>0</v>
      </c>
      <c r="O62" s="13">
        <v>0</v>
      </c>
      <c r="P62" s="14">
        <v>0</v>
      </c>
      <c r="Q62" s="13">
        <v>0</v>
      </c>
      <c r="R62" s="14">
        <v>0</v>
      </c>
      <c r="S62" s="13">
        <v>0</v>
      </c>
      <c r="T62" s="14">
        <v>0</v>
      </c>
      <c r="U62" s="13">
        <v>0</v>
      </c>
      <c r="V62" s="14">
        <v>0</v>
      </c>
      <c r="W62" s="13">
        <v>0</v>
      </c>
      <c r="X62" s="14">
        <v>0</v>
      </c>
      <c r="Y62" s="13">
        <v>0</v>
      </c>
      <c r="Z62" s="14">
        <v>0</v>
      </c>
      <c r="AA62" s="13">
        <v>312126000</v>
      </c>
      <c r="AB62" s="14">
        <v>0</v>
      </c>
      <c r="AC62" s="13">
        <v>0</v>
      </c>
      <c r="AD62" s="14">
        <v>0</v>
      </c>
      <c r="AE62" s="13">
        <v>0</v>
      </c>
      <c r="AF62" s="14">
        <v>312126000</v>
      </c>
      <c r="AG62" s="13">
        <v>0</v>
      </c>
      <c r="AH62" s="14">
        <v>0</v>
      </c>
      <c r="AI62" s="13">
        <v>0</v>
      </c>
      <c r="AJ62" s="14">
        <v>0</v>
      </c>
      <c r="AK62" s="13">
        <v>0</v>
      </c>
      <c r="AL62" s="14">
        <v>0</v>
      </c>
      <c r="AM62" s="13">
        <v>0</v>
      </c>
      <c r="AN62" s="14">
        <v>0</v>
      </c>
      <c r="AO62" s="13">
        <v>0</v>
      </c>
      <c r="AP62" s="14">
        <v>0</v>
      </c>
      <c r="AQ62" s="13">
        <v>0</v>
      </c>
      <c r="AR62" s="14">
        <v>0</v>
      </c>
      <c r="AS62" s="13">
        <v>0</v>
      </c>
      <c r="AT62" s="14">
        <v>0</v>
      </c>
      <c r="AU62" s="13">
        <v>0</v>
      </c>
      <c r="AV62" s="14">
        <v>0</v>
      </c>
      <c r="AW62" s="13">
        <v>0</v>
      </c>
      <c r="AX62" s="14">
        <v>0</v>
      </c>
      <c r="AY62" s="13">
        <v>0</v>
      </c>
      <c r="AZ62" s="15">
        <v>0</v>
      </c>
      <c r="BA62" s="20">
        <v>0</v>
      </c>
      <c r="BB62" s="21">
        <v>0</v>
      </c>
      <c r="BC62" s="20">
        <v>0</v>
      </c>
      <c r="BD62" s="21">
        <v>0</v>
      </c>
    </row>
    <row r="63" spans="1:56" ht="12" customHeight="1">
      <c r="A63" s="7" t="s">
        <v>146</v>
      </c>
      <c r="B63" s="8">
        <v>10036735</v>
      </c>
      <c r="C63" s="24" t="s">
        <v>147</v>
      </c>
      <c r="D63" s="19">
        <v>194903000</v>
      </c>
      <c r="E63" s="10">
        <f t="shared" si="0"/>
        <v>5413972.222222222</v>
      </c>
      <c r="F63" s="8" t="s">
        <v>49</v>
      </c>
      <c r="G63" s="8">
        <v>30</v>
      </c>
      <c r="H63" s="35" t="s">
        <v>148</v>
      </c>
      <c r="I63" s="11" t="s">
        <v>121</v>
      </c>
      <c r="J63" s="9">
        <f t="shared" si="2"/>
        <v>194903000</v>
      </c>
      <c r="K63" s="9">
        <f t="shared" si="3"/>
        <v>194903000</v>
      </c>
      <c r="L63" s="12">
        <f t="shared" si="1"/>
        <v>1</v>
      </c>
      <c r="M63" s="13">
        <v>0</v>
      </c>
      <c r="N63" s="14">
        <v>0</v>
      </c>
      <c r="O63" s="13">
        <v>194903000</v>
      </c>
      <c r="P63" s="14">
        <v>0</v>
      </c>
      <c r="Q63" s="13">
        <v>0</v>
      </c>
      <c r="R63" s="14">
        <v>0</v>
      </c>
      <c r="S63" s="13">
        <v>0</v>
      </c>
      <c r="T63" s="14">
        <v>194903000</v>
      </c>
      <c r="U63" s="13">
        <v>0</v>
      </c>
      <c r="V63" s="14">
        <v>0</v>
      </c>
      <c r="W63" s="13">
        <v>0</v>
      </c>
      <c r="X63" s="14">
        <v>0</v>
      </c>
      <c r="Y63" s="13">
        <v>0</v>
      </c>
      <c r="Z63" s="14">
        <v>0</v>
      </c>
      <c r="AA63" s="13">
        <v>0</v>
      </c>
      <c r="AB63" s="14">
        <v>0</v>
      </c>
      <c r="AC63" s="13">
        <v>0</v>
      </c>
      <c r="AD63" s="14">
        <v>0</v>
      </c>
      <c r="AE63" s="13">
        <v>0</v>
      </c>
      <c r="AF63" s="14">
        <v>0</v>
      </c>
      <c r="AG63" s="13">
        <v>0</v>
      </c>
      <c r="AH63" s="14">
        <v>0</v>
      </c>
      <c r="AI63" s="13">
        <v>0</v>
      </c>
      <c r="AJ63" s="14">
        <v>0</v>
      </c>
      <c r="AK63" s="13">
        <v>0</v>
      </c>
      <c r="AL63" s="14">
        <v>0</v>
      </c>
      <c r="AM63" s="13">
        <v>0</v>
      </c>
      <c r="AN63" s="14">
        <v>0</v>
      </c>
      <c r="AO63" s="13">
        <v>0</v>
      </c>
      <c r="AP63" s="14">
        <v>0</v>
      </c>
      <c r="AQ63" s="13">
        <v>0</v>
      </c>
      <c r="AR63" s="14">
        <v>0</v>
      </c>
      <c r="AS63" s="13">
        <v>0</v>
      </c>
      <c r="AT63" s="14">
        <v>0</v>
      </c>
      <c r="AU63" s="13">
        <v>0</v>
      </c>
      <c r="AV63" s="14">
        <v>0</v>
      </c>
      <c r="AW63" s="13">
        <v>0</v>
      </c>
      <c r="AX63" s="14">
        <v>0</v>
      </c>
      <c r="AY63" s="13">
        <v>0</v>
      </c>
      <c r="AZ63" s="15">
        <v>0</v>
      </c>
      <c r="BA63" s="20">
        <v>0</v>
      </c>
      <c r="BB63" s="21">
        <v>0</v>
      </c>
      <c r="BC63" s="20">
        <v>0</v>
      </c>
      <c r="BD63" s="21">
        <v>0</v>
      </c>
    </row>
    <row r="64" spans="1:56" ht="12" customHeight="1">
      <c r="A64" s="7" t="s">
        <v>149</v>
      </c>
      <c r="B64" s="8">
        <v>10070515</v>
      </c>
      <c r="C64" s="24" t="s">
        <v>150</v>
      </c>
      <c r="D64" s="19">
        <v>146643000</v>
      </c>
      <c r="E64" s="10">
        <f t="shared" si="0"/>
        <v>4073416.6666666665</v>
      </c>
      <c r="F64" s="8" t="s">
        <v>49</v>
      </c>
      <c r="G64" s="8">
        <v>20</v>
      </c>
      <c r="H64" s="35" t="s">
        <v>151</v>
      </c>
      <c r="I64" s="11" t="s">
        <v>128</v>
      </c>
      <c r="J64" s="9">
        <f t="shared" si="2"/>
        <v>146643000</v>
      </c>
      <c r="K64" s="9">
        <f t="shared" si="3"/>
        <v>146643000</v>
      </c>
      <c r="L64" s="12">
        <f t="shared" si="1"/>
        <v>1</v>
      </c>
      <c r="M64" s="13">
        <v>0</v>
      </c>
      <c r="N64" s="14">
        <v>0</v>
      </c>
      <c r="O64" s="13">
        <v>0</v>
      </c>
      <c r="P64" s="14">
        <v>0</v>
      </c>
      <c r="Q64" s="13">
        <v>0</v>
      </c>
      <c r="R64" s="14">
        <v>0</v>
      </c>
      <c r="S64" s="13">
        <v>0</v>
      </c>
      <c r="T64" s="14">
        <v>0</v>
      </c>
      <c r="U64" s="13">
        <v>0</v>
      </c>
      <c r="V64" s="14">
        <v>0</v>
      </c>
      <c r="W64" s="13">
        <v>146643000</v>
      </c>
      <c r="X64" s="14">
        <v>0</v>
      </c>
      <c r="Y64" s="13">
        <v>0</v>
      </c>
      <c r="Z64" s="14">
        <v>0</v>
      </c>
      <c r="AA64" s="13">
        <v>0</v>
      </c>
      <c r="AB64" s="14">
        <v>0</v>
      </c>
      <c r="AC64" s="13">
        <v>0</v>
      </c>
      <c r="AD64" s="14">
        <v>146643000</v>
      </c>
      <c r="AE64" s="13">
        <v>0</v>
      </c>
      <c r="AF64" s="14">
        <v>0</v>
      </c>
      <c r="AG64" s="13">
        <v>0</v>
      </c>
      <c r="AH64" s="14">
        <v>0</v>
      </c>
      <c r="AI64" s="13">
        <v>0</v>
      </c>
      <c r="AJ64" s="14">
        <v>0</v>
      </c>
      <c r="AK64" s="13">
        <v>0</v>
      </c>
      <c r="AL64" s="14">
        <v>0</v>
      </c>
      <c r="AM64" s="13">
        <v>0</v>
      </c>
      <c r="AN64" s="14">
        <v>0</v>
      </c>
      <c r="AO64" s="13">
        <v>0</v>
      </c>
      <c r="AP64" s="14">
        <v>0</v>
      </c>
      <c r="AQ64" s="13">
        <v>0</v>
      </c>
      <c r="AR64" s="14">
        <v>0</v>
      </c>
      <c r="AS64" s="13">
        <v>0</v>
      </c>
      <c r="AT64" s="14">
        <v>0</v>
      </c>
      <c r="AU64" s="13">
        <v>0</v>
      </c>
      <c r="AV64" s="14">
        <v>0</v>
      </c>
      <c r="AW64" s="13">
        <v>0</v>
      </c>
      <c r="AX64" s="14">
        <v>0</v>
      </c>
      <c r="AY64" s="13">
        <v>0</v>
      </c>
      <c r="AZ64" s="15">
        <v>0</v>
      </c>
      <c r="BA64" s="20">
        <v>0</v>
      </c>
      <c r="BB64" s="21">
        <v>0</v>
      </c>
      <c r="BC64" s="20">
        <v>0</v>
      </c>
      <c r="BD64" s="21">
        <v>0</v>
      </c>
    </row>
    <row r="65" spans="1:56" ht="12" customHeight="1">
      <c r="A65" s="7" t="s">
        <v>152</v>
      </c>
      <c r="B65" s="8">
        <v>10037684</v>
      </c>
      <c r="C65" s="24" t="s">
        <v>506</v>
      </c>
      <c r="D65" s="19">
        <v>233953000</v>
      </c>
      <c r="E65" s="10">
        <f t="shared" si="0"/>
        <v>6498694.444444444</v>
      </c>
      <c r="F65" s="8" t="s">
        <v>49</v>
      </c>
      <c r="G65" s="8">
        <v>40</v>
      </c>
      <c r="H65" s="35" t="s">
        <v>153</v>
      </c>
      <c r="I65" s="11" t="s">
        <v>128</v>
      </c>
      <c r="J65" s="9">
        <f t="shared" si="2"/>
        <v>233953000</v>
      </c>
      <c r="K65" s="9">
        <f t="shared" si="3"/>
        <v>233953000</v>
      </c>
      <c r="L65" s="12">
        <f t="shared" si="1"/>
        <v>1</v>
      </c>
      <c r="M65" s="13">
        <v>0</v>
      </c>
      <c r="N65" s="14">
        <v>0</v>
      </c>
      <c r="O65" s="13">
        <v>0</v>
      </c>
      <c r="P65" s="14">
        <v>0</v>
      </c>
      <c r="Q65" s="13">
        <v>0</v>
      </c>
      <c r="R65" s="14">
        <v>0</v>
      </c>
      <c r="S65" s="13">
        <v>0</v>
      </c>
      <c r="T65" s="14">
        <v>0</v>
      </c>
      <c r="U65" s="13">
        <v>0</v>
      </c>
      <c r="V65" s="14">
        <v>0</v>
      </c>
      <c r="W65" s="13">
        <v>0</v>
      </c>
      <c r="X65" s="14">
        <v>0</v>
      </c>
      <c r="Y65" s="13">
        <v>0</v>
      </c>
      <c r="Z65" s="14">
        <v>0</v>
      </c>
      <c r="AA65" s="13">
        <v>0</v>
      </c>
      <c r="AB65" s="14">
        <v>0</v>
      </c>
      <c r="AC65" s="13">
        <v>233953000</v>
      </c>
      <c r="AD65" s="14">
        <v>0</v>
      </c>
      <c r="AE65" s="13">
        <v>0</v>
      </c>
      <c r="AF65" s="14">
        <v>233953000</v>
      </c>
      <c r="AG65" s="13">
        <v>0</v>
      </c>
      <c r="AH65" s="14">
        <v>0</v>
      </c>
      <c r="AI65" s="13">
        <v>0</v>
      </c>
      <c r="AJ65" s="14">
        <v>0</v>
      </c>
      <c r="AK65" s="13">
        <v>0</v>
      </c>
      <c r="AL65" s="14">
        <v>0</v>
      </c>
      <c r="AM65" s="13">
        <v>0</v>
      </c>
      <c r="AN65" s="14">
        <v>0</v>
      </c>
      <c r="AO65" s="13">
        <v>0</v>
      </c>
      <c r="AP65" s="14">
        <v>0</v>
      </c>
      <c r="AQ65" s="13">
        <v>0</v>
      </c>
      <c r="AR65" s="14">
        <v>0</v>
      </c>
      <c r="AS65" s="13">
        <v>0</v>
      </c>
      <c r="AT65" s="14">
        <v>0</v>
      </c>
      <c r="AU65" s="13">
        <v>0</v>
      </c>
      <c r="AV65" s="14">
        <v>0</v>
      </c>
      <c r="AW65" s="13">
        <v>0</v>
      </c>
      <c r="AX65" s="14">
        <v>0</v>
      </c>
      <c r="AY65" s="13">
        <v>0</v>
      </c>
      <c r="AZ65" s="15">
        <v>0</v>
      </c>
      <c r="BA65" s="20">
        <v>0</v>
      </c>
      <c r="BB65" s="21">
        <v>0</v>
      </c>
      <c r="BC65" s="20">
        <v>0</v>
      </c>
      <c r="BD65" s="21">
        <v>0</v>
      </c>
    </row>
    <row r="66" spans="1:56" ht="12" customHeight="1">
      <c r="A66" s="7" t="s">
        <v>154</v>
      </c>
      <c r="B66" s="8">
        <v>10037863</v>
      </c>
      <c r="C66" s="24" t="s">
        <v>155</v>
      </c>
      <c r="D66" s="19">
        <v>100053000</v>
      </c>
      <c r="E66" s="10">
        <f t="shared" si="0"/>
        <v>2779250</v>
      </c>
      <c r="F66" s="8" t="s">
        <v>71</v>
      </c>
      <c r="G66" s="8">
        <v>10</v>
      </c>
      <c r="H66" s="35" t="s">
        <v>156</v>
      </c>
      <c r="I66" s="11" t="s">
        <v>448</v>
      </c>
      <c r="J66" s="9">
        <f t="shared" si="2"/>
        <v>100053000</v>
      </c>
      <c r="K66" s="9">
        <f t="shared" si="3"/>
        <v>100053000</v>
      </c>
      <c r="L66" s="12">
        <f t="shared" si="1"/>
        <v>1</v>
      </c>
      <c r="M66" s="13">
        <v>0</v>
      </c>
      <c r="N66" s="14">
        <v>0</v>
      </c>
      <c r="O66" s="13">
        <v>0</v>
      </c>
      <c r="P66" s="14">
        <v>0</v>
      </c>
      <c r="Q66" s="13">
        <v>0</v>
      </c>
      <c r="R66" s="14">
        <v>0</v>
      </c>
      <c r="S66" s="13">
        <v>100053000</v>
      </c>
      <c r="T66" s="14">
        <v>0</v>
      </c>
      <c r="U66" s="13">
        <v>0</v>
      </c>
      <c r="V66" s="14">
        <v>33300000</v>
      </c>
      <c r="W66" s="13">
        <v>0</v>
      </c>
      <c r="X66" s="14">
        <v>33300000</v>
      </c>
      <c r="Y66" s="13">
        <v>0</v>
      </c>
      <c r="Z66" s="14">
        <v>33453000</v>
      </c>
      <c r="AA66" s="13">
        <v>0</v>
      </c>
      <c r="AB66" s="14">
        <v>0</v>
      </c>
      <c r="AC66" s="13">
        <v>0</v>
      </c>
      <c r="AD66" s="14">
        <v>0</v>
      </c>
      <c r="AE66" s="13">
        <v>0</v>
      </c>
      <c r="AF66" s="14">
        <v>0</v>
      </c>
      <c r="AG66" s="13">
        <v>0</v>
      </c>
      <c r="AH66" s="14">
        <v>0</v>
      </c>
      <c r="AI66" s="13">
        <v>0</v>
      </c>
      <c r="AJ66" s="14">
        <v>0</v>
      </c>
      <c r="AK66" s="13">
        <v>0</v>
      </c>
      <c r="AL66" s="14">
        <v>0</v>
      </c>
      <c r="AM66" s="13">
        <v>0</v>
      </c>
      <c r="AN66" s="14">
        <v>0</v>
      </c>
      <c r="AO66" s="13">
        <v>0</v>
      </c>
      <c r="AP66" s="14">
        <v>0</v>
      </c>
      <c r="AQ66" s="13">
        <v>0</v>
      </c>
      <c r="AR66" s="14">
        <v>0</v>
      </c>
      <c r="AS66" s="13">
        <v>0</v>
      </c>
      <c r="AT66" s="14">
        <v>0</v>
      </c>
      <c r="AU66" s="13"/>
      <c r="AV66" s="14">
        <v>0</v>
      </c>
      <c r="AW66" s="13"/>
      <c r="AX66" s="14"/>
      <c r="AY66" s="13"/>
      <c r="AZ66" s="15"/>
      <c r="BA66" s="20"/>
      <c r="BB66" s="21"/>
      <c r="BC66" s="20">
        <v>0</v>
      </c>
      <c r="BD66" s="21">
        <v>0</v>
      </c>
    </row>
    <row r="67" spans="1:56" ht="12" customHeight="1">
      <c r="A67" s="7" t="s">
        <v>157</v>
      </c>
      <c r="B67" s="8">
        <v>10037863</v>
      </c>
      <c r="C67" s="24" t="s">
        <v>155</v>
      </c>
      <c r="D67" s="19">
        <v>299145829</v>
      </c>
      <c r="E67" s="10">
        <f t="shared" si="0"/>
        <v>8309606.361111111</v>
      </c>
      <c r="F67" s="8" t="s">
        <v>31</v>
      </c>
      <c r="G67" s="8">
        <v>40</v>
      </c>
      <c r="H67" s="35" t="s">
        <v>158</v>
      </c>
      <c r="I67" s="11" t="s">
        <v>448</v>
      </c>
      <c r="J67" s="9">
        <f t="shared" si="2"/>
        <v>32441000</v>
      </c>
      <c r="K67" s="9">
        <f t="shared" si="3"/>
        <v>25831000</v>
      </c>
      <c r="L67" s="12">
        <f t="shared" si="1"/>
        <v>0.79624549181591198</v>
      </c>
      <c r="M67" s="13">
        <v>0</v>
      </c>
      <c r="N67" s="14">
        <v>0</v>
      </c>
      <c r="O67" s="13">
        <v>0</v>
      </c>
      <c r="P67" s="14">
        <v>0</v>
      </c>
      <c r="Q67" s="13">
        <v>0</v>
      </c>
      <c r="R67" s="14">
        <v>0</v>
      </c>
      <c r="S67" s="13"/>
      <c r="T67" s="14">
        <v>0</v>
      </c>
      <c r="U67" s="13">
        <v>0</v>
      </c>
      <c r="V67" s="14"/>
      <c r="W67" s="13">
        <v>0</v>
      </c>
      <c r="X67" s="14"/>
      <c r="Y67" s="13">
        <v>0</v>
      </c>
      <c r="Z67" s="14"/>
      <c r="AA67" s="13">
        <v>0</v>
      </c>
      <c r="AB67" s="14">
        <v>0</v>
      </c>
      <c r="AC67" s="13">
        <v>0</v>
      </c>
      <c r="AD67" s="14">
        <v>0</v>
      </c>
      <c r="AE67" s="13">
        <v>0</v>
      </c>
      <c r="AF67" s="14">
        <v>0</v>
      </c>
      <c r="AG67" s="13">
        <v>0</v>
      </c>
      <c r="AH67" s="14">
        <v>0</v>
      </c>
      <c r="AI67" s="13">
        <v>0</v>
      </c>
      <c r="AJ67" s="14">
        <v>0</v>
      </c>
      <c r="AK67" s="13">
        <v>0</v>
      </c>
      <c r="AL67" s="14">
        <v>0</v>
      </c>
      <c r="AM67" s="13">
        <v>0</v>
      </c>
      <c r="AN67" s="14">
        <v>0</v>
      </c>
      <c r="AO67" s="13">
        <v>0</v>
      </c>
      <c r="AP67" s="14">
        <v>0</v>
      </c>
      <c r="AQ67" s="13">
        <v>0</v>
      </c>
      <c r="AR67" s="14">
        <v>0</v>
      </c>
      <c r="AS67" s="13">
        <v>0</v>
      </c>
      <c r="AT67" s="14">
        <v>0</v>
      </c>
      <c r="AU67" s="13">
        <v>4468999.7</v>
      </c>
      <c r="AV67" s="14">
        <v>0</v>
      </c>
      <c r="AW67" s="13">
        <v>6512000</v>
      </c>
      <c r="AX67" s="14">
        <v>4469000</v>
      </c>
      <c r="AY67" s="13">
        <v>7334000.2999999998</v>
      </c>
      <c r="AZ67" s="15">
        <v>6512000</v>
      </c>
      <c r="BA67" s="20">
        <v>7516000</v>
      </c>
      <c r="BB67" s="21">
        <v>7334000</v>
      </c>
      <c r="BC67" s="20">
        <v>6610000</v>
      </c>
      <c r="BD67" s="21">
        <v>7516000</v>
      </c>
    </row>
    <row r="68" spans="1:56" ht="12" customHeight="1">
      <c r="A68" s="7" t="s">
        <v>159</v>
      </c>
      <c r="B68" s="8">
        <v>10038000</v>
      </c>
      <c r="C68" s="24" t="s">
        <v>160</v>
      </c>
      <c r="D68" s="37">
        <v>399930000</v>
      </c>
      <c r="E68" s="10">
        <f t="shared" ref="E68:E131" si="4">D68/36</f>
        <v>11109166.666666666</v>
      </c>
      <c r="F68" s="8" t="s">
        <v>67</v>
      </c>
      <c r="G68" s="36">
        <v>35</v>
      </c>
      <c r="H68" s="35" t="s">
        <v>117</v>
      </c>
      <c r="I68" s="11" t="s">
        <v>448</v>
      </c>
      <c r="J68" s="9">
        <f t="shared" si="2"/>
        <v>399930000</v>
      </c>
      <c r="K68" s="9">
        <f t="shared" si="3"/>
        <v>378150000</v>
      </c>
      <c r="L68" s="12">
        <f t="shared" ref="L68:L131" si="5">K68/J68</f>
        <v>0.94554046958217686</v>
      </c>
      <c r="M68" s="13">
        <v>0</v>
      </c>
      <c r="N68" s="14">
        <v>0</v>
      </c>
      <c r="O68" s="13">
        <v>0</v>
      </c>
      <c r="P68" s="14">
        <v>0</v>
      </c>
      <c r="Q68" s="13">
        <v>0</v>
      </c>
      <c r="R68" s="14">
        <v>0</v>
      </c>
      <c r="S68" s="13">
        <v>0</v>
      </c>
      <c r="T68" s="14">
        <v>0</v>
      </c>
      <c r="U68" s="13">
        <v>0</v>
      </c>
      <c r="V68" s="14">
        <v>0</v>
      </c>
      <c r="W68" s="13">
        <v>0</v>
      </c>
      <c r="X68" s="14">
        <v>0</v>
      </c>
      <c r="Y68" s="13">
        <v>0</v>
      </c>
      <c r="Z68" s="14">
        <v>0</v>
      </c>
      <c r="AA68" s="13">
        <v>0</v>
      </c>
      <c r="AB68" s="14">
        <v>0</v>
      </c>
      <c r="AC68" s="13">
        <v>0</v>
      </c>
      <c r="AD68" s="14">
        <v>0</v>
      </c>
      <c r="AE68" s="13">
        <v>0</v>
      </c>
      <c r="AF68" s="14">
        <v>0</v>
      </c>
      <c r="AG68" s="13">
        <v>0</v>
      </c>
      <c r="AH68" s="14">
        <v>0</v>
      </c>
      <c r="AI68" s="13">
        <v>378150000</v>
      </c>
      <c r="AJ68" s="14">
        <v>0</v>
      </c>
      <c r="AK68" s="13">
        <v>0</v>
      </c>
      <c r="AL68" s="14">
        <v>378150000</v>
      </c>
      <c r="AM68" s="13">
        <v>0</v>
      </c>
      <c r="AN68" s="14">
        <v>0</v>
      </c>
      <c r="AO68" s="13">
        <v>0</v>
      </c>
      <c r="AP68" s="14">
        <v>0</v>
      </c>
      <c r="AQ68" s="13">
        <v>0</v>
      </c>
      <c r="AR68" s="14">
        <v>0</v>
      </c>
      <c r="AS68" s="13">
        <v>0</v>
      </c>
      <c r="AT68" s="14">
        <v>0</v>
      </c>
      <c r="AU68" s="13">
        <v>0</v>
      </c>
      <c r="AV68" s="14">
        <v>0</v>
      </c>
      <c r="AW68" s="13">
        <v>0</v>
      </c>
      <c r="AX68" s="14">
        <v>0</v>
      </c>
      <c r="AY68" s="13">
        <v>0</v>
      </c>
      <c r="AZ68" s="15">
        <v>0</v>
      </c>
      <c r="BA68" s="20">
        <v>0</v>
      </c>
      <c r="BB68" s="21">
        <v>0</v>
      </c>
      <c r="BC68" s="20">
        <v>21780000</v>
      </c>
      <c r="BD68" s="21">
        <v>0</v>
      </c>
    </row>
    <row r="69" spans="1:56" ht="12" customHeight="1">
      <c r="A69" s="7" t="s">
        <v>161</v>
      </c>
      <c r="B69" s="8">
        <v>10038047</v>
      </c>
      <c r="C69" s="24" t="s">
        <v>162</v>
      </c>
      <c r="D69" s="19">
        <v>215127190</v>
      </c>
      <c r="E69" s="10">
        <f t="shared" si="4"/>
        <v>5975755.277777778</v>
      </c>
      <c r="F69" s="8" t="s">
        <v>71</v>
      </c>
      <c r="G69" s="8">
        <v>30</v>
      </c>
      <c r="H69" s="35" t="s">
        <v>163</v>
      </c>
      <c r="I69" s="11" t="s">
        <v>448</v>
      </c>
      <c r="J69" s="9">
        <f t="shared" ref="J69:J132" si="6">M69+O69+Q69+S69+U69+W69+Y69+AA69+AC69+AE69+AG69+AI69+AK69+AM69+AO69+AQ69+AS69+AU69+AW69+AY69+BA69+BC69</f>
        <v>215127190</v>
      </c>
      <c r="K69" s="9">
        <f t="shared" ref="K69:K132" si="7">N69+P69+R69+T69+V69+X69+Z69+AB69+AD69+AF69+AH69+AJ69+AL69+AN69+AP69+AR69+AT69+AV69+AX69+AZ69+BB69+BD69</f>
        <v>215127190</v>
      </c>
      <c r="L69" s="12">
        <f t="shared" si="5"/>
        <v>1</v>
      </c>
      <c r="M69" s="13">
        <v>0</v>
      </c>
      <c r="N69" s="14">
        <v>0</v>
      </c>
      <c r="O69" s="13">
        <v>0</v>
      </c>
      <c r="P69" s="14">
        <v>0</v>
      </c>
      <c r="Q69" s="13">
        <v>215127190</v>
      </c>
      <c r="R69" s="14">
        <v>0</v>
      </c>
      <c r="S69" s="13">
        <v>0</v>
      </c>
      <c r="T69" s="14">
        <v>72000000</v>
      </c>
      <c r="U69" s="13">
        <v>0</v>
      </c>
      <c r="V69" s="14">
        <v>72000000</v>
      </c>
      <c r="W69" s="13">
        <v>0</v>
      </c>
      <c r="X69" s="14">
        <v>71127190</v>
      </c>
      <c r="Y69" s="13">
        <v>0</v>
      </c>
      <c r="Z69" s="14">
        <v>0</v>
      </c>
      <c r="AA69" s="13">
        <v>0</v>
      </c>
      <c r="AB69" s="14">
        <v>0</v>
      </c>
      <c r="AC69" s="13">
        <v>0</v>
      </c>
      <c r="AD69" s="14">
        <v>0</v>
      </c>
      <c r="AE69" s="13">
        <v>0</v>
      </c>
      <c r="AF69" s="14">
        <v>0</v>
      </c>
      <c r="AG69" s="13">
        <v>0</v>
      </c>
      <c r="AH69" s="14">
        <v>0</v>
      </c>
      <c r="AI69" s="13">
        <v>0</v>
      </c>
      <c r="AJ69" s="14">
        <v>0</v>
      </c>
      <c r="AK69" s="13">
        <v>0</v>
      </c>
      <c r="AL69" s="14">
        <v>0</v>
      </c>
      <c r="AM69" s="13">
        <v>0</v>
      </c>
      <c r="AN69" s="14">
        <v>0</v>
      </c>
      <c r="AO69" s="13">
        <v>0</v>
      </c>
      <c r="AP69" s="14">
        <v>0</v>
      </c>
      <c r="AQ69" s="13">
        <v>0</v>
      </c>
      <c r="AR69" s="14">
        <v>0</v>
      </c>
      <c r="AS69" s="13">
        <v>0</v>
      </c>
      <c r="AT69" s="14">
        <v>0</v>
      </c>
      <c r="AU69" s="13">
        <v>0</v>
      </c>
      <c r="AV69" s="14">
        <v>0</v>
      </c>
      <c r="AW69" s="13">
        <v>0</v>
      </c>
      <c r="AX69" s="14">
        <v>0</v>
      </c>
      <c r="AY69" s="13">
        <v>0</v>
      </c>
      <c r="AZ69" s="15">
        <v>0</v>
      </c>
      <c r="BA69" s="20">
        <v>0</v>
      </c>
      <c r="BB69" s="21">
        <v>0</v>
      </c>
      <c r="BC69" s="20">
        <v>0</v>
      </c>
      <c r="BD69" s="21">
        <v>0</v>
      </c>
    </row>
    <row r="70" spans="1:56" ht="12" customHeight="1">
      <c r="A70" s="7" t="s">
        <v>164</v>
      </c>
      <c r="B70" s="8">
        <v>10038116</v>
      </c>
      <c r="C70" s="24" t="s">
        <v>165</v>
      </c>
      <c r="D70" s="19">
        <v>180571550</v>
      </c>
      <c r="E70" s="10">
        <f t="shared" si="4"/>
        <v>5015876.388888889</v>
      </c>
      <c r="F70" s="8" t="s">
        <v>49</v>
      </c>
      <c r="G70" s="8">
        <v>20</v>
      </c>
      <c r="H70" s="35" t="s">
        <v>166</v>
      </c>
      <c r="I70" s="11" t="s">
        <v>121</v>
      </c>
      <c r="J70" s="9">
        <f t="shared" si="6"/>
        <v>180571550</v>
      </c>
      <c r="K70" s="9">
        <f t="shared" si="7"/>
        <v>180571550</v>
      </c>
      <c r="L70" s="12">
        <f t="shared" si="5"/>
        <v>1</v>
      </c>
      <c r="M70" s="13">
        <v>180571550</v>
      </c>
      <c r="N70" s="14">
        <v>0</v>
      </c>
      <c r="O70" s="13">
        <v>0</v>
      </c>
      <c r="P70" s="14">
        <v>0</v>
      </c>
      <c r="Q70" s="13">
        <v>0</v>
      </c>
      <c r="R70" s="14">
        <v>180571550</v>
      </c>
      <c r="S70" s="13">
        <v>0</v>
      </c>
      <c r="T70" s="14">
        <v>0</v>
      </c>
      <c r="U70" s="13">
        <v>0</v>
      </c>
      <c r="V70" s="14">
        <v>0</v>
      </c>
      <c r="W70" s="13">
        <v>0</v>
      </c>
      <c r="X70" s="14">
        <v>0</v>
      </c>
      <c r="Y70" s="13">
        <v>0</v>
      </c>
      <c r="Z70" s="14">
        <v>0</v>
      </c>
      <c r="AA70" s="13">
        <v>0</v>
      </c>
      <c r="AB70" s="14">
        <v>0</v>
      </c>
      <c r="AC70" s="13">
        <v>0</v>
      </c>
      <c r="AD70" s="14">
        <v>0</v>
      </c>
      <c r="AE70" s="13">
        <v>0</v>
      </c>
      <c r="AF70" s="14">
        <v>0</v>
      </c>
      <c r="AG70" s="13">
        <v>0</v>
      </c>
      <c r="AH70" s="14">
        <v>0</v>
      </c>
      <c r="AI70" s="13">
        <v>0</v>
      </c>
      <c r="AJ70" s="14">
        <v>0</v>
      </c>
      <c r="AK70" s="13">
        <v>0</v>
      </c>
      <c r="AL70" s="14">
        <v>0</v>
      </c>
      <c r="AM70" s="13">
        <v>0</v>
      </c>
      <c r="AN70" s="14">
        <v>0</v>
      </c>
      <c r="AO70" s="13">
        <v>0</v>
      </c>
      <c r="AP70" s="14">
        <v>0</v>
      </c>
      <c r="AQ70" s="13">
        <v>0</v>
      </c>
      <c r="AR70" s="14">
        <v>0</v>
      </c>
      <c r="AS70" s="13">
        <v>0</v>
      </c>
      <c r="AT70" s="14">
        <v>0</v>
      </c>
      <c r="AU70" s="13">
        <v>0</v>
      </c>
      <c r="AV70" s="14">
        <v>0</v>
      </c>
      <c r="AW70" s="13">
        <v>0</v>
      </c>
      <c r="AX70" s="14">
        <v>0</v>
      </c>
      <c r="AY70" s="13">
        <v>0</v>
      </c>
      <c r="AZ70" s="15">
        <v>0</v>
      </c>
      <c r="BA70" s="20">
        <v>0</v>
      </c>
      <c r="BB70" s="21">
        <v>0</v>
      </c>
      <c r="BC70" s="20">
        <v>0</v>
      </c>
      <c r="BD70" s="21">
        <v>0</v>
      </c>
    </row>
    <row r="71" spans="1:56" ht="12" customHeight="1">
      <c r="A71" s="7" t="s">
        <v>167</v>
      </c>
      <c r="B71" s="8">
        <v>10038298</v>
      </c>
      <c r="C71" s="24" t="s">
        <v>168</v>
      </c>
      <c r="D71" s="19">
        <v>170792000</v>
      </c>
      <c r="E71" s="10">
        <f t="shared" si="4"/>
        <v>4744222.222222222</v>
      </c>
      <c r="F71" s="8" t="s">
        <v>71</v>
      </c>
      <c r="G71" s="8">
        <v>30</v>
      </c>
      <c r="H71" s="35" t="s">
        <v>133</v>
      </c>
      <c r="I71" s="11" t="s">
        <v>448</v>
      </c>
      <c r="J71" s="9">
        <f t="shared" si="6"/>
        <v>170792000</v>
      </c>
      <c r="K71" s="9">
        <f t="shared" si="7"/>
        <v>170792000</v>
      </c>
      <c r="L71" s="12">
        <f t="shared" si="5"/>
        <v>1</v>
      </c>
      <c r="M71" s="13">
        <v>0</v>
      </c>
      <c r="N71" s="14">
        <v>0</v>
      </c>
      <c r="O71" s="13">
        <v>0</v>
      </c>
      <c r="P71" s="14">
        <v>0</v>
      </c>
      <c r="Q71" s="13">
        <v>0</v>
      </c>
      <c r="R71" s="14">
        <v>0</v>
      </c>
      <c r="S71" s="13">
        <v>0</v>
      </c>
      <c r="T71" s="14">
        <v>0</v>
      </c>
      <c r="U71" s="13">
        <v>170792000</v>
      </c>
      <c r="V71" s="14">
        <v>0</v>
      </c>
      <c r="W71" s="13">
        <v>0</v>
      </c>
      <c r="X71" s="14">
        <v>56932000</v>
      </c>
      <c r="Y71" s="13">
        <v>0</v>
      </c>
      <c r="Z71" s="14">
        <v>56930000</v>
      </c>
      <c r="AA71" s="13">
        <v>0</v>
      </c>
      <c r="AB71" s="14">
        <v>56930000</v>
      </c>
      <c r="AC71" s="13">
        <v>0</v>
      </c>
      <c r="AD71" s="14">
        <v>0</v>
      </c>
      <c r="AE71" s="13">
        <v>0</v>
      </c>
      <c r="AF71" s="14">
        <v>0</v>
      </c>
      <c r="AG71" s="13">
        <v>0</v>
      </c>
      <c r="AH71" s="14">
        <v>0</v>
      </c>
      <c r="AI71" s="13">
        <v>0</v>
      </c>
      <c r="AJ71" s="14">
        <v>0</v>
      </c>
      <c r="AK71" s="13">
        <v>0</v>
      </c>
      <c r="AL71" s="14">
        <v>0</v>
      </c>
      <c r="AM71" s="13">
        <v>0</v>
      </c>
      <c r="AN71" s="14">
        <v>0</v>
      </c>
      <c r="AO71" s="13">
        <v>0</v>
      </c>
      <c r="AP71" s="14">
        <v>0</v>
      </c>
      <c r="AQ71" s="13">
        <v>0</v>
      </c>
      <c r="AR71" s="14">
        <v>0</v>
      </c>
      <c r="AS71" s="13">
        <v>0</v>
      </c>
      <c r="AT71" s="14">
        <v>0</v>
      </c>
      <c r="AU71" s="13">
        <v>0</v>
      </c>
      <c r="AV71" s="14">
        <v>0</v>
      </c>
      <c r="AW71" s="13">
        <v>0</v>
      </c>
      <c r="AX71" s="14">
        <v>0</v>
      </c>
      <c r="AY71" s="13">
        <v>0</v>
      </c>
      <c r="AZ71" s="15">
        <v>0</v>
      </c>
      <c r="BA71" s="20">
        <v>0</v>
      </c>
      <c r="BB71" s="21">
        <v>0</v>
      </c>
      <c r="BC71" s="20">
        <v>0</v>
      </c>
      <c r="BD71" s="21">
        <v>0</v>
      </c>
    </row>
    <row r="72" spans="1:56" ht="12" customHeight="1">
      <c r="A72" s="7" t="s">
        <v>169</v>
      </c>
      <c r="B72" s="8">
        <v>10038304</v>
      </c>
      <c r="C72" s="24" t="s">
        <v>170</v>
      </c>
      <c r="D72" s="19">
        <v>140119700</v>
      </c>
      <c r="E72" s="10">
        <f t="shared" si="4"/>
        <v>3892213.888888889</v>
      </c>
      <c r="F72" s="8" t="s">
        <v>49</v>
      </c>
      <c r="G72" s="8">
        <v>20</v>
      </c>
      <c r="H72" s="35" t="s">
        <v>171</v>
      </c>
      <c r="I72" s="11" t="s">
        <v>172</v>
      </c>
      <c r="J72" s="9">
        <f t="shared" si="6"/>
        <v>140119700</v>
      </c>
      <c r="K72" s="9">
        <f t="shared" si="7"/>
        <v>140119700</v>
      </c>
      <c r="L72" s="12">
        <f t="shared" si="5"/>
        <v>1</v>
      </c>
      <c r="M72" s="13">
        <v>140119700</v>
      </c>
      <c r="N72" s="14">
        <v>0</v>
      </c>
      <c r="O72" s="13">
        <v>0</v>
      </c>
      <c r="P72" s="14">
        <v>0</v>
      </c>
      <c r="Q72" s="13">
        <v>0</v>
      </c>
      <c r="R72" s="14">
        <v>140119700</v>
      </c>
      <c r="S72" s="13">
        <v>0</v>
      </c>
      <c r="T72" s="14">
        <v>0</v>
      </c>
      <c r="U72" s="13">
        <v>0</v>
      </c>
      <c r="V72" s="14">
        <v>0</v>
      </c>
      <c r="W72" s="13">
        <v>0</v>
      </c>
      <c r="X72" s="14">
        <v>0</v>
      </c>
      <c r="Y72" s="13">
        <v>0</v>
      </c>
      <c r="Z72" s="14">
        <v>0</v>
      </c>
      <c r="AA72" s="13">
        <v>0</v>
      </c>
      <c r="AB72" s="14">
        <v>0</v>
      </c>
      <c r="AC72" s="13">
        <v>0</v>
      </c>
      <c r="AD72" s="14">
        <v>0</v>
      </c>
      <c r="AE72" s="13">
        <v>0</v>
      </c>
      <c r="AF72" s="14">
        <v>0</v>
      </c>
      <c r="AG72" s="13">
        <v>0</v>
      </c>
      <c r="AH72" s="14">
        <v>0</v>
      </c>
      <c r="AI72" s="13">
        <v>0</v>
      </c>
      <c r="AJ72" s="14">
        <v>0</v>
      </c>
      <c r="AK72" s="13">
        <v>0</v>
      </c>
      <c r="AL72" s="14">
        <v>0</v>
      </c>
      <c r="AM72" s="13">
        <v>0</v>
      </c>
      <c r="AN72" s="14">
        <v>0</v>
      </c>
      <c r="AO72" s="13">
        <v>0</v>
      </c>
      <c r="AP72" s="14">
        <v>0</v>
      </c>
      <c r="AQ72" s="13">
        <v>0</v>
      </c>
      <c r="AR72" s="14">
        <v>0</v>
      </c>
      <c r="AS72" s="13">
        <v>0</v>
      </c>
      <c r="AT72" s="14">
        <v>0</v>
      </c>
      <c r="AU72" s="13">
        <v>0</v>
      </c>
      <c r="AV72" s="14">
        <v>0</v>
      </c>
      <c r="AW72" s="13">
        <v>0</v>
      </c>
      <c r="AX72" s="14">
        <v>0</v>
      </c>
      <c r="AY72" s="13">
        <v>0</v>
      </c>
      <c r="AZ72" s="15">
        <v>0</v>
      </c>
      <c r="BA72" s="20">
        <v>0</v>
      </c>
      <c r="BB72" s="21">
        <v>0</v>
      </c>
      <c r="BC72" s="20">
        <v>0</v>
      </c>
      <c r="BD72" s="21">
        <v>0</v>
      </c>
    </row>
    <row r="73" spans="1:56" ht="12" customHeight="1">
      <c r="A73" s="7" t="s">
        <v>173</v>
      </c>
      <c r="B73" s="8">
        <v>10038434</v>
      </c>
      <c r="C73" s="24" t="s">
        <v>174</v>
      </c>
      <c r="D73" s="19">
        <v>715869000</v>
      </c>
      <c r="E73" s="10">
        <f t="shared" si="4"/>
        <v>19885250</v>
      </c>
      <c r="F73" s="8" t="s">
        <v>67</v>
      </c>
      <c r="G73" s="8">
        <v>100</v>
      </c>
      <c r="H73" s="35" t="s">
        <v>175</v>
      </c>
      <c r="I73" s="11" t="s">
        <v>448</v>
      </c>
      <c r="J73" s="9">
        <f t="shared" si="6"/>
        <v>715869000</v>
      </c>
      <c r="K73" s="9">
        <f t="shared" si="7"/>
        <v>715869000</v>
      </c>
      <c r="L73" s="12">
        <f t="shared" si="5"/>
        <v>1</v>
      </c>
      <c r="M73" s="13">
        <v>0</v>
      </c>
      <c r="N73" s="14">
        <v>0</v>
      </c>
      <c r="O73" s="13">
        <v>0</v>
      </c>
      <c r="P73" s="14">
        <v>0</v>
      </c>
      <c r="Q73" s="13">
        <v>0</v>
      </c>
      <c r="R73" s="14">
        <v>0</v>
      </c>
      <c r="S73" s="13">
        <v>0</v>
      </c>
      <c r="T73" s="14">
        <v>0</v>
      </c>
      <c r="U73" s="13">
        <v>0</v>
      </c>
      <c r="V73" s="14">
        <v>0</v>
      </c>
      <c r="W73" s="13">
        <v>0</v>
      </c>
      <c r="X73" s="14">
        <v>0</v>
      </c>
      <c r="Y73" s="13">
        <v>0</v>
      </c>
      <c r="Z73" s="14">
        <v>0</v>
      </c>
      <c r="AA73" s="13">
        <v>0</v>
      </c>
      <c r="AB73" s="14">
        <v>0</v>
      </c>
      <c r="AC73" s="13">
        <v>0</v>
      </c>
      <c r="AD73" s="14">
        <v>0</v>
      </c>
      <c r="AE73" s="13">
        <v>715869000</v>
      </c>
      <c r="AF73" s="14">
        <v>0</v>
      </c>
      <c r="AG73" s="13">
        <v>0</v>
      </c>
      <c r="AH73" s="14">
        <v>0</v>
      </c>
      <c r="AI73" s="13">
        <v>0</v>
      </c>
      <c r="AJ73" s="14">
        <v>715869000</v>
      </c>
      <c r="AK73" s="13">
        <v>0</v>
      </c>
      <c r="AL73" s="14">
        <v>0</v>
      </c>
      <c r="AM73" s="13">
        <v>0</v>
      </c>
      <c r="AN73" s="14">
        <v>0</v>
      </c>
      <c r="AO73" s="13">
        <v>0</v>
      </c>
      <c r="AP73" s="14">
        <v>0</v>
      </c>
      <c r="AQ73" s="13">
        <v>0</v>
      </c>
      <c r="AR73" s="14">
        <v>0</v>
      </c>
      <c r="AS73" s="13">
        <v>0</v>
      </c>
      <c r="AT73" s="14">
        <v>0</v>
      </c>
      <c r="AU73" s="13">
        <v>0</v>
      </c>
      <c r="AV73" s="14">
        <v>0</v>
      </c>
      <c r="AW73" s="13">
        <v>0</v>
      </c>
      <c r="AX73" s="14">
        <v>0</v>
      </c>
      <c r="AY73" s="13">
        <v>0</v>
      </c>
      <c r="AZ73" s="15">
        <v>0</v>
      </c>
      <c r="BA73" s="20">
        <v>0</v>
      </c>
      <c r="BB73" s="21">
        <v>0</v>
      </c>
      <c r="BC73" s="20">
        <v>0</v>
      </c>
      <c r="BD73" s="21">
        <v>0</v>
      </c>
    </row>
    <row r="74" spans="1:56" ht="12" customHeight="1">
      <c r="A74" s="7" t="s">
        <v>176</v>
      </c>
      <c r="B74" s="8">
        <v>10038606</v>
      </c>
      <c r="C74" s="24" t="s">
        <v>507</v>
      </c>
      <c r="D74" s="19">
        <v>139367500</v>
      </c>
      <c r="E74" s="10">
        <f t="shared" si="4"/>
        <v>3871319.4444444445</v>
      </c>
      <c r="F74" s="8" t="s">
        <v>71</v>
      </c>
      <c r="G74" s="8">
        <v>20</v>
      </c>
      <c r="H74" s="35" t="s">
        <v>98</v>
      </c>
      <c r="I74" s="11" t="s">
        <v>448</v>
      </c>
      <c r="J74" s="9">
        <f t="shared" si="6"/>
        <v>139367500</v>
      </c>
      <c r="K74" s="9">
        <f t="shared" si="7"/>
        <v>139367500</v>
      </c>
      <c r="L74" s="12">
        <f t="shared" si="5"/>
        <v>1</v>
      </c>
      <c r="M74" s="13">
        <v>0</v>
      </c>
      <c r="N74" s="14">
        <v>0</v>
      </c>
      <c r="O74" s="13">
        <v>139367500</v>
      </c>
      <c r="P74" s="14">
        <v>0</v>
      </c>
      <c r="Q74" s="13">
        <v>0</v>
      </c>
      <c r="R74" s="14">
        <v>0</v>
      </c>
      <c r="S74" s="13">
        <v>0</v>
      </c>
      <c r="T74" s="14">
        <v>0</v>
      </c>
      <c r="U74" s="13">
        <v>0</v>
      </c>
      <c r="V74" s="14">
        <v>0</v>
      </c>
      <c r="W74" s="13">
        <v>0</v>
      </c>
      <c r="X74" s="14">
        <v>0</v>
      </c>
      <c r="Y74" s="13">
        <v>0</v>
      </c>
      <c r="Z74" s="14">
        <v>79000000</v>
      </c>
      <c r="AA74" s="13">
        <v>0</v>
      </c>
      <c r="AB74" s="14">
        <v>30367500</v>
      </c>
      <c r="AC74" s="13">
        <v>0</v>
      </c>
      <c r="AD74" s="14">
        <v>0</v>
      </c>
      <c r="AE74" s="13">
        <v>0</v>
      </c>
      <c r="AF74" s="14">
        <v>30000000</v>
      </c>
      <c r="AG74" s="13">
        <v>0</v>
      </c>
      <c r="AH74" s="14">
        <v>0</v>
      </c>
      <c r="AI74" s="13">
        <v>0</v>
      </c>
      <c r="AJ74" s="14">
        <v>0</v>
      </c>
      <c r="AK74" s="13">
        <v>0</v>
      </c>
      <c r="AL74" s="14">
        <v>0</v>
      </c>
      <c r="AM74" s="13">
        <v>0</v>
      </c>
      <c r="AN74" s="14">
        <v>0</v>
      </c>
      <c r="AO74" s="13">
        <v>0</v>
      </c>
      <c r="AP74" s="14">
        <v>0</v>
      </c>
      <c r="AQ74" s="13">
        <v>0</v>
      </c>
      <c r="AR74" s="14">
        <v>0</v>
      </c>
      <c r="AS74" s="13">
        <v>0</v>
      </c>
      <c r="AT74" s="14">
        <v>0</v>
      </c>
      <c r="AU74" s="13"/>
      <c r="AV74" s="14">
        <v>0</v>
      </c>
      <c r="AW74" s="13"/>
      <c r="AX74" s="14"/>
      <c r="AY74" s="13"/>
      <c r="AZ74" s="15"/>
      <c r="BA74" s="20"/>
      <c r="BB74" s="21"/>
      <c r="BC74" s="20">
        <v>0</v>
      </c>
      <c r="BD74" s="21">
        <v>0</v>
      </c>
    </row>
    <row r="75" spans="1:56" ht="12" customHeight="1">
      <c r="A75" s="7" t="s">
        <v>177</v>
      </c>
      <c r="B75" s="8">
        <v>10038606</v>
      </c>
      <c r="C75" s="24" t="s">
        <v>507</v>
      </c>
      <c r="D75" s="19">
        <v>786702070</v>
      </c>
      <c r="E75" s="10">
        <f t="shared" si="4"/>
        <v>21852835.277777776</v>
      </c>
      <c r="F75" s="8" t="s">
        <v>31</v>
      </c>
      <c r="G75" s="8">
        <v>111</v>
      </c>
      <c r="H75" s="35" t="s">
        <v>178</v>
      </c>
      <c r="I75" s="11" t="s">
        <v>448</v>
      </c>
      <c r="J75" s="9">
        <f t="shared" si="6"/>
        <v>60767000.400000006</v>
      </c>
      <c r="K75" s="9">
        <f t="shared" si="7"/>
        <v>50849000</v>
      </c>
      <c r="L75" s="12">
        <f t="shared" si="5"/>
        <v>0.83678640817031336</v>
      </c>
      <c r="M75" s="13">
        <v>0</v>
      </c>
      <c r="N75" s="14">
        <v>0</v>
      </c>
      <c r="O75" s="13"/>
      <c r="P75" s="14">
        <v>0</v>
      </c>
      <c r="Q75" s="13">
        <v>0</v>
      </c>
      <c r="R75" s="14">
        <v>0</v>
      </c>
      <c r="S75" s="13">
        <v>0</v>
      </c>
      <c r="T75" s="14">
        <v>0</v>
      </c>
      <c r="U75" s="13">
        <v>0</v>
      </c>
      <c r="V75" s="14">
        <v>0</v>
      </c>
      <c r="W75" s="13">
        <v>0</v>
      </c>
      <c r="X75" s="14">
        <v>0</v>
      </c>
      <c r="Y75" s="13">
        <v>0</v>
      </c>
      <c r="Z75" s="14"/>
      <c r="AA75" s="13">
        <v>0</v>
      </c>
      <c r="AB75" s="14"/>
      <c r="AC75" s="13">
        <v>0</v>
      </c>
      <c r="AD75" s="14">
        <v>0</v>
      </c>
      <c r="AE75" s="13">
        <v>0</v>
      </c>
      <c r="AF75" s="14"/>
      <c r="AG75" s="13">
        <v>0</v>
      </c>
      <c r="AH75" s="14">
        <v>0</v>
      </c>
      <c r="AI75" s="13">
        <v>0</v>
      </c>
      <c r="AJ75" s="14">
        <v>0</v>
      </c>
      <c r="AK75" s="13">
        <v>0</v>
      </c>
      <c r="AL75" s="14">
        <v>0</v>
      </c>
      <c r="AM75" s="13">
        <v>0</v>
      </c>
      <c r="AN75" s="14">
        <v>0</v>
      </c>
      <c r="AO75" s="13">
        <v>0</v>
      </c>
      <c r="AP75" s="14">
        <v>0</v>
      </c>
      <c r="AQ75" s="13">
        <v>0</v>
      </c>
      <c r="AR75" s="14">
        <v>0</v>
      </c>
      <c r="AS75" s="13">
        <v>0</v>
      </c>
      <c r="AT75" s="14">
        <v>0</v>
      </c>
      <c r="AU75" s="13">
        <v>10734000.199999999</v>
      </c>
      <c r="AV75" s="14">
        <v>0</v>
      </c>
      <c r="AW75" s="13">
        <v>14428000.4</v>
      </c>
      <c r="AX75" s="14">
        <v>10734000</v>
      </c>
      <c r="AY75" s="13">
        <v>11958999.800000001</v>
      </c>
      <c r="AZ75" s="15">
        <v>14428000</v>
      </c>
      <c r="BA75" s="20">
        <v>13728000</v>
      </c>
      <c r="BB75" s="21">
        <v>11959000</v>
      </c>
      <c r="BC75" s="20">
        <v>9918000</v>
      </c>
      <c r="BD75" s="21">
        <v>13728000</v>
      </c>
    </row>
    <row r="76" spans="1:56" ht="12" customHeight="1">
      <c r="A76" s="7" t="s">
        <v>179</v>
      </c>
      <c r="B76" s="8">
        <v>10092105</v>
      </c>
      <c r="C76" s="24" t="s">
        <v>180</v>
      </c>
      <c r="D76" s="19">
        <v>73513000</v>
      </c>
      <c r="E76" s="10">
        <f t="shared" si="4"/>
        <v>2042027.7777777778</v>
      </c>
      <c r="F76" s="8" t="s">
        <v>49</v>
      </c>
      <c r="G76" s="8">
        <v>8</v>
      </c>
      <c r="H76" s="35" t="s">
        <v>181</v>
      </c>
      <c r="I76" s="11" t="s">
        <v>128</v>
      </c>
      <c r="J76" s="9">
        <f t="shared" si="6"/>
        <v>73513000</v>
      </c>
      <c r="K76" s="9">
        <f t="shared" si="7"/>
        <v>73513000</v>
      </c>
      <c r="L76" s="12">
        <f t="shared" si="5"/>
        <v>1</v>
      </c>
      <c r="M76" s="13">
        <v>0</v>
      </c>
      <c r="N76" s="14">
        <v>0</v>
      </c>
      <c r="O76" s="13">
        <v>0</v>
      </c>
      <c r="P76" s="14">
        <v>0</v>
      </c>
      <c r="Q76" s="13">
        <v>0</v>
      </c>
      <c r="R76" s="14">
        <v>0</v>
      </c>
      <c r="S76" s="13">
        <v>0</v>
      </c>
      <c r="T76" s="14">
        <v>0</v>
      </c>
      <c r="U76" s="13">
        <v>0</v>
      </c>
      <c r="V76" s="14">
        <v>0</v>
      </c>
      <c r="W76" s="13">
        <v>73513000</v>
      </c>
      <c r="X76" s="14">
        <v>0</v>
      </c>
      <c r="Y76" s="13">
        <v>0</v>
      </c>
      <c r="Z76" s="14">
        <v>0</v>
      </c>
      <c r="AA76" s="13">
        <v>0</v>
      </c>
      <c r="AB76" s="14">
        <v>0</v>
      </c>
      <c r="AC76" s="13">
        <v>0</v>
      </c>
      <c r="AD76" s="14">
        <v>0</v>
      </c>
      <c r="AE76" s="13">
        <v>0</v>
      </c>
      <c r="AF76" s="14">
        <v>73513000</v>
      </c>
      <c r="AG76" s="13">
        <v>0</v>
      </c>
      <c r="AH76" s="14">
        <v>0</v>
      </c>
      <c r="AI76" s="13">
        <v>0</v>
      </c>
      <c r="AJ76" s="14">
        <v>0</v>
      </c>
      <c r="AK76" s="13">
        <v>0</v>
      </c>
      <c r="AL76" s="14">
        <v>0</v>
      </c>
      <c r="AM76" s="13">
        <v>0</v>
      </c>
      <c r="AN76" s="14">
        <v>0</v>
      </c>
      <c r="AO76" s="13">
        <v>0</v>
      </c>
      <c r="AP76" s="14">
        <v>0</v>
      </c>
      <c r="AQ76" s="13">
        <v>0</v>
      </c>
      <c r="AR76" s="14">
        <v>0</v>
      </c>
      <c r="AS76" s="13">
        <v>0</v>
      </c>
      <c r="AT76" s="14">
        <v>0</v>
      </c>
      <c r="AU76" s="13">
        <v>0</v>
      </c>
      <c r="AV76" s="14">
        <v>0</v>
      </c>
      <c r="AW76" s="13">
        <v>0</v>
      </c>
      <c r="AX76" s="14">
        <v>0</v>
      </c>
      <c r="AY76" s="13">
        <v>0</v>
      </c>
      <c r="AZ76" s="15">
        <v>0</v>
      </c>
      <c r="BA76" s="20">
        <v>0</v>
      </c>
      <c r="BB76" s="21">
        <v>0</v>
      </c>
      <c r="BC76" s="20">
        <v>0</v>
      </c>
      <c r="BD76" s="21">
        <v>0</v>
      </c>
    </row>
    <row r="77" spans="1:56" ht="12" customHeight="1">
      <c r="A77" s="7" t="s">
        <v>182</v>
      </c>
      <c r="B77" s="8">
        <v>10078174</v>
      </c>
      <c r="C77" s="24" t="s">
        <v>183</v>
      </c>
      <c r="D77" s="19">
        <v>239000000</v>
      </c>
      <c r="E77" s="10">
        <f t="shared" si="4"/>
        <v>6638888.888888889</v>
      </c>
      <c r="F77" s="8" t="s">
        <v>71</v>
      </c>
      <c r="G77" s="8">
        <v>40</v>
      </c>
      <c r="H77" s="35" t="s">
        <v>91</v>
      </c>
      <c r="I77" s="11" t="s">
        <v>448</v>
      </c>
      <c r="J77" s="9">
        <f t="shared" si="6"/>
        <v>239000000</v>
      </c>
      <c r="K77" s="9">
        <f t="shared" si="7"/>
        <v>239000000</v>
      </c>
      <c r="L77" s="12">
        <f t="shared" si="5"/>
        <v>1</v>
      </c>
      <c r="M77" s="13">
        <v>0</v>
      </c>
      <c r="N77" s="14">
        <v>0</v>
      </c>
      <c r="O77" s="13">
        <v>0</v>
      </c>
      <c r="P77" s="14">
        <v>0</v>
      </c>
      <c r="Q77" s="13">
        <v>0</v>
      </c>
      <c r="R77" s="14">
        <v>0</v>
      </c>
      <c r="S77" s="13">
        <v>0</v>
      </c>
      <c r="T77" s="14">
        <v>0</v>
      </c>
      <c r="U77" s="13">
        <v>0</v>
      </c>
      <c r="V77" s="14">
        <v>0</v>
      </c>
      <c r="W77" s="13">
        <v>0</v>
      </c>
      <c r="X77" s="14">
        <v>0</v>
      </c>
      <c r="Y77" s="13">
        <v>0</v>
      </c>
      <c r="Z77" s="14">
        <v>0</v>
      </c>
      <c r="AA77" s="13">
        <v>0</v>
      </c>
      <c r="AB77" s="14">
        <v>0</v>
      </c>
      <c r="AC77" s="13">
        <v>239000000</v>
      </c>
      <c r="AD77" s="14">
        <v>0</v>
      </c>
      <c r="AE77" s="13">
        <v>0</v>
      </c>
      <c r="AF77" s="14">
        <v>80000000</v>
      </c>
      <c r="AG77" s="13">
        <v>0</v>
      </c>
      <c r="AH77" s="14">
        <v>80000000</v>
      </c>
      <c r="AI77" s="13">
        <v>0</v>
      </c>
      <c r="AJ77" s="14">
        <v>79000000</v>
      </c>
      <c r="AK77" s="13">
        <v>0</v>
      </c>
      <c r="AL77" s="14">
        <v>0</v>
      </c>
      <c r="AM77" s="13">
        <v>0</v>
      </c>
      <c r="AN77" s="14">
        <v>0</v>
      </c>
      <c r="AO77" s="13">
        <v>0</v>
      </c>
      <c r="AP77" s="14">
        <v>0</v>
      </c>
      <c r="AQ77" s="13">
        <v>0</v>
      </c>
      <c r="AR77" s="14">
        <v>0</v>
      </c>
      <c r="AS77" s="13">
        <v>0</v>
      </c>
      <c r="AT77" s="14">
        <v>0</v>
      </c>
      <c r="AU77" s="13">
        <v>0</v>
      </c>
      <c r="AV77" s="14">
        <v>0</v>
      </c>
      <c r="AW77" s="13">
        <v>0</v>
      </c>
      <c r="AX77" s="14">
        <v>0</v>
      </c>
      <c r="AY77" s="13">
        <v>0</v>
      </c>
      <c r="AZ77" s="15">
        <v>0</v>
      </c>
      <c r="BA77" s="20">
        <v>0</v>
      </c>
      <c r="BB77" s="21">
        <v>0</v>
      </c>
      <c r="BC77" s="20">
        <v>0</v>
      </c>
      <c r="BD77" s="21">
        <v>0</v>
      </c>
    </row>
    <row r="78" spans="1:56" ht="12" customHeight="1">
      <c r="A78" s="7" t="s">
        <v>184</v>
      </c>
      <c r="B78" s="8">
        <v>10100887</v>
      </c>
      <c r="C78" s="24" t="s">
        <v>481</v>
      </c>
      <c r="D78" s="19">
        <v>195000000</v>
      </c>
      <c r="E78" s="10">
        <f t="shared" si="4"/>
        <v>5416666.666666667</v>
      </c>
      <c r="F78" s="8" t="s">
        <v>71</v>
      </c>
      <c r="G78" s="8">
        <v>30</v>
      </c>
      <c r="H78" s="35" t="s">
        <v>185</v>
      </c>
      <c r="I78" s="11" t="s">
        <v>448</v>
      </c>
      <c r="J78" s="9">
        <f t="shared" si="6"/>
        <v>194999999.69999999</v>
      </c>
      <c r="K78" s="9">
        <f t="shared" si="7"/>
        <v>194999999.69999999</v>
      </c>
      <c r="L78" s="12">
        <f t="shared" si="5"/>
        <v>1</v>
      </c>
      <c r="M78" s="13">
        <v>0</v>
      </c>
      <c r="N78" s="14">
        <v>0</v>
      </c>
      <c r="O78" s="13">
        <v>0</v>
      </c>
      <c r="P78" s="14">
        <v>0</v>
      </c>
      <c r="Q78" s="13">
        <v>0</v>
      </c>
      <c r="R78" s="14">
        <v>0</v>
      </c>
      <c r="S78" s="13">
        <v>0</v>
      </c>
      <c r="T78" s="14">
        <v>0</v>
      </c>
      <c r="U78" s="13">
        <v>0</v>
      </c>
      <c r="V78" s="14">
        <v>0</v>
      </c>
      <c r="W78" s="13">
        <v>194999999.69999999</v>
      </c>
      <c r="X78" s="14">
        <v>0</v>
      </c>
      <c r="Y78" s="13">
        <v>0</v>
      </c>
      <c r="Z78" s="14">
        <v>194999999.69999999</v>
      </c>
      <c r="AA78" s="13">
        <v>0</v>
      </c>
      <c r="AB78" s="14">
        <v>0</v>
      </c>
      <c r="AC78" s="13">
        <v>0</v>
      </c>
      <c r="AD78" s="14">
        <v>0</v>
      </c>
      <c r="AE78" s="13">
        <v>0</v>
      </c>
      <c r="AF78" s="14">
        <v>0</v>
      </c>
      <c r="AG78" s="13">
        <v>0</v>
      </c>
      <c r="AH78" s="14">
        <v>0</v>
      </c>
      <c r="AI78" s="13">
        <v>0</v>
      </c>
      <c r="AJ78" s="14">
        <v>0</v>
      </c>
      <c r="AK78" s="13">
        <v>0</v>
      </c>
      <c r="AL78" s="14">
        <v>0</v>
      </c>
      <c r="AM78" s="13">
        <v>0</v>
      </c>
      <c r="AN78" s="14"/>
      <c r="AO78" s="13">
        <v>0</v>
      </c>
      <c r="AP78" s="14"/>
      <c r="AQ78" s="13">
        <v>0</v>
      </c>
      <c r="AR78" s="14"/>
      <c r="AS78" s="13">
        <v>0</v>
      </c>
      <c r="AT78" s="14"/>
      <c r="AU78" s="13">
        <v>0</v>
      </c>
      <c r="AV78" s="14"/>
      <c r="AW78" s="13">
        <v>0</v>
      </c>
      <c r="AX78" s="14"/>
      <c r="AY78" s="13">
        <v>0</v>
      </c>
      <c r="AZ78" s="15"/>
      <c r="BA78" s="20">
        <v>0</v>
      </c>
      <c r="BB78" s="21">
        <v>0</v>
      </c>
      <c r="BC78" s="20">
        <v>0</v>
      </c>
      <c r="BD78" s="21">
        <v>0</v>
      </c>
    </row>
    <row r="79" spans="1:56" ht="12" customHeight="1">
      <c r="A79" s="7" t="s">
        <v>186</v>
      </c>
      <c r="B79" s="8">
        <v>10100887</v>
      </c>
      <c r="C79" s="24" t="s">
        <v>481</v>
      </c>
      <c r="D79" s="19">
        <v>24920000</v>
      </c>
      <c r="E79" s="10">
        <f t="shared" si="4"/>
        <v>692222.22222222225</v>
      </c>
      <c r="F79" s="8" t="s">
        <v>67</v>
      </c>
      <c r="G79" s="8">
        <v>7</v>
      </c>
      <c r="H79" s="35" t="s">
        <v>187</v>
      </c>
      <c r="I79" s="11" t="s">
        <v>448</v>
      </c>
      <c r="J79" s="9">
        <f t="shared" si="6"/>
        <v>24919999.5</v>
      </c>
      <c r="K79" s="9">
        <f t="shared" si="7"/>
        <v>24920000</v>
      </c>
      <c r="L79" s="12">
        <f t="shared" si="5"/>
        <v>1.0000000200642059</v>
      </c>
      <c r="M79" s="13">
        <v>0</v>
      </c>
      <c r="N79" s="14">
        <v>0</v>
      </c>
      <c r="O79" s="13">
        <v>0</v>
      </c>
      <c r="P79" s="14">
        <v>0</v>
      </c>
      <c r="Q79" s="13">
        <v>0</v>
      </c>
      <c r="R79" s="14">
        <v>0</v>
      </c>
      <c r="S79" s="13">
        <v>0</v>
      </c>
      <c r="T79" s="14">
        <v>0</v>
      </c>
      <c r="U79" s="13">
        <v>0</v>
      </c>
      <c r="V79" s="14">
        <v>0</v>
      </c>
      <c r="W79" s="13">
        <v>0</v>
      </c>
      <c r="X79" s="14">
        <v>0</v>
      </c>
      <c r="Y79" s="13">
        <v>0</v>
      </c>
      <c r="Z79" s="14">
        <v>0</v>
      </c>
      <c r="AA79" s="13">
        <v>0</v>
      </c>
      <c r="AB79" s="14">
        <v>0</v>
      </c>
      <c r="AC79" s="13">
        <v>0</v>
      </c>
      <c r="AD79" s="14">
        <v>0</v>
      </c>
      <c r="AE79" s="13">
        <v>0</v>
      </c>
      <c r="AF79" s="14">
        <v>0</v>
      </c>
      <c r="AG79" s="13">
        <v>0</v>
      </c>
      <c r="AH79" s="14">
        <v>0</v>
      </c>
      <c r="AI79" s="13">
        <v>0</v>
      </c>
      <c r="AJ79" s="14">
        <v>0</v>
      </c>
      <c r="AK79" s="13">
        <v>0</v>
      </c>
      <c r="AL79" s="14">
        <v>0</v>
      </c>
      <c r="AM79" s="13">
        <v>0</v>
      </c>
      <c r="AN79" s="14">
        <v>0</v>
      </c>
      <c r="AO79" s="13">
        <v>0</v>
      </c>
      <c r="AP79" s="14">
        <v>0</v>
      </c>
      <c r="AQ79" s="13">
        <v>24919999.5</v>
      </c>
      <c r="AR79" s="14">
        <v>0</v>
      </c>
      <c r="AS79" s="13">
        <v>0</v>
      </c>
      <c r="AT79" s="14">
        <v>0</v>
      </c>
      <c r="AU79" s="13">
        <v>0</v>
      </c>
      <c r="AV79" s="14">
        <v>24920000</v>
      </c>
      <c r="AW79" s="13">
        <v>0</v>
      </c>
      <c r="AX79" s="14">
        <v>0</v>
      </c>
      <c r="AY79" s="13">
        <v>0</v>
      </c>
      <c r="AZ79" s="15">
        <v>0</v>
      </c>
      <c r="BA79" s="20">
        <v>0</v>
      </c>
      <c r="BB79" s="21">
        <v>0</v>
      </c>
      <c r="BC79" s="20">
        <v>0</v>
      </c>
      <c r="BD79" s="21">
        <v>0</v>
      </c>
    </row>
    <row r="80" spans="1:56" ht="12" customHeight="1">
      <c r="A80" s="7" t="s">
        <v>188</v>
      </c>
      <c r="B80" s="8">
        <v>10017056</v>
      </c>
      <c r="C80" s="24" t="s">
        <v>189</v>
      </c>
      <c r="D80" s="19">
        <v>1250330000</v>
      </c>
      <c r="E80" s="10">
        <f t="shared" si="4"/>
        <v>34731388.888888888</v>
      </c>
      <c r="F80" s="8" t="s">
        <v>31</v>
      </c>
      <c r="G80" s="8">
        <v>212</v>
      </c>
      <c r="H80" s="35" t="s">
        <v>190</v>
      </c>
      <c r="I80" s="11" t="s">
        <v>448</v>
      </c>
      <c r="J80" s="9">
        <f t="shared" si="6"/>
        <v>52910000.899999999</v>
      </c>
      <c r="K80" s="9">
        <f t="shared" si="7"/>
        <v>36543000</v>
      </c>
      <c r="L80" s="12">
        <f t="shared" si="5"/>
        <v>0.69066337891519491</v>
      </c>
      <c r="M80" s="13">
        <v>0</v>
      </c>
      <c r="N80" s="14">
        <v>0</v>
      </c>
      <c r="O80" s="13">
        <v>0</v>
      </c>
      <c r="P80" s="14">
        <v>0</v>
      </c>
      <c r="Q80" s="13">
        <v>0</v>
      </c>
      <c r="R80" s="14">
        <v>0</v>
      </c>
      <c r="S80" s="13">
        <v>0</v>
      </c>
      <c r="T80" s="14">
        <v>0</v>
      </c>
      <c r="U80" s="13">
        <v>0</v>
      </c>
      <c r="V80" s="14">
        <v>0</v>
      </c>
      <c r="W80" s="13">
        <v>202999999.40000001</v>
      </c>
      <c r="X80" s="14">
        <v>0</v>
      </c>
      <c r="Y80" s="13">
        <v>0</v>
      </c>
      <c r="Z80" s="14">
        <v>0</v>
      </c>
      <c r="AA80" s="13">
        <v>0</v>
      </c>
      <c r="AB80" s="14">
        <v>0</v>
      </c>
      <c r="AC80" s="13">
        <v>0</v>
      </c>
      <c r="AD80" s="14">
        <v>0</v>
      </c>
      <c r="AE80" s="13">
        <v>0</v>
      </c>
      <c r="AF80" s="14">
        <v>0</v>
      </c>
      <c r="AG80" s="13">
        <v>0</v>
      </c>
      <c r="AH80" s="14">
        <v>0</v>
      </c>
      <c r="AI80" s="13">
        <v>0</v>
      </c>
      <c r="AJ80" s="14">
        <v>0</v>
      </c>
      <c r="AK80" s="13">
        <v>-202999999.40000001</v>
      </c>
      <c r="AL80" s="14">
        <v>0</v>
      </c>
      <c r="AM80" s="13">
        <v>0</v>
      </c>
      <c r="AN80" s="14">
        <v>0</v>
      </c>
      <c r="AO80" s="13">
        <v>1013999.8</v>
      </c>
      <c r="AP80" s="14">
        <v>0</v>
      </c>
      <c r="AQ80" s="13">
        <v>1261000.3999999999</v>
      </c>
      <c r="AR80" s="14">
        <v>1014000</v>
      </c>
      <c r="AS80" s="13">
        <v>4744999.5999999996</v>
      </c>
      <c r="AT80" s="14">
        <v>1261000</v>
      </c>
      <c r="AU80" s="13">
        <v>6344000.2999999998</v>
      </c>
      <c r="AV80" s="14">
        <v>4745000</v>
      </c>
      <c r="AW80" s="13">
        <v>7202000.2999999998</v>
      </c>
      <c r="AX80" s="14">
        <v>6344000</v>
      </c>
      <c r="AY80" s="13">
        <v>7475000.5</v>
      </c>
      <c r="AZ80" s="15">
        <v>7202000</v>
      </c>
      <c r="BA80" s="20">
        <v>8502000</v>
      </c>
      <c r="BB80" s="21">
        <v>7475000</v>
      </c>
      <c r="BC80" s="20">
        <v>16367000</v>
      </c>
      <c r="BD80" s="21">
        <v>8502000</v>
      </c>
    </row>
    <row r="81" spans="1:56" ht="12" customHeight="1">
      <c r="A81" s="7" t="s">
        <v>191</v>
      </c>
      <c r="B81" s="8">
        <v>10032728</v>
      </c>
      <c r="C81" s="24" t="s">
        <v>192</v>
      </c>
      <c r="D81" s="19">
        <v>2025000000</v>
      </c>
      <c r="E81" s="10">
        <f t="shared" si="4"/>
        <v>56250000</v>
      </c>
      <c r="F81" s="8" t="s">
        <v>31</v>
      </c>
      <c r="G81" s="8">
        <v>359</v>
      </c>
      <c r="H81" s="35" t="s">
        <v>82</v>
      </c>
      <c r="I81" s="11" t="s">
        <v>448</v>
      </c>
      <c r="J81" s="9">
        <f t="shared" si="6"/>
        <v>293830999.60000002</v>
      </c>
      <c r="K81" s="9">
        <f t="shared" si="7"/>
        <v>264163000</v>
      </c>
      <c r="L81" s="12">
        <f t="shared" si="5"/>
        <v>0.89903039624686343</v>
      </c>
      <c r="M81" s="13">
        <v>0</v>
      </c>
      <c r="N81" s="14">
        <v>0</v>
      </c>
      <c r="O81" s="13">
        <v>0</v>
      </c>
      <c r="P81" s="14">
        <v>0</v>
      </c>
      <c r="Q81" s="13">
        <v>0</v>
      </c>
      <c r="R81" s="14">
        <v>0</v>
      </c>
      <c r="S81" s="13">
        <v>0</v>
      </c>
      <c r="T81" s="14">
        <v>0</v>
      </c>
      <c r="U81" s="13">
        <v>0</v>
      </c>
      <c r="V81" s="14">
        <v>0</v>
      </c>
      <c r="W81" s="13">
        <v>0</v>
      </c>
      <c r="X81" s="14">
        <v>0</v>
      </c>
      <c r="Y81" s="13">
        <v>0</v>
      </c>
      <c r="Z81" s="14">
        <v>0</v>
      </c>
      <c r="AA81" s="13">
        <v>0</v>
      </c>
      <c r="AB81" s="14">
        <v>0</v>
      </c>
      <c r="AC81" s="13">
        <v>0</v>
      </c>
      <c r="AD81" s="14">
        <v>0</v>
      </c>
      <c r="AE81" s="13">
        <v>0</v>
      </c>
      <c r="AF81" s="14">
        <v>0</v>
      </c>
      <c r="AG81" s="13">
        <v>694999.8</v>
      </c>
      <c r="AH81" s="14">
        <v>0</v>
      </c>
      <c r="AI81" s="13">
        <v>-694999.8</v>
      </c>
      <c r="AJ81" s="14">
        <v>0</v>
      </c>
      <c r="AK81" s="13">
        <v>0</v>
      </c>
      <c r="AL81" s="14">
        <v>0</v>
      </c>
      <c r="AM81" s="13">
        <v>0</v>
      </c>
      <c r="AN81" s="14">
        <v>0</v>
      </c>
      <c r="AO81" s="13">
        <v>0</v>
      </c>
      <c r="AP81" s="14">
        <v>0</v>
      </c>
      <c r="AQ81" s="13">
        <v>47495000.299999997</v>
      </c>
      <c r="AR81" s="14">
        <v>0</v>
      </c>
      <c r="AS81" s="13">
        <v>54941000.399999999</v>
      </c>
      <c r="AT81" s="14">
        <v>47495000</v>
      </c>
      <c r="AU81" s="13">
        <v>44147999.5</v>
      </c>
      <c r="AV81" s="14">
        <v>0</v>
      </c>
      <c r="AW81" s="13">
        <v>39875999.899999999</v>
      </c>
      <c r="AX81" s="14">
        <v>54941000</v>
      </c>
      <c r="AY81" s="13">
        <v>39824999.5</v>
      </c>
      <c r="AZ81" s="15">
        <v>84024000</v>
      </c>
      <c r="BA81" s="20">
        <v>37878000</v>
      </c>
      <c r="BB81" s="21">
        <v>39825000</v>
      </c>
      <c r="BC81" s="20">
        <v>29668000</v>
      </c>
      <c r="BD81" s="21">
        <v>37878000</v>
      </c>
    </row>
    <row r="82" spans="1:56" ht="12" customHeight="1">
      <c r="A82" s="7" t="s">
        <v>193</v>
      </c>
      <c r="B82" s="8">
        <v>10014151</v>
      </c>
      <c r="C82" s="24" t="s">
        <v>194</v>
      </c>
      <c r="D82" s="19">
        <v>799998000</v>
      </c>
      <c r="E82" s="10">
        <f t="shared" si="4"/>
        <v>22222166.666666668</v>
      </c>
      <c r="F82" s="8" t="s">
        <v>31</v>
      </c>
      <c r="G82" s="8">
        <v>90</v>
      </c>
      <c r="H82" s="35" t="s">
        <v>195</v>
      </c>
      <c r="I82" s="11" t="s">
        <v>448</v>
      </c>
      <c r="J82" s="9">
        <f t="shared" si="6"/>
        <v>220868999.79999998</v>
      </c>
      <c r="K82" s="9">
        <f t="shared" si="7"/>
        <v>140791000</v>
      </c>
      <c r="L82" s="12">
        <f t="shared" si="5"/>
        <v>0.63744119875350658</v>
      </c>
      <c r="M82" s="13">
        <v>0</v>
      </c>
      <c r="N82" s="14">
        <v>0</v>
      </c>
      <c r="O82" s="13">
        <v>0</v>
      </c>
      <c r="P82" s="14">
        <v>0</v>
      </c>
      <c r="Q82" s="13">
        <v>0</v>
      </c>
      <c r="R82" s="14">
        <v>0</v>
      </c>
      <c r="S82" s="13">
        <v>0</v>
      </c>
      <c r="T82" s="14">
        <v>0</v>
      </c>
      <c r="U82" s="13">
        <v>0</v>
      </c>
      <c r="V82" s="14">
        <v>0</v>
      </c>
      <c r="W82" s="13">
        <v>0</v>
      </c>
      <c r="X82" s="14">
        <v>0</v>
      </c>
      <c r="Y82" s="13">
        <v>0</v>
      </c>
      <c r="Z82" s="14">
        <v>0</v>
      </c>
      <c r="AA82" s="13">
        <v>0</v>
      </c>
      <c r="AB82" s="14">
        <v>0</v>
      </c>
      <c r="AC82" s="13">
        <v>0</v>
      </c>
      <c r="AD82" s="14">
        <v>0</v>
      </c>
      <c r="AE82" s="13">
        <v>0</v>
      </c>
      <c r="AF82" s="14">
        <v>0</v>
      </c>
      <c r="AG82" s="13">
        <v>0</v>
      </c>
      <c r="AH82" s="14">
        <v>0</v>
      </c>
      <c r="AI82" s="13">
        <v>0</v>
      </c>
      <c r="AJ82" s="14">
        <v>0</v>
      </c>
      <c r="AK82" s="13">
        <v>0</v>
      </c>
      <c r="AL82" s="14">
        <v>0</v>
      </c>
      <c r="AM82" s="13">
        <v>41736999.700000003</v>
      </c>
      <c r="AN82" s="14">
        <v>0</v>
      </c>
      <c r="AO82" s="13">
        <v>14466999.800000001</v>
      </c>
      <c r="AP82" s="14">
        <v>41737000</v>
      </c>
      <c r="AQ82" s="13">
        <v>16104000</v>
      </c>
      <c r="AR82" s="14">
        <v>0</v>
      </c>
      <c r="AS82" s="13">
        <v>22724000.199999999</v>
      </c>
      <c r="AT82" s="14">
        <v>0</v>
      </c>
      <c r="AU82" s="13">
        <v>24145999.899999999</v>
      </c>
      <c r="AV82" s="14">
        <v>14467000</v>
      </c>
      <c r="AW82" s="13">
        <v>21613000.199999999</v>
      </c>
      <c r="AX82" s="14">
        <v>16104000</v>
      </c>
      <c r="AY82" s="13">
        <v>25080000</v>
      </c>
      <c r="AZ82" s="15">
        <v>22724000</v>
      </c>
      <c r="BA82" s="20">
        <v>27016000</v>
      </c>
      <c r="BB82" s="21">
        <v>24146000</v>
      </c>
      <c r="BC82" s="20">
        <v>27982000</v>
      </c>
      <c r="BD82" s="21">
        <v>21613000</v>
      </c>
    </row>
    <row r="83" spans="1:56" ht="12" customHeight="1">
      <c r="A83" s="7" t="s">
        <v>196</v>
      </c>
      <c r="B83" s="8">
        <v>10014653</v>
      </c>
      <c r="C83" s="24" t="s">
        <v>197</v>
      </c>
      <c r="D83" s="19">
        <v>314199000</v>
      </c>
      <c r="E83" s="10">
        <f t="shared" si="4"/>
        <v>8727750</v>
      </c>
      <c r="F83" s="8" t="s">
        <v>31</v>
      </c>
      <c r="G83" s="8">
        <v>30</v>
      </c>
      <c r="H83" s="35" t="s">
        <v>34</v>
      </c>
      <c r="I83" s="11" t="s">
        <v>448</v>
      </c>
      <c r="J83" s="9">
        <f t="shared" si="6"/>
        <v>14906999.5</v>
      </c>
      <c r="K83" s="9">
        <f t="shared" si="7"/>
        <v>13407000</v>
      </c>
      <c r="L83" s="12">
        <f t="shared" si="5"/>
        <v>0.89937616218475092</v>
      </c>
      <c r="M83" s="13">
        <v>0</v>
      </c>
      <c r="N83" s="14">
        <v>0</v>
      </c>
      <c r="O83" s="13">
        <v>0</v>
      </c>
      <c r="P83" s="14">
        <v>0</v>
      </c>
      <c r="Q83" s="13">
        <v>0</v>
      </c>
      <c r="R83" s="14">
        <v>0</v>
      </c>
      <c r="S83" s="13">
        <v>0</v>
      </c>
      <c r="T83" s="14">
        <v>0</v>
      </c>
      <c r="U83" s="13">
        <v>0</v>
      </c>
      <c r="V83" s="14">
        <v>0</v>
      </c>
      <c r="W83" s="13">
        <v>0</v>
      </c>
      <c r="X83" s="14">
        <v>0</v>
      </c>
      <c r="Y83" s="13">
        <v>0</v>
      </c>
      <c r="Z83" s="14">
        <v>0</v>
      </c>
      <c r="AA83" s="13">
        <v>0</v>
      </c>
      <c r="AB83" s="14">
        <v>0</v>
      </c>
      <c r="AC83" s="13">
        <v>0</v>
      </c>
      <c r="AD83" s="14">
        <v>0</v>
      </c>
      <c r="AE83" s="13">
        <v>0</v>
      </c>
      <c r="AF83" s="14">
        <v>0</v>
      </c>
      <c r="AG83" s="13">
        <v>0</v>
      </c>
      <c r="AH83" s="14">
        <v>0</v>
      </c>
      <c r="AI83" s="13">
        <v>0</v>
      </c>
      <c r="AJ83" s="14">
        <v>0</v>
      </c>
      <c r="AK83" s="13">
        <v>0</v>
      </c>
      <c r="AL83" s="14">
        <v>0</v>
      </c>
      <c r="AM83" s="13">
        <v>1320000</v>
      </c>
      <c r="AN83" s="14">
        <v>0</v>
      </c>
      <c r="AO83" s="13">
        <v>2691000.4</v>
      </c>
      <c r="AP83" s="14">
        <v>0</v>
      </c>
      <c r="AQ83" s="13">
        <v>1651999.8</v>
      </c>
      <c r="AR83" s="14">
        <v>4011000</v>
      </c>
      <c r="AS83" s="13">
        <v>1744000.5</v>
      </c>
      <c r="AT83" s="14">
        <v>0</v>
      </c>
      <c r="AU83" s="13">
        <v>1499999.6</v>
      </c>
      <c r="AV83" s="14">
        <v>1744000</v>
      </c>
      <c r="AW83" s="13">
        <v>1499999.6</v>
      </c>
      <c r="AX83" s="14">
        <v>3152000</v>
      </c>
      <c r="AY83" s="13">
        <v>1499999.6</v>
      </c>
      <c r="AZ83" s="15">
        <v>1500000</v>
      </c>
      <c r="BA83" s="20">
        <v>1500000</v>
      </c>
      <c r="BB83" s="21">
        <v>1500000</v>
      </c>
      <c r="BC83" s="20">
        <v>1500000</v>
      </c>
      <c r="BD83" s="21">
        <v>1500000</v>
      </c>
    </row>
    <row r="84" spans="1:56" ht="12" customHeight="1">
      <c r="A84" s="7" t="s">
        <v>198</v>
      </c>
      <c r="B84" s="8">
        <v>10021506</v>
      </c>
      <c r="C84" s="24" t="s">
        <v>199</v>
      </c>
      <c r="D84" s="19">
        <v>1521496500</v>
      </c>
      <c r="E84" s="10">
        <f t="shared" si="4"/>
        <v>42263791.666666664</v>
      </c>
      <c r="F84" s="8" t="s">
        <v>31</v>
      </c>
      <c r="G84" s="8">
        <v>259</v>
      </c>
      <c r="H84" s="35" t="s">
        <v>105</v>
      </c>
      <c r="I84" s="11" t="s">
        <v>448</v>
      </c>
      <c r="J84" s="9">
        <f t="shared" si="6"/>
        <v>196340999.79999998</v>
      </c>
      <c r="K84" s="9">
        <f t="shared" si="7"/>
        <v>125440000</v>
      </c>
      <c r="L84" s="12">
        <f t="shared" si="5"/>
        <v>0.63888846510804009</v>
      </c>
      <c r="M84" s="13">
        <v>0</v>
      </c>
      <c r="N84" s="14">
        <v>0</v>
      </c>
      <c r="O84" s="13">
        <v>0</v>
      </c>
      <c r="P84" s="14">
        <v>0</v>
      </c>
      <c r="Q84" s="13">
        <v>0</v>
      </c>
      <c r="R84" s="14">
        <v>0</v>
      </c>
      <c r="S84" s="13">
        <v>0</v>
      </c>
      <c r="T84" s="14">
        <v>0</v>
      </c>
      <c r="U84" s="13">
        <v>0</v>
      </c>
      <c r="V84" s="14">
        <v>0</v>
      </c>
      <c r="W84" s="13">
        <v>0</v>
      </c>
      <c r="X84" s="14">
        <v>0</v>
      </c>
      <c r="Y84" s="13">
        <v>0</v>
      </c>
      <c r="Z84" s="14">
        <v>0</v>
      </c>
      <c r="AA84" s="13">
        <v>0</v>
      </c>
      <c r="AB84" s="14">
        <v>0</v>
      </c>
      <c r="AC84" s="13">
        <v>0</v>
      </c>
      <c r="AD84" s="14">
        <v>0</v>
      </c>
      <c r="AE84" s="13">
        <v>0</v>
      </c>
      <c r="AF84" s="14">
        <v>0</v>
      </c>
      <c r="AG84" s="13">
        <v>0</v>
      </c>
      <c r="AH84" s="14">
        <v>0</v>
      </c>
      <c r="AI84" s="13">
        <v>0</v>
      </c>
      <c r="AJ84" s="14">
        <v>0</v>
      </c>
      <c r="AK84" s="13">
        <v>0</v>
      </c>
      <c r="AL84" s="14">
        <v>0</v>
      </c>
      <c r="AM84" s="13">
        <v>6695000.4000000004</v>
      </c>
      <c r="AN84" s="14">
        <v>0</v>
      </c>
      <c r="AO84" s="13">
        <v>3005999.7</v>
      </c>
      <c r="AP84" s="14">
        <v>6695000</v>
      </c>
      <c r="AQ84" s="13">
        <v>43426000.200000003</v>
      </c>
      <c r="AR84" s="14">
        <v>0</v>
      </c>
      <c r="AS84" s="13">
        <v>34922000.299999997</v>
      </c>
      <c r="AT84" s="14">
        <v>0</v>
      </c>
      <c r="AU84" s="13">
        <v>13185999.199999999</v>
      </c>
      <c r="AV84" s="14">
        <v>0</v>
      </c>
      <c r="AW84" s="13">
        <v>27211000.300000001</v>
      </c>
      <c r="AX84" s="14">
        <v>35914000</v>
      </c>
      <c r="AY84" s="13">
        <v>23619999.699999999</v>
      </c>
      <c r="AZ84" s="15">
        <v>24849000</v>
      </c>
      <c r="BA84" s="20">
        <v>25779000</v>
      </c>
      <c r="BB84" s="21">
        <v>30771000</v>
      </c>
      <c r="BC84" s="20">
        <v>18496000</v>
      </c>
      <c r="BD84" s="21">
        <v>27211000</v>
      </c>
    </row>
    <row r="85" spans="1:56" ht="12" customHeight="1">
      <c r="A85" s="7" t="s">
        <v>200</v>
      </c>
      <c r="B85" s="8">
        <v>10031830</v>
      </c>
      <c r="C85" s="24" t="s">
        <v>201</v>
      </c>
      <c r="D85" s="19">
        <v>1560011700</v>
      </c>
      <c r="E85" s="10">
        <f t="shared" si="4"/>
        <v>43333658.333333336</v>
      </c>
      <c r="F85" s="8" t="s">
        <v>31</v>
      </c>
      <c r="G85" s="8">
        <v>196</v>
      </c>
      <c r="H85" s="35" t="s">
        <v>202</v>
      </c>
      <c r="I85" s="11" t="s">
        <v>448</v>
      </c>
      <c r="J85" s="9">
        <f t="shared" si="6"/>
        <v>392284000.39999998</v>
      </c>
      <c r="K85" s="9">
        <f t="shared" si="7"/>
        <v>342922000</v>
      </c>
      <c r="L85" s="12">
        <f t="shared" si="5"/>
        <v>0.87416769394197302</v>
      </c>
      <c r="M85" s="13">
        <v>0</v>
      </c>
      <c r="N85" s="14">
        <v>0</v>
      </c>
      <c r="O85" s="13">
        <v>0</v>
      </c>
      <c r="P85" s="14">
        <v>0</v>
      </c>
      <c r="Q85" s="13">
        <v>0</v>
      </c>
      <c r="R85" s="14">
        <v>0</v>
      </c>
      <c r="S85" s="13">
        <v>0</v>
      </c>
      <c r="T85" s="14">
        <v>0</v>
      </c>
      <c r="U85" s="13">
        <v>0</v>
      </c>
      <c r="V85" s="14">
        <v>0</v>
      </c>
      <c r="W85" s="13">
        <v>0</v>
      </c>
      <c r="X85" s="14">
        <v>0</v>
      </c>
      <c r="Y85" s="13">
        <v>0</v>
      </c>
      <c r="Z85" s="14">
        <v>0</v>
      </c>
      <c r="AA85" s="13">
        <v>0</v>
      </c>
      <c r="AB85" s="14">
        <v>0</v>
      </c>
      <c r="AC85" s="13">
        <v>0</v>
      </c>
      <c r="AD85" s="14">
        <v>0</v>
      </c>
      <c r="AE85" s="13">
        <v>0</v>
      </c>
      <c r="AF85" s="14">
        <v>0</v>
      </c>
      <c r="AG85" s="13">
        <v>0</v>
      </c>
      <c r="AH85" s="14">
        <v>0</v>
      </c>
      <c r="AI85" s="13">
        <v>0</v>
      </c>
      <c r="AJ85" s="14">
        <v>0</v>
      </c>
      <c r="AK85" s="13">
        <v>0</v>
      </c>
      <c r="AL85" s="14">
        <v>0</v>
      </c>
      <c r="AM85" s="13">
        <v>30213000.399999999</v>
      </c>
      <c r="AN85" s="14">
        <v>0</v>
      </c>
      <c r="AO85" s="13">
        <v>40579000</v>
      </c>
      <c r="AP85" s="14">
        <v>30213000</v>
      </c>
      <c r="AQ85" s="13">
        <v>35193999.5</v>
      </c>
      <c r="AR85" s="14">
        <v>40579000</v>
      </c>
      <c r="AS85" s="13">
        <v>41632000.299999997</v>
      </c>
      <c r="AT85" s="14">
        <v>35194000</v>
      </c>
      <c r="AU85" s="13">
        <v>49074999.600000001</v>
      </c>
      <c r="AV85" s="14">
        <v>41632000</v>
      </c>
      <c r="AW85" s="13">
        <v>47353000.200000003</v>
      </c>
      <c r="AX85" s="14">
        <v>49075000</v>
      </c>
      <c r="AY85" s="13">
        <v>45954000.399999999</v>
      </c>
      <c r="AZ85" s="15">
        <v>47353000</v>
      </c>
      <c r="BA85" s="20">
        <v>52922000</v>
      </c>
      <c r="BB85" s="21">
        <v>45954000</v>
      </c>
      <c r="BC85" s="20">
        <v>49362000</v>
      </c>
      <c r="BD85" s="21">
        <v>52922000</v>
      </c>
    </row>
    <row r="86" spans="1:56" ht="12" customHeight="1">
      <c r="A86" s="7" t="s">
        <v>203</v>
      </c>
      <c r="B86" s="8">
        <v>10032898</v>
      </c>
      <c r="C86" s="24" t="s">
        <v>508</v>
      </c>
      <c r="D86" s="19">
        <v>573965000</v>
      </c>
      <c r="E86" s="10">
        <f t="shared" si="4"/>
        <v>15943472.222222222</v>
      </c>
      <c r="F86" s="8" t="s">
        <v>31</v>
      </c>
      <c r="G86" s="8">
        <v>100</v>
      </c>
      <c r="H86" s="35" t="s">
        <v>63</v>
      </c>
      <c r="I86" s="11" t="s">
        <v>448</v>
      </c>
      <c r="J86" s="9">
        <f t="shared" si="6"/>
        <v>45344002.100000001</v>
      </c>
      <c r="K86" s="9">
        <f t="shared" si="7"/>
        <v>35344000</v>
      </c>
      <c r="L86" s="12">
        <f t="shared" si="5"/>
        <v>0.7794636195114325</v>
      </c>
      <c r="M86" s="13">
        <v>0</v>
      </c>
      <c r="N86" s="14">
        <v>0</v>
      </c>
      <c r="O86" s="13">
        <v>0</v>
      </c>
      <c r="P86" s="14">
        <v>0</v>
      </c>
      <c r="Q86" s="13">
        <v>0</v>
      </c>
      <c r="R86" s="14">
        <v>0</v>
      </c>
      <c r="S86" s="13">
        <v>0</v>
      </c>
      <c r="T86" s="14">
        <v>0</v>
      </c>
      <c r="U86" s="13">
        <v>0</v>
      </c>
      <c r="V86" s="14">
        <v>0</v>
      </c>
      <c r="W86" s="13">
        <v>0</v>
      </c>
      <c r="X86" s="14">
        <v>0</v>
      </c>
      <c r="Y86" s="13">
        <v>0</v>
      </c>
      <c r="Z86" s="14">
        <v>0</v>
      </c>
      <c r="AA86" s="13">
        <v>0</v>
      </c>
      <c r="AB86" s="14">
        <v>0</v>
      </c>
      <c r="AC86" s="13">
        <v>0</v>
      </c>
      <c r="AD86" s="14">
        <v>0</v>
      </c>
      <c r="AE86" s="13">
        <v>0</v>
      </c>
      <c r="AF86" s="14">
        <v>0</v>
      </c>
      <c r="AG86" s="13">
        <v>0</v>
      </c>
      <c r="AH86" s="14">
        <v>0</v>
      </c>
      <c r="AI86" s="13">
        <v>0</v>
      </c>
      <c r="AJ86" s="14">
        <v>0</v>
      </c>
      <c r="AK86" s="13">
        <v>0</v>
      </c>
      <c r="AL86" s="14">
        <v>0</v>
      </c>
      <c r="AM86" s="13">
        <v>5000000.5</v>
      </c>
      <c r="AN86" s="14">
        <v>0</v>
      </c>
      <c r="AO86" s="13">
        <v>5000000.5</v>
      </c>
      <c r="AP86" s="14">
        <v>0</v>
      </c>
      <c r="AQ86" s="13">
        <v>5000000.5</v>
      </c>
      <c r="AR86" s="14">
        <v>5000000</v>
      </c>
      <c r="AS86" s="13">
        <v>5000000.5</v>
      </c>
      <c r="AT86" s="14">
        <v>5000000</v>
      </c>
      <c r="AU86" s="13">
        <v>5000000.5</v>
      </c>
      <c r="AV86" s="14">
        <v>5000000</v>
      </c>
      <c r="AW86" s="13">
        <v>4999999.4000000004</v>
      </c>
      <c r="AX86" s="14">
        <v>5000000</v>
      </c>
      <c r="AY86" s="13">
        <v>5344000.2</v>
      </c>
      <c r="AZ86" s="15">
        <v>5000000</v>
      </c>
      <c r="BA86" s="20">
        <v>5000000</v>
      </c>
      <c r="BB86" s="21">
        <v>5000000</v>
      </c>
      <c r="BC86" s="20">
        <v>5000000</v>
      </c>
      <c r="BD86" s="21">
        <v>5344000</v>
      </c>
    </row>
    <row r="87" spans="1:56" ht="12" customHeight="1">
      <c r="A87" s="7" t="s">
        <v>204</v>
      </c>
      <c r="B87" s="8">
        <v>10034942</v>
      </c>
      <c r="C87" s="24" t="s">
        <v>205</v>
      </c>
      <c r="D87" s="19">
        <v>886530400</v>
      </c>
      <c r="E87" s="10">
        <f t="shared" si="4"/>
        <v>24625844.444444444</v>
      </c>
      <c r="F87" s="8" t="s">
        <v>31</v>
      </c>
      <c r="G87" s="8">
        <v>130</v>
      </c>
      <c r="H87" s="35" t="s">
        <v>105</v>
      </c>
      <c r="I87" s="11" t="s">
        <v>448</v>
      </c>
      <c r="J87" s="9">
        <f t="shared" si="6"/>
        <v>106504000.5</v>
      </c>
      <c r="K87" s="9">
        <f t="shared" si="7"/>
        <v>92747000</v>
      </c>
      <c r="L87" s="12">
        <f t="shared" si="5"/>
        <v>0.87083113840404525</v>
      </c>
      <c r="M87" s="13">
        <v>0</v>
      </c>
      <c r="N87" s="14">
        <v>0</v>
      </c>
      <c r="O87" s="13">
        <v>0</v>
      </c>
      <c r="P87" s="14">
        <v>0</v>
      </c>
      <c r="Q87" s="13">
        <v>0</v>
      </c>
      <c r="R87" s="14">
        <v>0</v>
      </c>
      <c r="S87" s="13">
        <v>0</v>
      </c>
      <c r="T87" s="14">
        <v>0</v>
      </c>
      <c r="U87" s="13">
        <v>0</v>
      </c>
      <c r="V87" s="14">
        <v>0</v>
      </c>
      <c r="W87" s="13">
        <v>0</v>
      </c>
      <c r="X87" s="14">
        <v>0</v>
      </c>
      <c r="Y87" s="13">
        <v>0</v>
      </c>
      <c r="Z87" s="14">
        <v>0</v>
      </c>
      <c r="AA87" s="13">
        <v>0</v>
      </c>
      <c r="AB87" s="14">
        <v>0</v>
      </c>
      <c r="AC87" s="13">
        <v>0</v>
      </c>
      <c r="AD87" s="14">
        <v>0</v>
      </c>
      <c r="AE87" s="13">
        <v>0</v>
      </c>
      <c r="AF87" s="14">
        <v>0</v>
      </c>
      <c r="AG87" s="13">
        <v>0</v>
      </c>
      <c r="AH87" s="14">
        <v>0</v>
      </c>
      <c r="AI87" s="13">
        <v>0</v>
      </c>
      <c r="AJ87" s="14">
        <v>0</v>
      </c>
      <c r="AK87" s="13">
        <v>0</v>
      </c>
      <c r="AL87" s="14">
        <v>0</v>
      </c>
      <c r="AM87" s="13">
        <v>4135000.1</v>
      </c>
      <c r="AN87" s="14">
        <v>0</v>
      </c>
      <c r="AO87" s="13">
        <v>15279000</v>
      </c>
      <c r="AP87" s="14">
        <v>4135000</v>
      </c>
      <c r="AQ87" s="13">
        <v>9724000</v>
      </c>
      <c r="AR87" s="14">
        <v>15279000</v>
      </c>
      <c r="AS87" s="13">
        <v>9053000</v>
      </c>
      <c r="AT87" s="14">
        <v>9724000</v>
      </c>
      <c r="AU87" s="13">
        <v>9579000.1999999993</v>
      </c>
      <c r="AV87" s="14">
        <v>9053000</v>
      </c>
      <c r="AW87" s="13">
        <v>12057999.800000001</v>
      </c>
      <c r="AX87" s="14">
        <v>9579000</v>
      </c>
      <c r="AY87" s="13">
        <v>13757000.4</v>
      </c>
      <c r="AZ87" s="15">
        <v>12058000</v>
      </c>
      <c r="BA87" s="20">
        <v>15562000</v>
      </c>
      <c r="BB87" s="21">
        <v>15562000</v>
      </c>
      <c r="BC87" s="20">
        <v>17357000</v>
      </c>
      <c r="BD87" s="21">
        <v>17357000</v>
      </c>
    </row>
    <row r="88" spans="1:56" ht="12" customHeight="1">
      <c r="A88" s="7" t="s">
        <v>206</v>
      </c>
      <c r="B88" s="8">
        <v>10035562</v>
      </c>
      <c r="C88" s="24" t="s">
        <v>207</v>
      </c>
      <c r="D88" s="19">
        <v>532358000</v>
      </c>
      <c r="E88" s="10">
        <f t="shared" si="4"/>
        <v>14787722.222222222</v>
      </c>
      <c r="F88" s="8" t="s">
        <v>31</v>
      </c>
      <c r="G88" s="8">
        <v>90</v>
      </c>
      <c r="H88" s="35" t="s">
        <v>87</v>
      </c>
      <c r="I88" s="11" t="s">
        <v>448</v>
      </c>
      <c r="J88" s="9">
        <f t="shared" si="6"/>
        <v>128155001.09999999</v>
      </c>
      <c r="K88" s="9">
        <f t="shared" si="7"/>
        <v>111918000</v>
      </c>
      <c r="L88" s="12">
        <f t="shared" si="5"/>
        <v>0.87330185353180112</v>
      </c>
      <c r="M88" s="13">
        <v>0</v>
      </c>
      <c r="N88" s="14">
        <v>0</v>
      </c>
      <c r="O88" s="13">
        <v>0</v>
      </c>
      <c r="P88" s="14">
        <v>0</v>
      </c>
      <c r="Q88" s="13">
        <v>0</v>
      </c>
      <c r="R88" s="14">
        <v>0</v>
      </c>
      <c r="S88" s="13">
        <v>0</v>
      </c>
      <c r="T88" s="14">
        <v>0</v>
      </c>
      <c r="U88" s="13">
        <v>0</v>
      </c>
      <c r="V88" s="14">
        <v>0</v>
      </c>
      <c r="W88" s="13">
        <v>0</v>
      </c>
      <c r="X88" s="14">
        <v>0</v>
      </c>
      <c r="Y88" s="13">
        <v>0</v>
      </c>
      <c r="Z88" s="14">
        <v>0</v>
      </c>
      <c r="AA88" s="13">
        <v>0</v>
      </c>
      <c r="AB88" s="14">
        <v>0</v>
      </c>
      <c r="AC88" s="13">
        <v>0</v>
      </c>
      <c r="AD88" s="14">
        <v>0</v>
      </c>
      <c r="AE88" s="13">
        <v>0</v>
      </c>
      <c r="AF88" s="14">
        <v>0</v>
      </c>
      <c r="AG88" s="13">
        <v>0</v>
      </c>
      <c r="AH88" s="14">
        <v>0</v>
      </c>
      <c r="AI88" s="13">
        <v>0</v>
      </c>
      <c r="AJ88" s="14">
        <v>0</v>
      </c>
      <c r="AK88" s="13">
        <v>0</v>
      </c>
      <c r="AL88" s="14">
        <v>0</v>
      </c>
      <c r="AM88" s="13">
        <v>2736000.3</v>
      </c>
      <c r="AN88" s="14">
        <v>0</v>
      </c>
      <c r="AO88" s="13">
        <v>18061000.100000001</v>
      </c>
      <c r="AP88" s="14">
        <v>2736000</v>
      </c>
      <c r="AQ88" s="13">
        <v>17875999.899999999</v>
      </c>
      <c r="AR88" s="14">
        <v>0</v>
      </c>
      <c r="AS88" s="13">
        <v>18840000.300000001</v>
      </c>
      <c r="AT88" s="14">
        <v>35937000</v>
      </c>
      <c r="AU88" s="13">
        <v>15092999.9</v>
      </c>
      <c r="AV88" s="14">
        <v>18840000</v>
      </c>
      <c r="AW88" s="13">
        <v>12766000.5</v>
      </c>
      <c r="AX88" s="14">
        <v>15093000</v>
      </c>
      <c r="AY88" s="13">
        <v>10933000.1</v>
      </c>
      <c r="AZ88" s="15">
        <v>12766000</v>
      </c>
      <c r="BA88" s="20">
        <v>15613000</v>
      </c>
      <c r="BB88" s="21">
        <v>10933000</v>
      </c>
      <c r="BC88" s="20">
        <v>16237000</v>
      </c>
      <c r="BD88" s="21">
        <v>15613000</v>
      </c>
    </row>
    <row r="89" spans="1:56" ht="12" customHeight="1">
      <c r="A89" s="7" t="s">
        <v>208</v>
      </c>
      <c r="B89" s="8">
        <v>10035927</v>
      </c>
      <c r="C89" s="24" t="s">
        <v>209</v>
      </c>
      <c r="D89" s="19">
        <v>543904933</v>
      </c>
      <c r="E89" s="10">
        <f t="shared" si="4"/>
        <v>15108470.361111112</v>
      </c>
      <c r="F89" s="8" t="s">
        <v>31</v>
      </c>
      <c r="G89" s="8">
        <v>49</v>
      </c>
      <c r="H89" s="35" t="s">
        <v>210</v>
      </c>
      <c r="I89" s="11" t="s">
        <v>448</v>
      </c>
      <c r="J89" s="9">
        <f t="shared" si="6"/>
        <v>101101002</v>
      </c>
      <c r="K89" s="9">
        <f t="shared" si="7"/>
        <v>90948000</v>
      </c>
      <c r="L89" s="12">
        <f t="shared" si="5"/>
        <v>0.89957565405731588</v>
      </c>
      <c r="M89" s="13">
        <v>0</v>
      </c>
      <c r="N89" s="14">
        <v>0</v>
      </c>
      <c r="O89" s="13">
        <v>0</v>
      </c>
      <c r="P89" s="14">
        <v>0</v>
      </c>
      <c r="Q89" s="13">
        <v>0</v>
      </c>
      <c r="R89" s="14">
        <v>0</v>
      </c>
      <c r="S89" s="13">
        <v>0</v>
      </c>
      <c r="T89" s="14">
        <v>0</v>
      </c>
      <c r="U89" s="13">
        <v>0</v>
      </c>
      <c r="V89" s="14">
        <v>0</v>
      </c>
      <c r="W89" s="13">
        <v>0</v>
      </c>
      <c r="X89" s="14">
        <v>0</v>
      </c>
      <c r="Y89" s="13">
        <v>0</v>
      </c>
      <c r="Z89" s="14">
        <v>0</v>
      </c>
      <c r="AA89" s="13">
        <v>0</v>
      </c>
      <c r="AB89" s="14">
        <v>0</v>
      </c>
      <c r="AC89" s="13">
        <v>0</v>
      </c>
      <c r="AD89" s="14">
        <v>0</v>
      </c>
      <c r="AE89" s="13">
        <v>0</v>
      </c>
      <c r="AF89" s="14">
        <v>0</v>
      </c>
      <c r="AG89" s="13">
        <v>0</v>
      </c>
      <c r="AH89" s="14">
        <v>0</v>
      </c>
      <c r="AI89" s="13">
        <v>0</v>
      </c>
      <c r="AJ89" s="14">
        <v>0</v>
      </c>
      <c r="AK89" s="13">
        <v>0</v>
      </c>
      <c r="AL89" s="14">
        <v>0</v>
      </c>
      <c r="AM89" s="13">
        <v>3055000.3</v>
      </c>
      <c r="AN89" s="14">
        <v>0</v>
      </c>
      <c r="AO89" s="13">
        <v>12194000.5</v>
      </c>
      <c r="AP89" s="14">
        <v>0</v>
      </c>
      <c r="AQ89" s="13">
        <v>10062000.300000001</v>
      </c>
      <c r="AR89" s="14">
        <v>15249000</v>
      </c>
      <c r="AS89" s="13">
        <v>15742999.800000001</v>
      </c>
      <c r="AT89" s="14">
        <v>10062000</v>
      </c>
      <c r="AU89" s="13">
        <v>13273000.4</v>
      </c>
      <c r="AV89" s="14">
        <v>15743000</v>
      </c>
      <c r="AW89" s="13">
        <v>12415000.4</v>
      </c>
      <c r="AX89" s="14">
        <v>13273000</v>
      </c>
      <c r="AY89" s="13">
        <v>13923000.300000001</v>
      </c>
      <c r="AZ89" s="15">
        <v>12415000</v>
      </c>
      <c r="BA89" s="20">
        <v>10283000</v>
      </c>
      <c r="BB89" s="21">
        <v>13923000</v>
      </c>
      <c r="BC89" s="20">
        <v>10153000</v>
      </c>
      <c r="BD89" s="21">
        <v>10283000</v>
      </c>
    </row>
    <row r="90" spans="1:56" ht="12" customHeight="1">
      <c r="A90" s="7" t="s">
        <v>211</v>
      </c>
      <c r="B90" s="8">
        <v>10036531</v>
      </c>
      <c r="C90" s="24" t="s">
        <v>212</v>
      </c>
      <c r="D90" s="19">
        <v>283312000</v>
      </c>
      <c r="E90" s="10">
        <f t="shared" si="4"/>
        <v>7869777.777777778</v>
      </c>
      <c r="F90" s="8" t="s">
        <v>31</v>
      </c>
      <c r="G90" s="8">
        <v>40</v>
      </c>
      <c r="H90" s="35" t="s">
        <v>213</v>
      </c>
      <c r="I90" s="11" t="s">
        <v>448</v>
      </c>
      <c r="J90" s="9">
        <f t="shared" si="6"/>
        <v>45134001.299999997</v>
      </c>
      <c r="K90" s="9">
        <f t="shared" si="7"/>
        <v>38660000</v>
      </c>
      <c r="L90" s="12">
        <f t="shared" si="5"/>
        <v>0.8565604397233002</v>
      </c>
      <c r="M90" s="13">
        <v>0</v>
      </c>
      <c r="N90" s="14">
        <v>0</v>
      </c>
      <c r="O90" s="13">
        <v>0</v>
      </c>
      <c r="P90" s="14">
        <v>0</v>
      </c>
      <c r="Q90" s="13">
        <v>0</v>
      </c>
      <c r="R90" s="14">
        <v>0</v>
      </c>
      <c r="S90" s="13">
        <v>0</v>
      </c>
      <c r="T90" s="14">
        <v>0</v>
      </c>
      <c r="U90" s="13">
        <v>0</v>
      </c>
      <c r="V90" s="14">
        <v>0</v>
      </c>
      <c r="W90" s="13">
        <v>0</v>
      </c>
      <c r="X90" s="14">
        <v>0</v>
      </c>
      <c r="Y90" s="13">
        <v>0</v>
      </c>
      <c r="Z90" s="14">
        <v>0</v>
      </c>
      <c r="AA90" s="13">
        <v>0</v>
      </c>
      <c r="AB90" s="14">
        <v>0</v>
      </c>
      <c r="AC90" s="13">
        <v>0</v>
      </c>
      <c r="AD90" s="14">
        <v>0</v>
      </c>
      <c r="AE90" s="13">
        <v>0</v>
      </c>
      <c r="AF90" s="14">
        <v>0</v>
      </c>
      <c r="AG90" s="13">
        <v>0</v>
      </c>
      <c r="AH90" s="14">
        <v>0</v>
      </c>
      <c r="AI90" s="13">
        <v>0</v>
      </c>
      <c r="AJ90" s="14">
        <v>0</v>
      </c>
      <c r="AK90" s="13">
        <v>0</v>
      </c>
      <c r="AL90" s="14">
        <v>0</v>
      </c>
      <c r="AM90" s="13">
        <v>3120000.4</v>
      </c>
      <c r="AN90" s="14">
        <v>0</v>
      </c>
      <c r="AO90" s="13">
        <v>4914000.3</v>
      </c>
      <c r="AP90" s="14">
        <v>3120000</v>
      </c>
      <c r="AQ90" s="13">
        <v>3276000.2</v>
      </c>
      <c r="AR90" s="14">
        <v>4914000</v>
      </c>
      <c r="AS90" s="13">
        <v>4719000</v>
      </c>
      <c r="AT90" s="14">
        <v>3276000</v>
      </c>
      <c r="AU90" s="13">
        <v>4523999.7</v>
      </c>
      <c r="AV90" s="14">
        <v>0</v>
      </c>
      <c r="AW90" s="13">
        <v>5068000.3</v>
      </c>
      <c r="AX90" s="14">
        <v>9243000</v>
      </c>
      <c r="AY90" s="13">
        <v>5265000.4000000004</v>
      </c>
      <c r="AZ90" s="15">
        <v>5068000</v>
      </c>
      <c r="BA90" s="20">
        <v>7774000</v>
      </c>
      <c r="BB90" s="21">
        <v>5265000</v>
      </c>
      <c r="BC90" s="20">
        <v>6474000</v>
      </c>
      <c r="BD90" s="21">
        <v>7774000</v>
      </c>
    </row>
    <row r="91" spans="1:56" ht="12" customHeight="1">
      <c r="A91" s="7" t="s">
        <v>214</v>
      </c>
      <c r="B91" s="8">
        <v>10036639</v>
      </c>
      <c r="C91" s="24" t="s">
        <v>215</v>
      </c>
      <c r="D91" s="19">
        <v>1714735000</v>
      </c>
      <c r="E91" s="10">
        <f t="shared" si="4"/>
        <v>47631527.777777776</v>
      </c>
      <c r="F91" s="8" t="s">
        <v>31</v>
      </c>
      <c r="G91" s="8">
        <v>288</v>
      </c>
      <c r="H91" s="35" t="s">
        <v>216</v>
      </c>
      <c r="I91" s="11" t="s">
        <v>448</v>
      </c>
      <c r="J91" s="9">
        <f t="shared" si="6"/>
        <v>492711999.70000005</v>
      </c>
      <c r="K91" s="9">
        <f t="shared" si="7"/>
        <v>326131000</v>
      </c>
      <c r="L91" s="12">
        <f t="shared" si="5"/>
        <v>0.66191000056538707</v>
      </c>
      <c r="M91" s="13">
        <v>0</v>
      </c>
      <c r="N91" s="14">
        <v>0</v>
      </c>
      <c r="O91" s="13">
        <v>0</v>
      </c>
      <c r="P91" s="14">
        <v>0</v>
      </c>
      <c r="Q91" s="13">
        <v>0</v>
      </c>
      <c r="R91" s="14">
        <v>0</v>
      </c>
      <c r="S91" s="13">
        <v>0</v>
      </c>
      <c r="T91" s="14">
        <v>0</v>
      </c>
      <c r="U91" s="13">
        <v>0</v>
      </c>
      <c r="V91" s="14">
        <v>0</v>
      </c>
      <c r="W91" s="13">
        <v>0</v>
      </c>
      <c r="X91" s="14">
        <v>0</v>
      </c>
      <c r="Y91" s="13">
        <v>0</v>
      </c>
      <c r="Z91" s="14">
        <v>0</v>
      </c>
      <c r="AA91" s="13">
        <v>0</v>
      </c>
      <c r="AB91" s="14">
        <v>0</v>
      </c>
      <c r="AC91" s="13">
        <v>0</v>
      </c>
      <c r="AD91" s="14">
        <v>0</v>
      </c>
      <c r="AE91" s="13">
        <v>0</v>
      </c>
      <c r="AF91" s="14">
        <v>0</v>
      </c>
      <c r="AG91" s="13">
        <v>0</v>
      </c>
      <c r="AH91" s="14">
        <v>0</v>
      </c>
      <c r="AI91" s="13">
        <v>0</v>
      </c>
      <c r="AJ91" s="14">
        <v>0</v>
      </c>
      <c r="AK91" s="13">
        <v>0</v>
      </c>
      <c r="AL91" s="14">
        <v>0</v>
      </c>
      <c r="AM91" s="13">
        <v>893999.7</v>
      </c>
      <c r="AN91" s="14">
        <v>0</v>
      </c>
      <c r="AO91" s="13">
        <v>14399999.9</v>
      </c>
      <c r="AP91" s="14">
        <v>0</v>
      </c>
      <c r="AQ91" s="13">
        <v>24294000.5</v>
      </c>
      <c r="AR91" s="14">
        <v>894000</v>
      </c>
      <c r="AS91" s="13">
        <v>59081999.899999999</v>
      </c>
      <c r="AT91" s="14">
        <v>6699000</v>
      </c>
      <c r="AU91" s="13">
        <v>73190000.400000006</v>
      </c>
      <c r="AV91" s="14">
        <v>31995000</v>
      </c>
      <c r="AW91" s="13">
        <v>68334999.700000003</v>
      </c>
      <c r="AX91" s="14">
        <v>0</v>
      </c>
      <c r="AY91" s="13">
        <v>85935999.599999994</v>
      </c>
      <c r="AZ91" s="15">
        <v>132272000</v>
      </c>
      <c r="BA91" s="20">
        <v>90043000</v>
      </c>
      <c r="BB91" s="21">
        <v>68335000</v>
      </c>
      <c r="BC91" s="20">
        <v>76538000</v>
      </c>
      <c r="BD91" s="21">
        <v>85936000</v>
      </c>
    </row>
    <row r="92" spans="1:56" ht="12" customHeight="1">
      <c r="A92" s="7" t="s">
        <v>217</v>
      </c>
      <c r="B92" s="8">
        <v>10038259</v>
      </c>
      <c r="C92" s="24" t="s">
        <v>218</v>
      </c>
      <c r="D92" s="19">
        <v>524260756</v>
      </c>
      <c r="E92" s="10">
        <f t="shared" si="4"/>
        <v>14562798.777777778</v>
      </c>
      <c r="F92" s="8" t="s">
        <v>31</v>
      </c>
      <c r="G92" s="8">
        <v>39</v>
      </c>
      <c r="H92" s="35" t="s">
        <v>50</v>
      </c>
      <c r="I92" s="11" t="s">
        <v>448</v>
      </c>
      <c r="J92" s="9">
        <f t="shared" si="6"/>
        <v>79891000.099999994</v>
      </c>
      <c r="K92" s="9">
        <f t="shared" si="7"/>
        <v>63830000</v>
      </c>
      <c r="L92" s="12">
        <f t="shared" si="5"/>
        <v>0.79896358688843105</v>
      </c>
      <c r="M92" s="13">
        <v>0</v>
      </c>
      <c r="N92" s="14">
        <v>0</v>
      </c>
      <c r="O92" s="13">
        <v>0</v>
      </c>
      <c r="P92" s="14">
        <v>0</v>
      </c>
      <c r="Q92" s="13">
        <v>0</v>
      </c>
      <c r="R92" s="14">
        <v>0</v>
      </c>
      <c r="S92" s="13">
        <v>0</v>
      </c>
      <c r="T92" s="14">
        <v>0</v>
      </c>
      <c r="U92" s="13">
        <v>0</v>
      </c>
      <c r="V92" s="14">
        <v>0</v>
      </c>
      <c r="W92" s="13">
        <v>0</v>
      </c>
      <c r="X92" s="14">
        <v>0</v>
      </c>
      <c r="Y92" s="13">
        <v>0</v>
      </c>
      <c r="Z92" s="14">
        <v>0</v>
      </c>
      <c r="AA92" s="13">
        <v>0</v>
      </c>
      <c r="AB92" s="14">
        <v>0</v>
      </c>
      <c r="AC92" s="13">
        <v>0</v>
      </c>
      <c r="AD92" s="14">
        <v>0</v>
      </c>
      <c r="AE92" s="13">
        <v>0</v>
      </c>
      <c r="AF92" s="14">
        <v>0</v>
      </c>
      <c r="AG92" s="13">
        <v>0</v>
      </c>
      <c r="AH92" s="14">
        <v>0</v>
      </c>
      <c r="AI92" s="13">
        <v>0</v>
      </c>
      <c r="AJ92" s="14">
        <v>0</v>
      </c>
      <c r="AK92" s="13">
        <v>0</v>
      </c>
      <c r="AL92" s="14">
        <v>0</v>
      </c>
      <c r="AM92" s="13">
        <v>5355000.2</v>
      </c>
      <c r="AN92" s="14">
        <v>0</v>
      </c>
      <c r="AO92" s="13">
        <v>8120999.7000000002</v>
      </c>
      <c r="AP92" s="14">
        <v>5355000</v>
      </c>
      <c r="AQ92" s="13">
        <v>10372000.1</v>
      </c>
      <c r="AR92" s="14">
        <v>8121000</v>
      </c>
      <c r="AS92" s="13">
        <v>6112000.4000000004</v>
      </c>
      <c r="AT92" s="14">
        <v>10372000</v>
      </c>
      <c r="AU92" s="13">
        <v>5887999.7000000002</v>
      </c>
      <c r="AV92" s="14">
        <v>6112000</v>
      </c>
      <c r="AW92" s="13">
        <v>8771999.5</v>
      </c>
      <c r="AX92" s="14">
        <v>5888000</v>
      </c>
      <c r="AY92" s="13">
        <v>9422000.5</v>
      </c>
      <c r="AZ92" s="15">
        <v>8772000</v>
      </c>
      <c r="BA92" s="20">
        <v>9788000</v>
      </c>
      <c r="BB92" s="21">
        <v>9422000</v>
      </c>
      <c r="BC92" s="20">
        <v>16061000</v>
      </c>
      <c r="BD92" s="21">
        <v>9788000</v>
      </c>
    </row>
    <row r="93" spans="1:56" ht="12" customHeight="1">
      <c r="A93" s="7" t="s">
        <v>219</v>
      </c>
      <c r="B93" s="8">
        <v>10038463</v>
      </c>
      <c r="C93" s="24" t="s">
        <v>509</v>
      </c>
      <c r="D93" s="19">
        <v>347394000</v>
      </c>
      <c r="E93" s="10">
        <f t="shared" si="4"/>
        <v>9649833.333333334</v>
      </c>
      <c r="F93" s="8" t="s">
        <v>31</v>
      </c>
      <c r="G93" s="8">
        <v>50</v>
      </c>
      <c r="H93" s="35" t="s">
        <v>220</v>
      </c>
      <c r="I93" s="11" t="s">
        <v>448</v>
      </c>
      <c r="J93" s="9">
        <f t="shared" si="6"/>
        <v>73800000.199999988</v>
      </c>
      <c r="K93" s="9">
        <f t="shared" si="7"/>
        <v>63979000</v>
      </c>
      <c r="L93" s="12">
        <f t="shared" si="5"/>
        <v>0.86692411689180471</v>
      </c>
      <c r="M93" s="13">
        <v>0</v>
      </c>
      <c r="N93" s="14">
        <v>0</v>
      </c>
      <c r="O93" s="13">
        <v>0</v>
      </c>
      <c r="P93" s="14">
        <v>0</v>
      </c>
      <c r="Q93" s="13">
        <v>0</v>
      </c>
      <c r="R93" s="14">
        <v>0</v>
      </c>
      <c r="S93" s="13">
        <v>0</v>
      </c>
      <c r="T93" s="14">
        <v>0</v>
      </c>
      <c r="U93" s="13">
        <v>0</v>
      </c>
      <c r="V93" s="14">
        <v>0</v>
      </c>
      <c r="W93" s="13">
        <v>0</v>
      </c>
      <c r="X93" s="14">
        <v>0</v>
      </c>
      <c r="Y93" s="13">
        <v>0</v>
      </c>
      <c r="Z93" s="14">
        <v>0</v>
      </c>
      <c r="AA93" s="13">
        <v>0</v>
      </c>
      <c r="AB93" s="14">
        <v>0</v>
      </c>
      <c r="AC93" s="13">
        <v>0</v>
      </c>
      <c r="AD93" s="14">
        <v>0</v>
      </c>
      <c r="AE93" s="13">
        <v>0</v>
      </c>
      <c r="AF93" s="14">
        <v>0</v>
      </c>
      <c r="AG93" s="13">
        <v>0</v>
      </c>
      <c r="AH93" s="14">
        <v>0</v>
      </c>
      <c r="AI93" s="13">
        <v>0</v>
      </c>
      <c r="AJ93" s="14">
        <v>0</v>
      </c>
      <c r="AK93" s="13">
        <v>0</v>
      </c>
      <c r="AL93" s="14">
        <v>0</v>
      </c>
      <c r="AM93" s="13">
        <v>10291000.5</v>
      </c>
      <c r="AN93" s="14">
        <v>0</v>
      </c>
      <c r="AO93" s="13">
        <v>11637000.1</v>
      </c>
      <c r="AP93" s="14">
        <v>0</v>
      </c>
      <c r="AQ93" s="13">
        <v>7196999.7000000002</v>
      </c>
      <c r="AR93" s="14">
        <v>0</v>
      </c>
      <c r="AS93" s="13">
        <v>9195000.0999999996</v>
      </c>
      <c r="AT93" s="14">
        <v>10291000</v>
      </c>
      <c r="AU93" s="13">
        <v>6183999.7999999998</v>
      </c>
      <c r="AV93" s="14">
        <v>11637000</v>
      </c>
      <c r="AW93" s="13">
        <v>7475000.5</v>
      </c>
      <c r="AX93" s="14">
        <v>16392000</v>
      </c>
      <c r="AY93" s="13">
        <v>7902999.5</v>
      </c>
      <c r="AZ93" s="15">
        <v>6184000</v>
      </c>
      <c r="BA93" s="20">
        <v>7825000</v>
      </c>
      <c r="BB93" s="21">
        <v>9475000</v>
      </c>
      <c r="BC93" s="20">
        <v>6093000</v>
      </c>
      <c r="BD93" s="21">
        <v>10000000</v>
      </c>
    </row>
    <row r="94" spans="1:56" ht="12" customHeight="1">
      <c r="A94" s="7" t="s">
        <v>221</v>
      </c>
      <c r="B94" s="8">
        <v>10038694</v>
      </c>
      <c r="C94" s="24" t="s">
        <v>510</v>
      </c>
      <c r="D94" s="19">
        <v>2157032800</v>
      </c>
      <c r="E94" s="10">
        <f t="shared" si="4"/>
        <v>59917577.777777776</v>
      </c>
      <c r="F94" s="8" t="s">
        <v>31</v>
      </c>
      <c r="G94" s="8">
        <v>264</v>
      </c>
      <c r="H94" s="35" t="s">
        <v>213</v>
      </c>
      <c r="I94" s="11" t="s">
        <v>448</v>
      </c>
      <c r="J94" s="9">
        <f t="shared" si="6"/>
        <v>179608000.59999999</v>
      </c>
      <c r="K94" s="9">
        <f t="shared" si="7"/>
        <v>119808000</v>
      </c>
      <c r="L94" s="12">
        <f t="shared" si="5"/>
        <v>0.66705269030203773</v>
      </c>
      <c r="M94" s="13">
        <v>0</v>
      </c>
      <c r="N94" s="14">
        <v>0</v>
      </c>
      <c r="O94" s="13">
        <v>0</v>
      </c>
      <c r="P94" s="14">
        <v>0</v>
      </c>
      <c r="Q94" s="13">
        <v>0</v>
      </c>
      <c r="R94" s="14">
        <v>0</v>
      </c>
      <c r="S94" s="13">
        <v>0</v>
      </c>
      <c r="T94" s="14">
        <v>0</v>
      </c>
      <c r="U94" s="13">
        <v>0</v>
      </c>
      <c r="V94" s="14">
        <v>0</v>
      </c>
      <c r="W94" s="13">
        <v>0</v>
      </c>
      <c r="X94" s="14">
        <v>0</v>
      </c>
      <c r="Y94" s="13">
        <v>0</v>
      </c>
      <c r="Z94" s="14">
        <v>0</v>
      </c>
      <c r="AA94" s="13">
        <v>0</v>
      </c>
      <c r="AB94" s="14">
        <v>0</v>
      </c>
      <c r="AC94" s="13">
        <v>0</v>
      </c>
      <c r="AD94" s="14">
        <v>0</v>
      </c>
      <c r="AE94" s="13">
        <v>0</v>
      </c>
      <c r="AF94" s="14">
        <v>0</v>
      </c>
      <c r="AG94" s="13">
        <v>0</v>
      </c>
      <c r="AH94" s="14">
        <v>0</v>
      </c>
      <c r="AI94" s="13">
        <v>0</v>
      </c>
      <c r="AJ94" s="14">
        <v>0</v>
      </c>
      <c r="AK94" s="13">
        <v>0</v>
      </c>
      <c r="AL94" s="14">
        <v>0</v>
      </c>
      <c r="AM94" s="13">
        <v>2937999.9</v>
      </c>
      <c r="AN94" s="14">
        <v>0</v>
      </c>
      <c r="AO94" s="13">
        <v>19297999.600000001</v>
      </c>
      <c r="AP94" s="14">
        <v>0</v>
      </c>
      <c r="AQ94" s="13">
        <v>14372000.5</v>
      </c>
      <c r="AR94" s="14">
        <v>0</v>
      </c>
      <c r="AS94" s="13">
        <v>0</v>
      </c>
      <c r="AT94" s="14">
        <v>22236000</v>
      </c>
      <c r="AU94" s="13">
        <v>39650000.5</v>
      </c>
      <c r="AV94" s="14">
        <v>14372000</v>
      </c>
      <c r="AW94" s="13">
        <v>0</v>
      </c>
      <c r="AX94" s="14">
        <v>0</v>
      </c>
      <c r="AY94" s="13">
        <v>42250000.100000001</v>
      </c>
      <c r="AZ94" s="15">
        <v>39650000</v>
      </c>
      <c r="BA94" s="20">
        <v>1300000</v>
      </c>
      <c r="BB94" s="21">
        <v>42250000</v>
      </c>
      <c r="BC94" s="20">
        <v>59800000</v>
      </c>
      <c r="BD94" s="21">
        <v>1300000</v>
      </c>
    </row>
    <row r="95" spans="1:56" ht="12" customHeight="1">
      <c r="A95" s="7" t="s">
        <v>222</v>
      </c>
      <c r="B95" s="8">
        <v>10040095</v>
      </c>
      <c r="C95" s="24" t="s">
        <v>223</v>
      </c>
      <c r="D95" s="19">
        <v>255917000</v>
      </c>
      <c r="E95" s="10">
        <f t="shared" si="4"/>
        <v>7108805.555555556</v>
      </c>
      <c r="F95" s="8" t="s">
        <v>31</v>
      </c>
      <c r="G95" s="8">
        <v>40</v>
      </c>
      <c r="H95" s="35" t="s">
        <v>32</v>
      </c>
      <c r="I95" s="11" t="s">
        <v>448</v>
      </c>
      <c r="J95" s="9">
        <f t="shared" si="6"/>
        <v>72017000.099999994</v>
      </c>
      <c r="K95" s="9">
        <f t="shared" si="7"/>
        <v>60193000</v>
      </c>
      <c r="L95" s="12">
        <f t="shared" si="5"/>
        <v>0.83581654215557921</v>
      </c>
      <c r="M95" s="13">
        <v>0</v>
      </c>
      <c r="N95" s="14">
        <v>0</v>
      </c>
      <c r="O95" s="13">
        <v>0</v>
      </c>
      <c r="P95" s="14">
        <v>0</v>
      </c>
      <c r="Q95" s="13">
        <v>0</v>
      </c>
      <c r="R95" s="14">
        <v>0</v>
      </c>
      <c r="S95" s="13">
        <v>0</v>
      </c>
      <c r="T95" s="14">
        <v>0</v>
      </c>
      <c r="U95" s="13">
        <v>0</v>
      </c>
      <c r="V95" s="14">
        <v>0</v>
      </c>
      <c r="W95" s="13">
        <v>0</v>
      </c>
      <c r="X95" s="14">
        <v>0</v>
      </c>
      <c r="Y95" s="13">
        <v>0</v>
      </c>
      <c r="Z95" s="14">
        <v>0</v>
      </c>
      <c r="AA95" s="13">
        <v>0</v>
      </c>
      <c r="AB95" s="14">
        <v>0</v>
      </c>
      <c r="AC95" s="13">
        <v>0</v>
      </c>
      <c r="AD95" s="14">
        <v>0</v>
      </c>
      <c r="AE95" s="13">
        <v>0</v>
      </c>
      <c r="AF95" s="14">
        <v>0</v>
      </c>
      <c r="AG95" s="13">
        <v>0</v>
      </c>
      <c r="AH95" s="14">
        <v>0</v>
      </c>
      <c r="AI95" s="13">
        <v>0</v>
      </c>
      <c r="AJ95" s="14">
        <v>0</v>
      </c>
      <c r="AK95" s="13">
        <v>0</v>
      </c>
      <c r="AL95" s="14">
        <v>0</v>
      </c>
      <c r="AM95" s="13">
        <v>7234000.4000000004</v>
      </c>
      <c r="AN95" s="14">
        <v>0</v>
      </c>
      <c r="AO95" s="13">
        <v>7143999.5</v>
      </c>
      <c r="AP95" s="14">
        <v>7234000</v>
      </c>
      <c r="AQ95" s="13">
        <v>6464000.4000000004</v>
      </c>
      <c r="AR95" s="14">
        <v>7144000</v>
      </c>
      <c r="AS95" s="13">
        <v>8275999.5999999996</v>
      </c>
      <c r="AT95" s="14">
        <v>6464000</v>
      </c>
      <c r="AU95" s="13">
        <v>7195999.7999999998</v>
      </c>
      <c r="AV95" s="14">
        <v>8276000</v>
      </c>
      <c r="AW95" s="13">
        <v>7126000.2000000002</v>
      </c>
      <c r="AX95" s="14">
        <v>7196000</v>
      </c>
      <c r="AY95" s="13">
        <v>6609000.2000000002</v>
      </c>
      <c r="AZ95" s="15">
        <v>7126000</v>
      </c>
      <c r="BA95" s="20">
        <v>10144000</v>
      </c>
      <c r="BB95" s="21">
        <v>6609000</v>
      </c>
      <c r="BC95" s="20">
        <v>11824000</v>
      </c>
      <c r="BD95" s="21">
        <v>10144000</v>
      </c>
    </row>
    <row r="96" spans="1:56" ht="12" customHeight="1">
      <c r="A96" s="7" t="s">
        <v>224</v>
      </c>
      <c r="B96" s="8">
        <v>10041141</v>
      </c>
      <c r="C96" s="24" t="s">
        <v>511</v>
      </c>
      <c r="D96" s="19">
        <v>916905600</v>
      </c>
      <c r="E96" s="10">
        <f t="shared" si="4"/>
        <v>25469600</v>
      </c>
      <c r="F96" s="8" t="s">
        <v>31</v>
      </c>
      <c r="G96" s="8">
        <v>112</v>
      </c>
      <c r="H96" s="35" t="s">
        <v>50</v>
      </c>
      <c r="I96" s="11" t="s">
        <v>448</v>
      </c>
      <c r="J96" s="9">
        <f t="shared" si="6"/>
        <v>103680000.10000001</v>
      </c>
      <c r="K96" s="9">
        <f t="shared" si="7"/>
        <v>92016000</v>
      </c>
      <c r="L96" s="12">
        <f t="shared" si="5"/>
        <v>0.88749999914400068</v>
      </c>
      <c r="M96" s="13">
        <v>0</v>
      </c>
      <c r="N96" s="14">
        <v>0</v>
      </c>
      <c r="O96" s="13">
        <v>0</v>
      </c>
      <c r="P96" s="14">
        <v>0</v>
      </c>
      <c r="Q96" s="13">
        <v>0</v>
      </c>
      <c r="R96" s="14">
        <v>0</v>
      </c>
      <c r="S96" s="13">
        <v>0</v>
      </c>
      <c r="T96" s="14">
        <v>0</v>
      </c>
      <c r="U96" s="13">
        <v>0</v>
      </c>
      <c r="V96" s="14">
        <v>0</v>
      </c>
      <c r="W96" s="13">
        <v>0</v>
      </c>
      <c r="X96" s="14">
        <v>0</v>
      </c>
      <c r="Y96" s="13">
        <v>0</v>
      </c>
      <c r="Z96" s="14">
        <v>0</v>
      </c>
      <c r="AA96" s="13">
        <v>0</v>
      </c>
      <c r="AB96" s="14">
        <v>0</v>
      </c>
      <c r="AC96" s="13">
        <v>0</v>
      </c>
      <c r="AD96" s="14">
        <v>0</v>
      </c>
      <c r="AE96" s="13">
        <v>0</v>
      </c>
      <c r="AF96" s="14">
        <v>0</v>
      </c>
      <c r="AG96" s="13">
        <v>0</v>
      </c>
      <c r="AH96" s="14">
        <v>0</v>
      </c>
      <c r="AI96" s="13">
        <v>0</v>
      </c>
      <c r="AJ96" s="14">
        <v>0</v>
      </c>
      <c r="AK96" s="13">
        <v>0</v>
      </c>
      <c r="AL96" s="14">
        <v>0</v>
      </c>
      <c r="AM96" s="13">
        <v>11759999.9</v>
      </c>
      <c r="AN96" s="14">
        <v>0</v>
      </c>
      <c r="AO96" s="13">
        <v>14080000</v>
      </c>
      <c r="AP96" s="14">
        <v>11760000</v>
      </c>
      <c r="AQ96" s="13">
        <v>12511999.5</v>
      </c>
      <c r="AR96" s="14">
        <v>0</v>
      </c>
      <c r="AS96" s="13">
        <v>10255999.6</v>
      </c>
      <c r="AT96" s="14">
        <v>12512000</v>
      </c>
      <c r="AU96" s="13">
        <v>11568000.4</v>
      </c>
      <c r="AV96" s="14">
        <v>24336000</v>
      </c>
      <c r="AW96" s="13">
        <v>11072000.5</v>
      </c>
      <c r="AX96" s="14">
        <v>11568000</v>
      </c>
      <c r="AY96" s="13">
        <v>9392000.1999999993</v>
      </c>
      <c r="AZ96" s="15">
        <v>11072000</v>
      </c>
      <c r="BA96" s="20">
        <v>11376000</v>
      </c>
      <c r="BB96" s="21">
        <v>9392000</v>
      </c>
      <c r="BC96" s="20">
        <v>11664000</v>
      </c>
      <c r="BD96" s="21">
        <v>11376000</v>
      </c>
    </row>
    <row r="97" spans="1:56" ht="12" customHeight="1">
      <c r="A97" s="7" t="s">
        <v>225</v>
      </c>
      <c r="B97" s="8">
        <v>10041259</v>
      </c>
      <c r="C97" s="24" t="s">
        <v>226</v>
      </c>
      <c r="D97" s="19">
        <v>803438000</v>
      </c>
      <c r="E97" s="10">
        <f t="shared" si="4"/>
        <v>22317722.222222224</v>
      </c>
      <c r="F97" s="8" t="s">
        <v>31</v>
      </c>
      <c r="G97" s="8">
        <v>104</v>
      </c>
      <c r="H97" s="35" t="s">
        <v>227</v>
      </c>
      <c r="I97" s="11" t="s">
        <v>448</v>
      </c>
      <c r="J97" s="9">
        <f t="shared" si="6"/>
        <v>92590999.599999994</v>
      </c>
      <c r="K97" s="9">
        <f t="shared" si="7"/>
        <v>72490000</v>
      </c>
      <c r="L97" s="12">
        <f t="shared" si="5"/>
        <v>0.78290546935622463</v>
      </c>
      <c r="M97" s="13">
        <v>0</v>
      </c>
      <c r="N97" s="14">
        <v>0</v>
      </c>
      <c r="O97" s="13">
        <v>0</v>
      </c>
      <c r="P97" s="14">
        <v>0</v>
      </c>
      <c r="Q97" s="13">
        <v>0</v>
      </c>
      <c r="R97" s="14">
        <v>0</v>
      </c>
      <c r="S97" s="13">
        <v>0</v>
      </c>
      <c r="T97" s="14">
        <v>0</v>
      </c>
      <c r="U97" s="13">
        <v>0</v>
      </c>
      <c r="V97" s="14">
        <v>0</v>
      </c>
      <c r="W97" s="13">
        <v>0</v>
      </c>
      <c r="X97" s="14">
        <v>0</v>
      </c>
      <c r="Y97" s="13">
        <v>0</v>
      </c>
      <c r="Z97" s="14">
        <v>0</v>
      </c>
      <c r="AA97" s="13">
        <v>0</v>
      </c>
      <c r="AB97" s="14">
        <v>0</v>
      </c>
      <c r="AC97" s="13">
        <v>0</v>
      </c>
      <c r="AD97" s="14">
        <v>0</v>
      </c>
      <c r="AE97" s="13">
        <v>0</v>
      </c>
      <c r="AF97" s="14">
        <v>0</v>
      </c>
      <c r="AG97" s="13">
        <v>0</v>
      </c>
      <c r="AH97" s="14">
        <v>0</v>
      </c>
      <c r="AI97" s="13">
        <v>0</v>
      </c>
      <c r="AJ97" s="14">
        <v>0</v>
      </c>
      <c r="AK97" s="13">
        <v>0</v>
      </c>
      <c r="AL97" s="14">
        <v>0</v>
      </c>
      <c r="AM97" s="13">
        <v>2003999.8</v>
      </c>
      <c r="AN97" s="14">
        <v>0</v>
      </c>
      <c r="AO97" s="13">
        <v>1032000.2</v>
      </c>
      <c r="AP97" s="14">
        <v>0</v>
      </c>
      <c r="AQ97" s="13">
        <v>5322000.2</v>
      </c>
      <c r="AR97" s="14">
        <v>3036000</v>
      </c>
      <c r="AS97" s="13">
        <v>0</v>
      </c>
      <c r="AT97" s="14">
        <v>5322000</v>
      </c>
      <c r="AU97" s="13">
        <v>1774999.6</v>
      </c>
      <c r="AV97" s="14">
        <v>0</v>
      </c>
      <c r="AW97" s="13">
        <v>18202000.300000001</v>
      </c>
      <c r="AX97" s="14">
        <v>1775000</v>
      </c>
      <c r="AY97" s="13">
        <v>20486999.5</v>
      </c>
      <c r="AZ97" s="15">
        <v>18202000</v>
      </c>
      <c r="BA97" s="20">
        <v>23668000</v>
      </c>
      <c r="BB97" s="21">
        <v>20487000</v>
      </c>
      <c r="BC97" s="20">
        <v>20101000</v>
      </c>
      <c r="BD97" s="21">
        <v>23668000</v>
      </c>
    </row>
    <row r="98" spans="1:56" ht="12" customHeight="1">
      <c r="A98" s="7" t="s">
        <v>228</v>
      </c>
      <c r="B98" s="8">
        <v>10041441</v>
      </c>
      <c r="C98" s="24" t="s">
        <v>229</v>
      </c>
      <c r="D98" s="19">
        <v>567790600</v>
      </c>
      <c r="E98" s="10">
        <f t="shared" si="4"/>
        <v>15771961.111111112</v>
      </c>
      <c r="F98" s="8" t="s">
        <v>31</v>
      </c>
      <c r="G98" s="8">
        <v>60</v>
      </c>
      <c r="H98" s="35" t="s">
        <v>202</v>
      </c>
      <c r="I98" s="11" t="s">
        <v>448</v>
      </c>
      <c r="J98" s="9">
        <f t="shared" si="6"/>
        <v>6991999.6000000006</v>
      </c>
      <c r="K98" s="9">
        <f t="shared" si="7"/>
        <v>6832000</v>
      </c>
      <c r="L98" s="12">
        <f t="shared" si="5"/>
        <v>0.97711676070462006</v>
      </c>
      <c r="M98" s="13">
        <v>0</v>
      </c>
      <c r="N98" s="14">
        <v>0</v>
      </c>
      <c r="O98" s="13">
        <v>0</v>
      </c>
      <c r="P98" s="14">
        <v>0</v>
      </c>
      <c r="Q98" s="13">
        <v>0</v>
      </c>
      <c r="R98" s="14">
        <v>0</v>
      </c>
      <c r="S98" s="13">
        <v>0</v>
      </c>
      <c r="T98" s="14">
        <v>0</v>
      </c>
      <c r="U98" s="13">
        <v>0</v>
      </c>
      <c r="V98" s="14">
        <v>0</v>
      </c>
      <c r="W98" s="13">
        <v>0</v>
      </c>
      <c r="X98" s="14">
        <v>0</v>
      </c>
      <c r="Y98" s="13">
        <v>0</v>
      </c>
      <c r="Z98" s="14">
        <v>0</v>
      </c>
      <c r="AA98" s="13">
        <v>0</v>
      </c>
      <c r="AB98" s="14">
        <v>0</v>
      </c>
      <c r="AC98" s="13">
        <v>0</v>
      </c>
      <c r="AD98" s="14">
        <v>0</v>
      </c>
      <c r="AE98" s="13">
        <v>0</v>
      </c>
      <c r="AF98" s="14">
        <v>0</v>
      </c>
      <c r="AG98" s="13">
        <v>0</v>
      </c>
      <c r="AH98" s="14">
        <v>0</v>
      </c>
      <c r="AI98" s="13">
        <v>0</v>
      </c>
      <c r="AJ98" s="14">
        <v>0</v>
      </c>
      <c r="AK98" s="13">
        <v>0</v>
      </c>
      <c r="AL98" s="14">
        <v>0</v>
      </c>
      <c r="AM98" s="13">
        <v>1423999.5</v>
      </c>
      <c r="AN98" s="14">
        <v>0</v>
      </c>
      <c r="AO98" s="13">
        <v>1152000.3</v>
      </c>
      <c r="AP98" s="14">
        <v>0</v>
      </c>
      <c r="AQ98" s="13">
        <v>1264000.1000000001</v>
      </c>
      <c r="AR98" s="14">
        <v>1424000</v>
      </c>
      <c r="AS98" s="13">
        <v>1216000.5</v>
      </c>
      <c r="AT98" s="14">
        <v>1152000</v>
      </c>
      <c r="AU98" s="13">
        <v>895999.5</v>
      </c>
      <c r="AV98" s="14">
        <v>1216000</v>
      </c>
      <c r="AW98" s="13">
        <v>367999.5</v>
      </c>
      <c r="AX98" s="14">
        <v>896000</v>
      </c>
      <c r="AY98" s="13">
        <v>240000.2</v>
      </c>
      <c r="AZ98" s="15">
        <v>368000</v>
      </c>
      <c r="BA98" s="20">
        <v>272000</v>
      </c>
      <c r="BB98" s="21">
        <v>0</v>
      </c>
      <c r="BC98" s="20">
        <v>160000</v>
      </c>
      <c r="BD98" s="21">
        <v>1776000</v>
      </c>
    </row>
    <row r="99" spans="1:56" ht="12" customHeight="1">
      <c r="A99" s="7" t="s">
        <v>230</v>
      </c>
      <c r="B99" s="8">
        <v>10046731</v>
      </c>
      <c r="C99" s="24" t="s">
        <v>231</v>
      </c>
      <c r="D99" s="19">
        <v>844480000</v>
      </c>
      <c r="E99" s="10">
        <f t="shared" si="4"/>
        <v>23457777.777777776</v>
      </c>
      <c r="F99" s="8" t="s">
        <v>31</v>
      </c>
      <c r="G99" s="8">
        <v>120</v>
      </c>
      <c r="H99" s="35" t="s">
        <v>232</v>
      </c>
      <c r="I99" s="11" t="s">
        <v>448</v>
      </c>
      <c r="J99" s="9">
        <f t="shared" si="6"/>
        <v>322848000.59999996</v>
      </c>
      <c r="K99" s="9">
        <f t="shared" si="7"/>
        <v>174992000</v>
      </c>
      <c r="L99" s="12">
        <f t="shared" si="5"/>
        <v>0.5420259678696614</v>
      </c>
      <c r="M99" s="13">
        <v>0</v>
      </c>
      <c r="N99" s="14">
        <v>0</v>
      </c>
      <c r="O99" s="13">
        <v>0</v>
      </c>
      <c r="P99" s="14">
        <v>0</v>
      </c>
      <c r="Q99" s="13">
        <v>0</v>
      </c>
      <c r="R99" s="14">
        <v>0</v>
      </c>
      <c r="S99" s="13">
        <v>0</v>
      </c>
      <c r="T99" s="14">
        <v>0</v>
      </c>
      <c r="U99" s="13">
        <v>0</v>
      </c>
      <c r="V99" s="14">
        <v>0</v>
      </c>
      <c r="W99" s="13">
        <v>0</v>
      </c>
      <c r="X99" s="14">
        <v>0</v>
      </c>
      <c r="Y99" s="13">
        <v>0</v>
      </c>
      <c r="Z99" s="14">
        <v>0</v>
      </c>
      <c r="AA99" s="13">
        <v>0</v>
      </c>
      <c r="AB99" s="14">
        <v>0</v>
      </c>
      <c r="AC99" s="13">
        <v>0</v>
      </c>
      <c r="AD99" s="14">
        <v>0</v>
      </c>
      <c r="AE99" s="13">
        <v>0</v>
      </c>
      <c r="AF99" s="14">
        <v>0</v>
      </c>
      <c r="AG99" s="13">
        <v>0</v>
      </c>
      <c r="AH99" s="14">
        <v>0</v>
      </c>
      <c r="AI99" s="13">
        <v>0</v>
      </c>
      <c r="AJ99" s="14">
        <v>0</v>
      </c>
      <c r="AK99" s="13">
        <v>0</v>
      </c>
      <c r="AL99" s="14">
        <v>0</v>
      </c>
      <c r="AM99" s="13">
        <v>15472000.5</v>
      </c>
      <c r="AN99" s="14">
        <v>0</v>
      </c>
      <c r="AO99" s="13">
        <v>42160000.299999997</v>
      </c>
      <c r="AP99" s="14">
        <v>0</v>
      </c>
      <c r="AQ99" s="13">
        <v>39151999.700000003</v>
      </c>
      <c r="AR99" s="14">
        <v>15472000</v>
      </c>
      <c r="AS99" s="13">
        <v>0</v>
      </c>
      <c r="AT99" s="14">
        <v>0</v>
      </c>
      <c r="AU99" s="13">
        <v>78208000.200000003</v>
      </c>
      <c r="AV99" s="14">
        <v>42160000</v>
      </c>
      <c r="AW99" s="13">
        <v>38799999.700000003</v>
      </c>
      <c r="AX99" s="14">
        <v>39152000</v>
      </c>
      <c r="AY99" s="13">
        <v>34912000.200000003</v>
      </c>
      <c r="AZ99" s="15">
        <v>0</v>
      </c>
      <c r="BA99" s="20">
        <v>36240000</v>
      </c>
      <c r="BB99" s="21">
        <v>78208000</v>
      </c>
      <c r="BC99" s="20">
        <v>37904000</v>
      </c>
      <c r="BD99" s="21">
        <v>0</v>
      </c>
    </row>
    <row r="100" spans="1:56" ht="12" customHeight="1">
      <c r="A100" s="7" t="s">
        <v>233</v>
      </c>
      <c r="B100" s="8">
        <v>10053087</v>
      </c>
      <c r="C100" s="24" t="s">
        <v>234</v>
      </c>
      <c r="D100" s="19">
        <v>196239560</v>
      </c>
      <c r="E100" s="10">
        <f t="shared" si="4"/>
        <v>5451098.888888889</v>
      </c>
      <c r="F100" s="8" t="s">
        <v>49</v>
      </c>
      <c r="G100" s="8">
        <v>18</v>
      </c>
      <c r="H100" s="35" t="s">
        <v>235</v>
      </c>
      <c r="I100" s="11" t="s">
        <v>448</v>
      </c>
      <c r="J100" s="9">
        <f t="shared" si="6"/>
        <v>196239560</v>
      </c>
      <c r="K100" s="9">
        <f t="shared" si="7"/>
        <v>196239560</v>
      </c>
      <c r="L100" s="12">
        <f t="shared" si="5"/>
        <v>1</v>
      </c>
      <c r="M100" s="13">
        <v>0</v>
      </c>
      <c r="N100" s="14">
        <v>0</v>
      </c>
      <c r="O100" s="13">
        <v>0</v>
      </c>
      <c r="P100" s="14">
        <v>0</v>
      </c>
      <c r="Q100" s="13">
        <v>0</v>
      </c>
      <c r="R100" s="14">
        <v>0</v>
      </c>
      <c r="S100" s="13">
        <v>0</v>
      </c>
      <c r="T100" s="14">
        <v>0</v>
      </c>
      <c r="U100" s="13">
        <v>0</v>
      </c>
      <c r="V100" s="14">
        <v>0</v>
      </c>
      <c r="W100" s="13">
        <v>0</v>
      </c>
      <c r="X100" s="14">
        <v>0</v>
      </c>
      <c r="Y100" s="13">
        <v>0</v>
      </c>
      <c r="Z100" s="14">
        <v>0</v>
      </c>
      <c r="AA100" s="13">
        <v>0</v>
      </c>
      <c r="AB100" s="14">
        <v>0</v>
      </c>
      <c r="AC100" s="13">
        <v>0</v>
      </c>
      <c r="AD100" s="14">
        <v>0</v>
      </c>
      <c r="AE100" s="13">
        <v>0</v>
      </c>
      <c r="AF100" s="14">
        <v>0</v>
      </c>
      <c r="AG100" s="13">
        <v>0</v>
      </c>
      <c r="AH100" s="14">
        <v>0</v>
      </c>
      <c r="AI100" s="13">
        <v>0</v>
      </c>
      <c r="AJ100" s="14">
        <v>0</v>
      </c>
      <c r="AK100" s="13">
        <v>0</v>
      </c>
      <c r="AL100" s="14">
        <v>0</v>
      </c>
      <c r="AM100" s="13">
        <v>196239560</v>
      </c>
      <c r="AN100" s="14">
        <v>0</v>
      </c>
      <c r="AO100" s="13">
        <v>0</v>
      </c>
      <c r="AP100" s="14">
        <v>0</v>
      </c>
      <c r="AQ100" s="13">
        <v>0</v>
      </c>
      <c r="AR100" s="14">
        <v>0</v>
      </c>
      <c r="AS100" s="13">
        <v>0</v>
      </c>
      <c r="AT100" s="14">
        <v>0</v>
      </c>
      <c r="AU100" s="13">
        <v>0</v>
      </c>
      <c r="AV100" s="14">
        <v>0</v>
      </c>
      <c r="AW100" s="13">
        <v>0</v>
      </c>
      <c r="AX100" s="14">
        <v>0</v>
      </c>
      <c r="AY100" s="13">
        <v>0</v>
      </c>
      <c r="AZ100" s="15">
        <v>196239560</v>
      </c>
      <c r="BA100" s="20">
        <v>0</v>
      </c>
      <c r="BB100" s="21">
        <v>0</v>
      </c>
      <c r="BC100" s="20">
        <v>0</v>
      </c>
      <c r="BD100" s="21">
        <v>0</v>
      </c>
    </row>
    <row r="101" spans="1:56" ht="12" customHeight="1">
      <c r="A101" s="7" t="s">
        <v>236</v>
      </c>
      <c r="B101" s="8">
        <v>10063044</v>
      </c>
      <c r="C101" s="24" t="s">
        <v>237</v>
      </c>
      <c r="D101" s="19">
        <v>1171729000</v>
      </c>
      <c r="E101" s="10">
        <f t="shared" si="4"/>
        <v>32548027.777777776</v>
      </c>
      <c r="F101" s="8" t="s">
        <v>31</v>
      </c>
      <c r="G101" s="8">
        <v>191</v>
      </c>
      <c r="H101" s="35" t="s">
        <v>210</v>
      </c>
      <c r="I101" s="11" t="s">
        <v>448</v>
      </c>
      <c r="J101" s="9">
        <f t="shared" si="6"/>
        <v>336940799.5</v>
      </c>
      <c r="K101" s="9">
        <f t="shared" si="7"/>
        <v>295905600</v>
      </c>
      <c r="L101" s="12">
        <f t="shared" si="5"/>
        <v>0.87821243506012392</v>
      </c>
      <c r="M101" s="13">
        <v>0</v>
      </c>
      <c r="N101" s="14">
        <v>0</v>
      </c>
      <c r="O101" s="13">
        <v>0</v>
      </c>
      <c r="P101" s="14">
        <v>0</v>
      </c>
      <c r="Q101" s="13">
        <v>0</v>
      </c>
      <c r="R101" s="14">
        <v>0</v>
      </c>
      <c r="S101" s="13">
        <v>0</v>
      </c>
      <c r="T101" s="14">
        <v>0</v>
      </c>
      <c r="U101" s="13">
        <v>0</v>
      </c>
      <c r="V101" s="14">
        <v>0</v>
      </c>
      <c r="W101" s="13">
        <v>0</v>
      </c>
      <c r="X101" s="14">
        <v>0</v>
      </c>
      <c r="Y101" s="13">
        <v>0</v>
      </c>
      <c r="Z101" s="14">
        <v>0</v>
      </c>
      <c r="AA101" s="13">
        <v>0</v>
      </c>
      <c r="AB101" s="14">
        <v>0</v>
      </c>
      <c r="AC101" s="13">
        <v>0</v>
      </c>
      <c r="AD101" s="14">
        <v>0</v>
      </c>
      <c r="AE101" s="13">
        <v>0</v>
      </c>
      <c r="AF101" s="14">
        <v>0</v>
      </c>
      <c r="AG101" s="13">
        <v>0</v>
      </c>
      <c r="AH101" s="14">
        <v>0</v>
      </c>
      <c r="AI101" s="13">
        <v>0</v>
      </c>
      <c r="AJ101" s="14">
        <v>0</v>
      </c>
      <c r="AK101" s="13">
        <v>0</v>
      </c>
      <c r="AL101" s="14">
        <v>0</v>
      </c>
      <c r="AM101" s="13">
        <v>33487999.600000001</v>
      </c>
      <c r="AN101" s="14">
        <v>0</v>
      </c>
      <c r="AO101" s="13">
        <v>32008000.199999999</v>
      </c>
      <c r="AP101" s="14">
        <v>33488000</v>
      </c>
      <c r="AQ101" s="13">
        <v>25699999.600000001</v>
      </c>
      <c r="AR101" s="14">
        <v>32008000</v>
      </c>
      <c r="AS101" s="13">
        <v>37501200</v>
      </c>
      <c r="AT101" s="14">
        <v>25700000</v>
      </c>
      <c r="AU101" s="13">
        <v>45208000.200000003</v>
      </c>
      <c r="AV101" s="14">
        <v>37501200</v>
      </c>
      <c r="AW101" s="13">
        <v>41301599.899999999</v>
      </c>
      <c r="AX101" s="14">
        <v>45208000</v>
      </c>
      <c r="AY101" s="13">
        <v>42015600</v>
      </c>
      <c r="AZ101" s="15">
        <v>41301600</v>
      </c>
      <c r="BA101" s="20">
        <v>38683200</v>
      </c>
      <c r="BB101" s="21">
        <v>42015600</v>
      </c>
      <c r="BC101" s="20">
        <v>41035200</v>
      </c>
      <c r="BD101" s="21">
        <v>38683200</v>
      </c>
    </row>
    <row r="102" spans="1:56" ht="12" customHeight="1">
      <c r="A102" s="7" t="s">
        <v>238</v>
      </c>
      <c r="B102" s="8">
        <v>10081683</v>
      </c>
      <c r="C102" s="24" t="s">
        <v>512</v>
      </c>
      <c r="D102" s="19">
        <v>252021770</v>
      </c>
      <c r="E102" s="10">
        <f t="shared" si="4"/>
        <v>7000604.722222222</v>
      </c>
      <c r="F102" s="36" t="s">
        <v>530</v>
      </c>
      <c r="G102" s="8">
        <v>20</v>
      </c>
      <c r="H102" s="35" t="s">
        <v>235</v>
      </c>
      <c r="I102" s="11" t="s">
        <v>448</v>
      </c>
      <c r="J102" s="9">
        <f t="shared" si="6"/>
        <v>14001210</v>
      </c>
      <c r="K102" s="9">
        <f t="shared" si="7"/>
        <v>7000605</v>
      </c>
      <c r="L102" s="12">
        <f t="shared" si="5"/>
        <v>0.5</v>
      </c>
      <c r="M102" s="13">
        <v>0</v>
      </c>
      <c r="N102" s="14">
        <v>0</v>
      </c>
      <c r="O102" s="13">
        <v>0</v>
      </c>
      <c r="P102" s="14">
        <v>0</v>
      </c>
      <c r="Q102" s="13">
        <v>0</v>
      </c>
      <c r="R102" s="14">
        <v>0</v>
      </c>
      <c r="S102" s="13">
        <v>0</v>
      </c>
      <c r="T102" s="14">
        <v>0</v>
      </c>
      <c r="U102" s="13">
        <v>0</v>
      </c>
      <c r="V102" s="14">
        <v>0</v>
      </c>
      <c r="W102" s="13">
        <v>0</v>
      </c>
      <c r="X102" s="14">
        <v>0</v>
      </c>
      <c r="Y102" s="13">
        <v>0</v>
      </c>
      <c r="Z102" s="14">
        <v>0</v>
      </c>
      <c r="AA102" s="13">
        <v>0</v>
      </c>
      <c r="AB102" s="14">
        <v>0</v>
      </c>
      <c r="AC102" s="13">
        <v>0</v>
      </c>
      <c r="AD102" s="14">
        <v>0</v>
      </c>
      <c r="AE102" s="13">
        <v>0</v>
      </c>
      <c r="AF102" s="14">
        <v>0</v>
      </c>
      <c r="AG102" s="13">
        <v>0</v>
      </c>
      <c r="AH102" s="14">
        <v>0</v>
      </c>
      <c r="AI102" s="13">
        <v>0</v>
      </c>
      <c r="AJ102" s="14">
        <v>0</v>
      </c>
      <c r="AK102" s="13">
        <v>0</v>
      </c>
      <c r="AL102" s="14">
        <v>0</v>
      </c>
      <c r="AM102" s="13">
        <v>0</v>
      </c>
      <c r="AN102" s="14">
        <v>0</v>
      </c>
      <c r="AO102" s="13">
        <v>0</v>
      </c>
      <c r="AP102" s="14">
        <v>0</v>
      </c>
      <c r="AQ102" s="13">
        <v>0</v>
      </c>
      <c r="AR102" s="14">
        <v>0</v>
      </c>
      <c r="AS102" s="13">
        <v>0</v>
      </c>
      <c r="AT102" s="14">
        <v>0</v>
      </c>
      <c r="AU102" s="13">
        <v>0</v>
      </c>
      <c r="AV102" s="14">
        <v>0</v>
      </c>
      <c r="AW102" s="13">
        <v>0</v>
      </c>
      <c r="AX102" s="14">
        <v>0</v>
      </c>
      <c r="AY102" s="13">
        <v>0</v>
      </c>
      <c r="AZ102" s="15">
        <v>0</v>
      </c>
      <c r="BA102" s="20">
        <v>0</v>
      </c>
      <c r="BB102" s="21">
        <v>7000605</v>
      </c>
      <c r="BC102" s="20">
        <v>14001210</v>
      </c>
      <c r="BD102" s="21">
        <v>0</v>
      </c>
    </row>
    <row r="103" spans="1:56" ht="12" customHeight="1">
      <c r="A103" s="7" t="s">
        <v>239</v>
      </c>
      <c r="B103" s="8">
        <v>10103688</v>
      </c>
      <c r="C103" s="24" t="s">
        <v>240</v>
      </c>
      <c r="D103" s="19">
        <v>739474300</v>
      </c>
      <c r="E103" s="10">
        <f t="shared" si="4"/>
        <v>20540952.777777776</v>
      </c>
      <c r="F103" s="8" t="s">
        <v>31</v>
      </c>
      <c r="G103" s="8">
        <v>99</v>
      </c>
      <c r="H103" s="35" t="s">
        <v>241</v>
      </c>
      <c r="I103" s="11" t="s">
        <v>448</v>
      </c>
      <c r="J103" s="9">
        <f t="shared" si="6"/>
        <v>109849999.3</v>
      </c>
      <c r="K103" s="9">
        <f t="shared" si="7"/>
        <v>88777000</v>
      </c>
      <c r="L103" s="12">
        <f t="shared" si="5"/>
        <v>0.80816568562326796</v>
      </c>
      <c r="M103" s="13">
        <v>0</v>
      </c>
      <c r="N103" s="14">
        <v>0</v>
      </c>
      <c r="O103" s="13">
        <v>0</v>
      </c>
      <c r="P103" s="14">
        <v>0</v>
      </c>
      <c r="Q103" s="13">
        <v>0</v>
      </c>
      <c r="R103" s="14">
        <v>0</v>
      </c>
      <c r="S103" s="13">
        <v>0</v>
      </c>
      <c r="T103" s="14">
        <v>0</v>
      </c>
      <c r="U103" s="13">
        <v>0</v>
      </c>
      <c r="V103" s="14">
        <v>0</v>
      </c>
      <c r="W103" s="13">
        <v>0</v>
      </c>
      <c r="X103" s="14">
        <v>0</v>
      </c>
      <c r="Y103" s="13">
        <v>0</v>
      </c>
      <c r="Z103" s="14">
        <v>0</v>
      </c>
      <c r="AA103" s="13">
        <v>0</v>
      </c>
      <c r="AB103" s="14">
        <v>0</v>
      </c>
      <c r="AC103" s="13">
        <v>0</v>
      </c>
      <c r="AD103" s="14">
        <v>0</v>
      </c>
      <c r="AE103" s="13">
        <v>0</v>
      </c>
      <c r="AF103" s="14">
        <v>0</v>
      </c>
      <c r="AG103" s="13">
        <v>0</v>
      </c>
      <c r="AH103" s="14">
        <v>0</v>
      </c>
      <c r="AI103" s="13">
        <v>0</v>
      </c>
      <c r="AJ103" s="14">
        <v>0</v>
      </c>
      <c r="AK103" s="13">
        <v>0</v>
      </c>
      <c r="AL103" s="14">
        <v>0</v>
      </c>
      <c r="AM103" s="13">
        <v>1287000</v>
      </c>
      <c r="AN103" s="14">
        <v>0</v>
      </c>
      <c r="AO103" s="13">
        <v>12363000.1</v>
      </c>
      <c r="AP103" s="14">
        <v>0</v>
      </c>
      <c r="AQ103" s="13">
        <v>16678999.699999999</v>
      </c>
      <c r="AR103" s="14">
        <v>13650000</v>
      </c>
      <c r="AS103" s="13">
        <v>21670999.899999999</v>
      </c>
      <c r="AT103" s="14">
        <v>16679000</v>
      </c>
      <c r="AU103" s="13">
        <v>17940000.100000001</v>
      </c>
      <c r="AV103" s="14">
        <v>21671000</v>
      </c>
      <c r="AW103" s="13">
        <v>10230999.9</v>
      </c>
      <c r="AX103" s="14">
        <v>17940000</v>
      </c>
      <c r="AY103" s="13">
        <v>8605999.5999999996</v>
      </c>
      <c r="AZ103" s="15">
        <v>10231000</v>
      </c>
      <c r="BA103" s="20">
        <v>10387000</v>
      </c>
      <c r="BB103" s="21">
        <v>8606000</v>
      </c>
      <c r="BC103" s="20">
        <v>10686000</v>
      </c>
      <c r="BD103" s="21">
        <v>0</v>
      </c>
    </row>
    <row r="104" spans="1:56" ht="12" customHeight="1">
      <c r="A104" s="7" t="s">
        <v>242</v>
      </c>
      <c r="B104" s="8">
        <v>10033740</v>
      </c>
      <c r="C104" s="24" t="s">
        <v>243</v>
      </c>
      <c r="D104" s="19">
        <v>329170000</v>
      </c>
      <c r="E104" s="10">
        <f t="shared" si="4"/>
        <v>9143611.1111111119</v>
      </c>
      <c r="F104" s="8" t="s">
        <v>67</v>
      </c>
      <c r="G104" s="8">
        <v>50</v>
      </c>
      <c r="H104" s="35" t="s">
        <v>244</v>
      </c>
      <c r="I104" s="11" t="s">
        <v>491</v>
      </c>
      <c r="J104" s="9">
        <f t="shared" si="6"/>
        <v>329169999.39999998</v>
      </c>
      <c r="K104" s="9">
        <f t="shared" si="7"/>
        <v>329170000</v>
      </c>
      <c r="L104" s="12">
        <f t="shared" si="5"/>
        <v>1.0000000018227664</v>
      </c>
      <c r="M104" s="13">
        <v>0</v>
      </c>
      <c r="N104" s="14">
        <v>0</v>
      </c>
      <c r="O104" s="13">
        <v>0</v>
      </c>
      <c r="P104" s="14">
        <v>0</v>
      </c>
      <c r="Q104" s="13">
        <v>0</v>
      </c>
      <c r="R104" s="14">
        <v>0</v>
      </c>
      <c r="S104" s="13">
        <v>0</v>
      </c>
      <c r="T104" s="14">
        <v>0</v>
      </c>
      <c r="U104" s="13">
        <v>0</v>
      </c>
      <c r="V104" s="14">
        <v>0</v>
      </c>
      <c r="W104" s="13">
        <v>0</v>
      </c>
      <c r="X104" s="14">
        <v>0</v>
      </c>
      <c r="Y104" s="13">
        <v>0</v>
      </c>
      <c r="Z104" s="14">
        <v>0</v>
      </c>
      <c r="AA104" s="13">
        <v>0</v>
      </c>
      <c r="AB104" s="14">
        <v>0</v>
      </c>
      <c r="AC104" s="13">
        <v>0</v>
      </c>
      <c r="AD104" s="14">
        <v>0</v>
      </c>
      <c r="AE104" s="13">
        <v>0</v>
      </c>
      <c r="AF104" s="14">
        <v>0</v>
      </c>
      <c r="AG104" s="13">
        <v>0</v>
      </c>
      <c r="AH104" s="14">
        <v>0</v>
      </c>
      <c r="AI104" s="13">
        <v>0</v>
      </c>
      <c r="AJ104" s="14">
        <v>0</v>
      </c>
      <c r="AK104" s="13">
        <v>0</v>
      </c>
      <c r="AL104" s="14">
        <v>0</v>
      </c>
      <c r="AM104" s="13">
        <v>0</v>
      </c>
      <c r="AN104" s="14">
        <v>0</v>
      </c>
      <c r="AO104" s="13">
        <v>329169999.39999998</v>
      </c>
      <c r="AP104" s="14">
        <v>0</v>
      </c>
      <c r="AQ104" s="13">
        <v>0</v>
      </c>
      <c r="AR104" s="14">
        <v>0</v>
      </c>
      <c r="AS104" s="13">
        <v>0</v>
      </c>
      <c r="AT104" s="14">
        <v>0</v>
      </c>
      <c r="AU104" s="13">
        <v>0</v>
      </c>
      <c r="AV104" s="14">
        <v>329170000</v>
      </c>
      <c r="AW104" s="13">
        <v>0</v>
      </c>
      <c r="AX104" s="14">
        <v>0</v>
      </c>
      <c r="AY104" s="13">
        <v>0</v>
      </c>
      <c r="AZ104" s="15">
        <v>0</v>
      </c>
      <c r="BA104" s="20">
        <v>0</v>
      </c>
      <c r="BB104" s="21">
        <v>0</v>
      </c>
      <c r="BC104" s="20">
        <v>0</v>
      </c>
      <c r="BD104" s="21">
        <v>0</v>
      </c>
    </row>
    <row r="105" spans="1:56" ht="12" customHeight="1">
      <c r="A105" s="7" t="s">
        <v>245</v>
      </c>
      <c r="B105" s="8">
        <v>10033160</v>
      </c>
      <c r="C105" s="24" t="s">
        <v>513</v>
      </c>
      <c r="D105" s="19">
        <v>2054066000</v>
      </c>
      <c r="E105" s="10">
        <f t="shared" si="4"/>
        <v>57057388.888888888</v>
      </c>
      <c r="F105" s="8" t="s">
        <v>31</v>
      </c>
      <c r="G105" s="8">
        <v>313</v>
      </c>
      <c r="H105" s="35" t="s">
        <v>246</v>
      </c>
      <c r="I105" s="11" t="s">
        <v>448</v>
      </c>
      <c r="J105" s="9">
        <f t="shared" si="6"/>
        <v>612844743.80000007</v>
      </c>
      <c r="K105" s="9">
        <f t="shared" si="7"/>
        <v>539351371</v>
      </c>
      <c r="L105" s="12">
        <f t="shared" si="5"/>
        <v>0.88007831748005594</v>
      </c>
      <c r="M105" s="13">
        <v>0</v>
      </c>
      <c r="N105" s="14">
        <v>0</v>
      </c>
      <c r="O105" s="13">
        <v>0</v>
      </c>
      <c r="P105" s="14">
        <v>0</v>
      </c>
      <c r="Q105" s="13">
        <v>0</v>
      </c>
      <c r="R105" s="14">
        <v>0</v>
      </c>
      <c r="S105" s="13">
        <v>0</v>
      </c>
      <c r="T105" s="14">
        <v>0</v>
      </c>
      <c r="U105" s="13">
        <v>0</v>
      </c>
      <c r="V105" s="14">
        <v>0</v>
      </c>
      <c r="W105" s="13">
        <v>0</v>
      </c>
      <c r="X105" s="14">
        <v>0</v>
      </c>
      <c r="Y105" s="13">
        <v>0</v>
      </c>
      <c r="Z105" s="14">
        <v>0</v>
      </c>
      <c r="AA105" s="13">
        <v>0</v>
      </c>
      <c r="AB105" s="14">
        <v>0</v>
      </c>
      <c r="AC105" s="13">
        <v>0</v>
      </c>
      <c r="AD105" s="14">
        <v>0</v>
      </c>
      <c r="AE105" s="13">
        <v>0</v>
      </c>
      <c r="AF105" s="14">
        <v>0</v>
      </c>
      <c r="AG105" s="13">
        <v>0</v>
      </c>
      <c r="AH105" s="14">
        <v>0</v>
      </c>
      <c r="AI105" s="13">
        <v>0</v>
      </c>
      <c r="AJ105" s="14">
        <v>0</v>
      </c>
      <c r="AK105" s="13">
        <v>0</v>
      </c>
      <c r="AL105" s="14">
        <v>0</v>
      </c>
      <c r="AM105" s="13">
        <v>69818170.400000006</v>
      </c>
      <c r="AN105" s="14">
        <v>0</v>
      </c>
      <c r="AO105" s="13">
        <v>53531052.299999997</v>
      </c>
      <c r="AP105" s="14">
        <v>69818170</v>
      </c>
      <c r="AQ105" s="13">
        <v>69865391.200000003</v>
      </c>
      <c r="AR105" s="14">
        <v>53531052</v>
      </c>
      <c r="AS105" s="13">
        <v>69563039.700000003</v>
      </c>
      <c r="AT105" s="14">
        <v>69865391</v>
      </c>
      <c r="AU105" s="13">
        <v>64716281.299999997</v>
      </c>
      <c r="AV105" s="14">
        <v>69563040</v>
      </c>
      <c r="AW105" s="13">
        <v>67012353.100000001</v>
      </c>
      <c r="AX105" s="14">
        <v>64716281</v>
      </c>
      <c r="AY105" s="13">
        <v>68347815.799999997</v>
      </c>
      <c r="AZ105" s="15">
        <v>67012353</v>
      </c>
      <c r="BA105" s="20">
        <v>76497268</v>
      </c>
      <c r="BB105" s="21">
        <v>68347816</v>
      </c>
      <c r="BC105" s="20">
        <v>73493372</v>
      </c>
      <c r="BD105" s="21">
        <v>76497268</v>
      </c>
    </row>
    <row r="106" spans="1:56" ht="12" customHeight="1">
      <c r="A106" s="7" t="s">
        <v>247</v>
      </c>
      <c r="B106" s="8">
        <v>10014574</v>
      </c>
      <c r="C106" s="24" t="s">
        <v>248</v>
      </c>
      <c r="D106" s="19">
        <v>961958000</v>
      </c>
      <c r="E106" s="10">
        <f t="shared" si="4"/>
        <v>26721055.555555556</v>
      </c>
      <c r="F106" s="8" t="s">
        <v>31</v>
      </c>
      <c r="G106" s="8">
        <v>120</v>
      </c>
      <c r="H106" s="35" t="s">
        <v>202</v>
      </c>
      <c r="I106" s="11" t="s">
        <v>448</v>
      </c>
      <c r="J106" s="9">
        <f t="shared" si="6"/>
        <v>249744998.49999997</v>
      </c>
      <c r="K106" s="9">
        <f t="shared" si="7"/>
        <v>216260000</v>
      </c>
      <c r="L106" s="12">
        <f t="shared" si="5"/>
        <v>0.86592324690738509</v>
      </c>
      <c r="M106" s="13">
        <v>0</v>
      </c>
      <c r="N106" s="14">
        <v>0</v>
      </c>
      <c r="O106" s="13">
        <v>0</v>
      </c>
      <c r="P106" s="14">
        <v>0</v>
      </c>
      <c r="Q106" s="13">
        <v>0</v>
      </c>
      <c r="R106" s="14">
        <v>0</v>
      </c>
      <c r="S106" s="13">
        <v>0</v>
      </c>
      <c r="T106" s="14">
        <v>0</v>
      </c>
      <c r="U106" s="13">
        <v>0</v>
      </c>
      <c r="V106" s="14">
        <v>0</v>
      </c>
      <c r="W106" s="13">
        <v>0</v>
      </c>
      <c r="X106" s="14">
        <v>0</v>
      </c>
      <c r="Y106" s="13">
        <v>0</v>
      </c>
      <c r="Z106" s="14">
        <v>0</v>
      </c>
      <c r="AA106" s="13">
        <v>0</v>
      </c>
      <c r="AB106" s="14">
        <v>0</v>
      </c>
      <c r="AC106" s="13">
        <v>0</v>
      </c>
      <c r="AD106" s="14">
        <v>0</v>
      </c>
      <c r="AE106" s="13">
        <v>0</v>
      </c>
      <c r="AF106" s="14">
        <v>0</v>
      </c>
      <c r="AG106" s="13">
        <v>0</v>
      </c>
      <c r="AH106" s="14">
        <v>0</v>
      </c>
      <c r="AI106" s="13">
        <v>0</v>
      </c>
      <c r="AJ106" s="14">
        <v>0</v>
      </c>
      <c r="AK106" s="13">
        <v>0</v>
      </c>
      <c r="AL106" s="14">
        <v>0</v>
      </c>
      <c r="AM106" s="13">
        <v>0</v>
      </c>
      <c r="AN106" s="14">
        <v>0</v>
      </c>
      <c r="AO106" s="13">
        <v>26789999.5</v>
      </c>
      <c r="AP106" s="14">
        <v>0</v>
      </c>
      <c r="AQ106" s="13">
        <v>28746999.600000001</v>
      </c>
      <c r="AR106" s="14">
        <v>26790000</v>
      </c>
      <c r="AS106" s="13">
        <v>28602999.699999999</v>
      </c>
      <c r="AT106" s="14">
        <v>28747000</v>
      </c>
      <c r="AU106" s="13">
        <v>32682999.800000001</v>
      </c>
      <c r="AV106" s="14">
        <v>28603000</v>
      </c>
      <c r="AW106" s="13">
        <v>34251000.299999997</v>
      </c>
      <c r="AX106" s="14">
        <v>32683000</v>
      </c>
      <c r="AY106" s="13">
        <v>32838999.600000001</v>
      </c>
      <c r="AZ106" s="15">
        <v>34251000</v>
      </c>
      <c r="BA106" s="20">
        <v>32347000</v>
      </c>
      <c r="BB106" s="21">
        <v>32839000</v>
      </c>
      <c r="BC106" s="20">
        <v>33485000</v>
      </c>
      <c r="BD106" s="21">
        <v>32347000</v>
      </c>
    </row>
    <row r="107" spans="1:56" ht="12" customHeight="1">
      <c r="A107" s="7" t="s">
        <v>249</v>
      </c>
      <c r="B107" s="8">
        <v>10033023</v>
      </c>
      <c r="C107" s="24" t="s">
        <v>250</v>
      </c>
      <c r="D107" s="19">
        <v>123000000</v>
      </c>
      <c r="E107" s="10">
        <f t="shared" si="4"/>
        <v>3416666.6666666665</v>
      </c>
      <c r="F107" s="8" t="s">
        <v>67</v>
      </c>
      <c r="G107" s="8">
        <v>10</v>
      </c>
      <c r="H107" s="35" t="s">
        <v>251</v>
      </c>
      <c r="I107" s="11" t="s">
        <v>448</v>
      </c>
      <c r="J107" s="9">
        <f t="shared" si="6"/>
        <v>114999999.40000001</v>
      </c>
      <c r="K107" s="9">
        <f t="shared" si="7"/>
        <v>115000000</v>
      </c>
      <c r="L107" s="12">
        <f t="shared" si="5"/>
        <v>1.0000000052173912</v>
      </c>
      <c r="M107" s="13">
        <v>0</v>
      </c>
      <c r="N107" s="14">
        <v>0</v>
      </c>
      <c r="O107" s="13">
        <v>0</v>
      </c>
      <c r="P107" s="14">
        <v>0</v>
      </c>
      <c r="Q107" s="13">
        <v>0</v>
      </c>
      <c r="R107" s="14">
        <v>0</v>
      </c>
      <c r="S107" s="13">
        <v>0</v>
      </c>
      <c r="T107" s="14">
        <v>0</v>
      </c>
      <c r="U107" s="13">
        <v>0</v>
      </c>
      <c r="V107" s="14">
        <v>0</v>
      </c>
      <c r="W107" s="13">
        <v>0</v>
      </c>
      <c r="X107" s="14">
        <v>0</v>
      </c>
      <c r="Y107" s="13">
        <v>0</v>
      </c>
      <c r="Z107" s="14">
        <v>0</v>
      </c>
      <c r="AA107" s="13">
        <v>0</v>
      </c>
      <c r="AB107" s="14">
        <v>0</v>
      </c>
      <c r="AC107" s="13">
        <v>0</v>
      </c>
      <c r="AD107" s="14">
        <v>0</v>
      </c>
      <c r="AE107" s="13">
        <v>0</v>
      </c>
      <c r="AF107" s="14">
        <v>0</v>
      </c>
      <c r="AG107" s="13">
        <v>0</v>
      </c>
      <c r="AH107" s="14">
        <v>0</v>
      </c>
      <c r="AI107" s="13">
        <v>0</v>
      </c>
      <c r="AJ107" s="14">
        <v>0</v>
      </c>
      <c r="AK107" s="13">
        <v>0</v>
      </c>
      <c r="AL107" s="14">
        <v>0</v>
      </c>
      <c r="AM107" s="13">
        <v>0</v>
      </c>
      <c r="AN107" s="14">
        <v>0</v>
      </c>
      <c r="AO107" s="13">
        <v>26149999.699999999</v>
      </c>
      <c r="AP107" s="14">
        <v>0</v>
      </c>
      <c r="AQ107" s="13">
        <v>88849999.700000003</v>
      </c>
      <c r="AR107" s="14">
        <v>0</v>
      </c>
      <c r="AS107" s="13">
        <v>0</v>
      </c>
      <c r="AT107" s="14">
        <v>0</v>
      </c>
      <c r="AU107" s="13">
        <v>0</v>
      </c>
      <c r="AV107" s="14">
        <v>0</v>
      </c>
      <c r="AW107" s="13">
        <v>0</v>
      </c>
      <c r="AX107" s="14">
        <v>0</v>
      </c>
      <c r="AY107" s="13">
        <v>0</v>
      </c>
      <c r="AZ107" s="15">
        <v>0</v>
      </c>
      <c r="BA107" s="20">
        <v>0</v>
      </c>
      <c r="BB107" s="21">
        <v>0</v>
      </c>
      <c r="BC107" s="20">
        <v>0</v>
      </c>
      <c r="BD107" s="21">
        <v>115000000</v>
      </c>
    </row>
    <row r="108" spans="1:56" ht="12" customHeight="1">
      <c r="A108" s="7" t="s">
        <v>252</v>
      </c>
      <c r="B108" s="8">
        <v>10040639</v>
      </c>
      <c r="C108" s="24" t="s">
        <v>253</v>
      </c>
      <c r="D108" s="19">
        <v>2143890000</v>
      </c>
      <c r="E108" s="10">
        <f t="shared" si="4"/>
        <v>59552500</v>
      </c>
      <c r="F108" s="8" t="s">
        <v>31</v>
      </c>
      <c r="G108" s="8">
        <v>300</v>
      </c>
      <c r="H108" s="35" t="s">
        <v>254</v>
      </c>
      <c r="I108" s="11" t="s">
        <v>448</v>
      </c>
      <c r="J108" s="9">
        <f t="shared" si="6"/>
        <v>133834998.3</v>
      </c>
      <c r="K108" s="9">
        <f t="shared" si="7"/>
        <v>61690000</v>
      </c>
      <c r="L108" s="12">
        <f t="shared" si="5"/>
        <v>0.46094071643142093</v>
      </c>
      <c r="M108" s="13">
        <v>0</v>
      </c>
      <c r="N108" s="14">
        <v>0</v>
      </c>
      <c r="O108" s="13">
        <v>0</v>
      </c>
      <c r="P108" s="14">
        <v>0</v>
      </c>
      <c r="Q108" s="13">
        <v>0</v>
      </c>
      <c r="R108" s="14">
        <v>0</v>
      </c>
      <c r="S108" s="13">
        <v>0</v>
      </c>
      <c r="T108" s="14">
        <v>0</v>
      </c>
      <c r="U108" s="13">
        <v>0</v>
      </c>
      <c r="V108" s="14">
        <v>0</v>
      </c>
      <c r="W108" s="13">
        <v>0</v>
      </c>
      <c r="X108" s="14">
        <v>0</v>
      </c>
      <c r="Y108" s="13">
        <v>0</v>
      </c>
      <c r="Z108" s="14">
        <v>0</v>
      </c>
      <c r="AA108" s="13">
        <v>0</v>
      </c>
      <c r="AB108" s="14">
        <v>0</v>
      </c>
      <c r="AC108" s="13">
        <v>0</v>
      </c>
      <c r="AD108" s="14">
        <v>0</v>
      </c>
      <c r="AE108" s="13">
        <v>0</v>
      </c>
      <c r="AF108" s="14">
        <v>0</v>
      </c>
      <c r="AG108" s="13">
        <v>0</v>
      </c>
      <c r="AH108" s="14">
        <v>0</v>
      </c>
      <c r="AI108" s="13">
        <v>0</v>
      </c>
      <c r="AJ108" s="14">
        <v>0</v>
      </c>
      <c r="AK108" s="13">
        <v>0</v>
      </c>
      <c r="AL108" s="14">
        <v>0</v>
      </c>
      <c r="AM108" s="13">
        <v>0</v>
      </c>
      <c r="AN108" s="14">
        <v>0</v>
      </c>
      <c r="AO108" s="13">
        <v>9472999.8000000007</v>
      </c>
      <c r="AP108" s="14">
        <v>0</v>
      </c>
      <c r="AQ108" s="13">
        <v>8208999.7000000002</v>
      </c>
      <c r="AR108" s="14">
        <v>0</v>
      </c>
      <c r="AS108" s="13">
        <v>14535999.5</v>
      </c>
      <c r="AT108" s="14">
        <v>9473000</v>
      </c>
      <c r="AU108" s="13">
        <v>29471999.699999999</v>
      </c>
      <c r="AV108" s="14">
        <v>0</v>
      </c>
      <c r="AW108" s="13">
        <v>20406999.800000001</v>
      </c>
      <c r="AX108" s="14">
        <v>8209000</v>
      </c>
      <c r="AY108" s="13">
        <v>17920999.800000001</v>
      </c>
      <c r="AZ108" s="15">
        <v>0</v>
      </c>
      <c r="BA108" s="20">
        <v>18251000</v>
      </c>
      <c r="BB108" s="21">
        <v>14536000</v>
      </c>
      <c r="BC108" s="20">
        <v>15566000</v>
      </c>
      <c r="BD108" s="21">
        <v>29472000</v>
      </c>
    </row>
    <row r="109" spans="1:56" ht="12" customHeight="1">
      <c r="A109" s="7" t="s">
        <v>255</v>
      </c>
      <c r="B109" s="8">
        <v>10038249</v>
      </c>
      <c r="C109" s="24" t="s">
        <v>256</v>
      </c>
      <c r="D109" s="19">
        <v>1096462900</v>
      </c>
      <c r="E109" s="10">
        <f t="shared" si="4"/>
        <v>30457302.777777776</v>
      </c>
      <c r="F109" s="8" t="s">
        <v>31</v>
      </c>
      <c r="G109" s="8">
        <v>115</v>
      </c>
      <c r="H109" s="35" t="s">
        <v>257</v>
      </c>
      <c r="I109" s="11" t="s">
        <v>448</v>
      </c>
      <c r="J109" s="9">
        <f t="shared" si="6"/>
        <v>205308000</v>
      </c>
      <c r="K109" s="9">
        <f t="shared" si="7"/>
        <v>148313000</v>
      </c>
      <c r="L109" s="12">
        <f t="shared" si="5"/>
        <v>0.72239269780037796</v>
      </c>
      <c r="M109" s="13">
        <v>0</v>
      </c>
      <c r="N109" s="14">
        <v>0</v>
      </c>
      <c r="O109" s="13">
        <v>0</v>
      </c>
      <c r="P109" s="14">
        <v>0</v>
      </c>
      <c r="Q109" s="13">
        <v>0</v>
      </c>
      <c r="R109" s="14">
        <v>0</v>
      </c>
      <c r="S109" s="13">
        <v>0</v>
      </c>
      <c r="T109" s="14">
        <v>0</v>
      </c>
      <c r="U109" s="13">
        <v>0</v>
      </c>
      <c r="V109" s="14">
        <v>0</v>
      </c>
      <c r="W109" s="13">
        <v>0</v>
      </c>
      <c r="X109" s="14">
        <v>0</v>
      </c>
      <c r="Y109" s="13">
        <v>0</v>
      </c>
      <c r="Z109" s="14">
        <v>0</v>
      </c>
      <c r="AA109" s="13">
        <v>0</v>
      </c>
      <c r="AB109" s="14">
        <v>0</v>
      </c>
      <c r="AC109" s="13">
        <v>0</v>
      </c>
      <c r="AD109" s="14">
        <v>0</v>
      </c>
      <c r="AE109" s="13">
        <v>0</v>
      </c>
      <c r="AF109" s="14">
        <v>0</v>
      </c>
      <c r="AG109" s="13">
        <v>0</v>
      </c>
      <c r="AH109" s="14">
        <v>0</v>
      </c>
      <c r="AI109" s="13">
        <v>0</v>
      </c>
      <c r="AJ109" s="14">
        <v>0</v>
      </c>
      <c r="AK109" s="13">
        <v>0</v>
      </c>
      <c r="AL109" s="14">
        <v>0</v>
      </c>
      <c r="AM109" s="13">
        <v>0</v>
      </c>
      <c r="AN109" s="14">
        <v>0</v>
      </c>
      <c r="AO109" s="13">
        <v>15983999.9</v>
      </c>
      <c r="AP109" s="14">
        <v>0</v>
      </c>
      <c r="AQ109" s="13">
        <v>25181999.699999999</v>
      </c>
      <c r="AR109" s="14">
        <v>0</v>
      </c>
      <c r="AS109" s="13">
        <v>24912000.300000001</v>
      </c>
      <c r="AT109" s="14">
        <v>15984000</v>
      </c>
      <c r="AU109" s="13">
        <v>27422000.100000001</v>
      </c>
      <c r="AV109" s="14">
        <v>25182000</v>
      </c>
      <c r="AW109" s="13">
        <v>27962999.899999999</v>
      </c>
      <c r="AX109" s="14">
        <v>24912000</v>
      </c>
      <c r="AY109" s="13">
        <v>26850000.100000001</v>
      </c>
      <c r="AZ109" s="15">
        <v>27422000</v>
      </c>
      <c r="BA109" s="20">
        <v>30829000</v>
      </c>
      <c r="BB109" s="21">
        <v>27963000</v>
      </c>
      <c r="BC109" s="20">
        <v>26166000</v>
      </c>
      <c r="BD109" s="21">
        <v>26850000</v>
      </c>
    </row>
    <row r="110" spans="1:56" ht="12" customHeight="1">
      <c r="A110" s="7" t="s">
        <v>258</v>
      </c>
      <c r="B110" s="8">
        <v>10002829</v>
      </c>
      <c r="C110" s="24" t="s">
        <v>259</v>
      </c>
      <c r="D110" s="19">
        <v>1553158100</v>
      </c>
      <c r="E110" s="10">
        <f t="shared" si="4"/>
        <v>43143280.555555552</v>
      </c>
      <c r="F110" s="8" t="s">
        <v>31</v>
      </c>
      <c r="G110" s="8">
        <v>207</v>
      </c>
      <c r="H110" s="35" t="s">
        <v>257</v>
      </c>
      <c r="I110" s="11" t="s">
        <v>448</v>
      </c>
      <c r="J110" s="9">
        <f t="shared" si="6"/>
        <v>162960000.90000001</v>
      </c>
      <c r="K110" s="9">
        <f t="shared" si="7"/>
        <v>139616000</v>
      </c>
      <c r="L110" s="12">
        <f t="shared" si="5"/>
        <v>0.85675011799782086</v>
      </c>
      <c r="M110" s="13">
        <v>0</v>
      </c>
      <c r="N110" s="14">
        <v>0</v>
      </c>
      <c r="O110" s="13">
        <v>0</v>
      </c>
      <c r="P110" s="14">
        <v>0</v>
      </c>
      <c r="Q110" s="13">
        <v>0</v>
      </c>
      <c r="R110" s="14">
        <v>0</v>
      </c>
      <c r="S110" s="13">
        <v>0</v>
      </c>
      <c r="T110" s="14">
        <v>0</v>
      </c>
      <c r="U110" s="13">
        <v>0</v>
      </c>
      <c r="V110" s="14">
        <v>0</v>
      </c>
      <c r="W110" s="13">
        <v>0</v>
      </c>
      <c r="X110" s="14">
        <v>0</v>
      </c>
      <c r="Y110" s="13">
        <v>0</v>
      </c>
      <c r="Z110" s="14">
        <v>0</v>
      </c>
      <c r="AA110" s="13">
        <v>0</v>
      </c>
      <c r="AB110" s="14">
        <v>0</v>
      </c>
      <c r="AC110" s="13">
        <v>0</v>
      </c>
      <c r="AD110" s="14">
        <v>0</v>
      </c>
      <c r="AE110" s="13">
        <v>0</v>
      </c>
      <c r="AF110" s="14">
        <v>0</v>
      </c>
      <c r="AG110" s="13">
        <v>0</v>
      </c>
      <c r="AH110" s="14">
        <v>0</v>
      </c>
      <c r="AI110" s="13">
        <v>0</v>
      </c>
      <c r="AJ110" s="14">
        <v>0</v>
      </c>
      <c r="AK110" s="13">
        <v>0</v>
      </c>
      <c r="AL110" s="14">
        <v>0</v>
      </c>
      <c r="AM110" s="13">
        <v>0</v>
      </c>
      <c r="AN110" s="14">
        <v>0</v>
      </c>
      <c r="AO110" s="13">
        <v>5312000.0999999996</v>
      </c>
      <c r="AP110" s="14">
        <v>0</v>
      </c>
      <c r="AQ110" s="13">
        <v>21216000.300000001</v>
      </c>
      <c r="AR110" s="14">
        <v>0</v>
      </c>
      <c r="AS110" s="13">
        <v>24240000.399999999</v>
      </c>
      <c r="AT110" s="14">
        <v>26528000</v>
      </c>
      <c r="AU110" s="13">
        <v>20847999.699999999</v>
      </c>
      <c r="AV110" s="14">
        <v>24240000</v>
      </c>
      <c r="AW110" s="13">
        <v>25311999.899999999</v>
      </c>
      <c r="AX110" s="14">
        <v>20848000</v>
      </c>
      <c r="AY110" s="13">
        <v>23392000.5</v>
      </c>
      <c r="AZ110" s="15">
        <v>25312000</v>
      </c>
      <c r="BA110" s="20">
        <v>19296000</v>
      </c>
      <c r="BB110" s="21">
        <v>23392000</v>
      </c>
      <c r="BC110" s="20">
        <v>23344000</v>
      </c>
      <c r="BD110" s="21">
        <v>19296000</v>
      </c>
    </row>
    <row r="111" spans="1:56" ht="12" customHeight="1">
      <c r="A111" s="7" t="s">
        <v>260</v>
      </c>
      <c r="B111" s="8">
        <v>10032388</v>
      </c>
      <c r="C111" s="24" t="s">
        <v>261</v>
      </c>
      <c r="D111" s="19">
        <v>420222000</v>
      </c>
      <c r="E111" s="10">
        <f t="shared" si="4"/>
        <v>11672833.333333334</v>
      </c>
      <c r="F111" s="8" t="s">
        <v>31</v>
      </c>
      <c r="G111" s="8">
        <v>52</v>
      </c>
      <c r="H111" s="35" t="s">
        <v>262</v>
      </c>
      <c r="I111" s="11" t="s">
        <v>448</v>
      </c>
      <c r="J111" s="9">
        <f t="shared" si="6"/>
        <v>53123001.100000001</v>
      </c>
      <c r="K111" s="9">
        <f t="shared" si="7"/>
        <v>45098000</v>
      </c>
      <c r="L111" s="12">
        <f t="shared" si="5"/>
        <v>0.84893547175744932</v>
      </c>
      <c r="M111" s="13">
        <v>0</v>
      </c>
      <c r="N111" s="14">
        <v>0</v>
      </c>
      <c r="O111" s="13">
        <v>0</v>
      </c>
      <c r="P111" s="14">
        <v>0</v>
      </c>
      <c r="Q111" s="13">
        <v>0</v>
      </c>
      <c r="R111" s="14">
        <v>0</v>
      </c>
      <c r="S111" s="13">
        <v>0</v>
      </c>
      <c r="T111" s="14">
        <v>0</v>
      </c>
      <c r="U111" s="13">
        <v>0</v>
      </c>
      <c r="V111" s="14">
        <v>0</v>
      </c>
      <c r="W111" s="13">
        <v>0</v>
      </c>
      <c r="X111" s="14">
        <v>0</v>
      </c>
      <c r="Y111" s="13">
        <v>0</v>
      </c>
      <c r="Z111" s="14">
        <v>0</v>
      </c>
      <c r="AA111" s="13">
        <v>0</v>
      </c>
      <c r="AB111" s="14">
        <v>0</v>
      </c>
      <c r="AC111" s="13">
        <v>0</v>
      </c>
      <c r="AD111" s="14">
        <v>0</v>
      </c>
      <c r="AE111" s="13">
        <v>0</v>
      </c>
      <c r="AF111" s="14">
        <v>0</v>
      </c>
      <c r="AG111" s="13">
        <v>0</v>
      </c>
      <c r="AH111" s="14">
        <v>0</v>
      </c>
      <c r="AI111" s="13">
        <v>0</v>
      </c>
      <c r="AJ111" s="14">
        <v>0</v>
      </c>
      <c r="AK111" s="13">
        <v>0</v>
      </c>
      <c r="AL111" s="14">
        <v>0</v>
      </c>
      <c r="AM111" s="13">
        <v>0</v>
      </c>
      <c r="AN111" s="14">
        <v>0</v>
      </c>
      <c r="AO111" s="13">
        <v>3909999.5</v>
      </c>
      <c r="AP111" s="14">
        <v>0</v>
      </c>
      <c r="AQ111" s="13">
        <v>2353000.1</v>
      </c>
      <c r="AR111" s="14">
        <v>3919000</v>
      </c>
      <c r="AS111" s="13">
        <v>7467000.2000000002</v>
      </c>
      <c r="AT111" s="14">
        <v>2344000</v>
      </c>
      <c r="AU111" s="13">
        <v>8213000.4000000004</v>
      </c>
      <c r="AV111" s="14">
        <v>7467000</v>
      </c>
      <c r="AW111" s="13">
        <v>7046000.5</v>
      </c>
      <c r="AX111" s="14">
        <v>8213000</v>
      </c>
      <c r="AY111" s="13">
        <v>8158000.4000000004</v>
      </c>
      <c r="AZ111" s="15">
        <v>7046000</v>
      </c>
      <c r="BA111" s="20">
        <v>7951000</v>
      </c>
      <c r="BB111" s="21">
        <v>8157999.9999999991</v>
      </c>
      <c r="BC111" s="20">
        <v>8025000</v>
      </c>
      <c r="BD111" s="21">
        <v>7951000</v>
      </c>
    </row>
    <row r="112" spans="1:56" ht="12" customHeight="1">
      <c r="A112" s="7" t="s">
        <v>263</v>
      </c>
      <c r="B112" s="8">
        <v>10061981</v>
      </c>
      <c r="C112" s="24" t="s">
        <v>264</v>
      </c>
      <c r="D112" s="19">
        <v>513910800</v>
      </c>
      <c r="E112" s="10">
        <f t="shared" si="4"/>
        <v>14275300</v>
      </c>
      <c r="F112" s="8" t="s">
        <v>31</v>
      </c>
      <c r="G112" s="8">
        <v>50</v>
      </c>
      <c r="H112" s="35" t="s">
        <v>77</v>
      </c>
      <c r="I112" s="11" t="s">
        <v>448</v>
      </c>
      <c r="J112" s="9">
        <f t="shared" si="6"/>
        <v>33253999</v>
      </c>
      <c r="K112" s="9">
        <f t="shared" si="7"/>
        <v>28587000</v>
      </c>
      <c r="L112" s="12">
        <f t="shared" si="5"/>
        <v>0.85965600708654621</v>
      </c>
      <c r="M112" s="13">
        <v>0</v>
      </c>
      <c r="N112" s="14">
        <v>0</v>
      </c>
      <c r="O112" s="13">
        <v>0</v>
      </c>
      <c r="P112" s="14">
        <v>0</v>
      </c>
      <c r="Q112" s="13">
        <v>0</v>
      </c>
      <c r="R112" s="14">
        <v>0</v>
      </c>
      <c r="S112" s="13">
        <v>0</v>
      </c>
      <c r="T112" s="14">
        <v>0</v>
      </c>
      <c r="U112" s="13">
        <v>0</v>
      </c>
      <c r="V112" s="14">
        <v>0</v>
      </c>
      <c r="W112" s="13">
        <v>0</v>
      </c>
      <c r="X112" s="14">
        <v>0</v>
      </c>
      <c r="Y112" s="13">
        <v>0</v>
      </c>
      <c r="Z112" s="14">
        <v>0</v>
      </c>
      <c r="AA112" s="13">
        <v>0</v>
      </c>
      <c r="AB112" s="14">
        <v>0</v>
      </c>
      <c r="AC112" s="13">
        <v>0</v>
      </c>
      <c r="AD112" s="14">
        <v>0</v>
      </c>
      <c r="AE112" s="13">
        <v>0</v>
      </c>
      <c r="AF112" s="14">
        <v>0</v>
      </c>
      <c r="AG112" s="13">
        <v>0</v>
      </c>
      <c r="AH112" s="14">
        <v>0</v>
      </c>
      <c r="AI112" s="13">
        <v>0</v>
      </c>
      <c r="AJ112" s="14">
        <v>0</v>
      </c>
      <c r="AK112" s="13">
        <v>0</v>
      </c>
      <c r="AL112" s="14">
        <v>0</v>
      </c>
      <c r="AM112" s="13">
        <v>0</v>
      </c>
      <c r="AN112" s="14">
        <v>0</v>
      </c>
      <c r="AO112" s="13">
        <v>2313999.6</v>
      </c>
      <c r="AP112" s="14">
        <v>0</v>
      </c>
      <c r="AQ112" s="13">
        <v>3627000.3</v>
      </c>
      <c r="AR112" s="14">
        <v>2314000</v>
      </c>
      <c r="AS112" s="13">
        <v>4393999.5</v>
      </c>
      <c r="AT112" s="14">
        <v>3627000</v>
      </c>
      <c r="AU112" s="13">
        <v>4107999.5</v>
      </c>
      <c r="AV112" s="14">
        <v>4394000</v>
      </c>
      <c r="AW112" s="13">
        <v>4029999.6</v>
      </c>
      <c r="AX112" s="14">
        <v>4108000</v>
      </c>
      <c r="AY112" s="13">
        <v>4758000.5</v>
      </c>
      <c r="AZ112" s="15">
        <v>4030000</v>
      </c>
      <c r="BA112" s="20">
        <v>5057000</v>
      </c>
      <c r="BB112" s="21">
        <v>5057000</v>
      </c>
      <c r="BC112" s="20">
        <v>4966000</v>
      </c>
      <c r="BD112" s="21">
        <v>5057000</v>
      </c>
    </row>
    <row r="113" spans="1:56" ht="12" customHeight="1">
      <c r="A113" s="7" t="s">
        <v>265</v>
      </c>
      <c r="B113" s="8">
        <v>10075257</v>
      </c>
      <c r="C113" s="24" t="s">
        <v>514</v>
      </c>
      <c r="D113" s="19">
        <v>330000000</v>
      </c>
      <c r="E113" s="10">
        <f t="shared" si="4"/>
        <v>9166666.666666666</v>
      </c>
      <c r="F113" s="8" t="s">
        <v>31</v>
      </c>
      <c r="G113" s="8">
        <v>30</v>
      </c>
      <c r="H113" s="35" t="s">
        <v>266</v>
      </c>
      <c r="I113" s="11" t="s">
        <v>448</v>
      </c>
      <c r="J113" s="9">
        <f t="shared" si="6"/>
        <v>29982998.300000004</v>
      </c>
      <c r="K113" s="9">
        <f t="shared" si="7"/>
        <v>23447000</v>
      </c>
      <c r="L113" s="12">
        <f t="shared" si="5"/>
        <v>0.78200984989549882</v>
      </c>
      <c r="M113" s="13">
        <v>0</v>
      </c>
      <c r="N113" s="14">
        <v>0</v>
      </c>
      <c r="O113" s="13">
        <v>0</v>
      </c>
      <c r="P113" s="14">
        <v>0</v>
      </c>
      <c r="Q113" s="13">
        <v>0</v>
      </c>
      <c r="R113" s="14">
        <v>0</v>
      </c>
      <c r="S113" s="13">
        <v>0</v>
      </c>
      <c r="T113" s="14">
        <v>0</v>
      </c>
      <c r="U113" s="13">
        <v>0</v>
      </c>
      <c r="V113" s="14">
        <v>0</v>
      </c>
      <c r="W113" s="13">
        <v>0</v>
      </c>
      <c r="X113" s="14">
        <v>0</v>
      </c>
      <c r="Y113" s="13">
        <v>0</v>
      </c>
      <c r="Z113" s="14">
        <v>0</v>
      </c>
      <c r="AA113" s="13">
        <v>0</v>
      </c>
      <c r="AB113" s="14">
        <v>0</v>
      </c>
      <c r="AC113" s="13">
        <v>0</v>
      </c>
      <c r="AD113" s="14">
        <v>0</v>
      </c>
      <c r="AE113" s="13">
        <v>0</v>
      </c>
      <c r="AF113" s="14">
        <v>0</v>
      </c>
      <c r="AG113" s="13">
        <v>0</v>
      </c>
      <c r="AH113" s="14">
        <v>0</v>
      </c>
      <c r="AI113" s="13">
        <v>0</v>
      </c>
      <c r="AJ113" s="14">
        <v>0</v>
      </c>
      <c r="AK113" s="13">
        <v>0</v>
      </c>
      <c r="AL113" s="14">
        <v>0</v>
      </c>
      <c r="AM113" s="13">
        <v>0</v>
      </c>
      <c r="AN113" s="14">
        <v>0</v>
      </c>
      <c r="AO113" s="13">
        <v>1983999.6</v>
      </c>
      <c r="AP113" s="14">
        <v>0</v>
      </c>
      <c r="AQ113" s="13">
        <v>3631999.8</v>
      </c>
      <c r="AR113" s="14">
        <v>0</v>
      </c>
      <c r="AS113" s="13">
        <v>4655999.7</v>
      </c>
      <c r="AT113" s="14">
        <v>0</v>
      </c>
      <c r="AU113" s="13">
        <v>4787999.7</v>
      </c>
      <c r="AV113" s="14">
        <v>0</v>
      </c>
      <c r="AW113" s="13">
        <v>4290999.9000000004</v>
      </c>
      <c r="AX113" s="14">
        <v>5616000</v>
      </c>
      <c r="AY113" s="13">
        <v>4095999.6</v>
      </c>
      <c r="AZ113" s="15">
        <v>9444000</v>
      </c>
      <c r="BA113" s="20">
        <v>3012000</v>
      </c>
      <c r="BB113" s="21">
        <v>0</v>
      </c>
      <c r="BC113" s="20">
        <v>3524000</v>
      </c>
      <c r="BD113" s="21">
        <v>8387000</v>
      </c>
    </row>
    <row r="114" spans="1:56" ht="12" customHeight="1">
      <c r="A114" s="7" t="s">
        <v>267</v>
      </c>
      <c r="B114" s="8">
        <v>10038148</v>
      </c>
      <c r="C114" s="24" t="s">
        <v>515</v>
      </c>
      <c r="D114" s="19">
        <v>249237000</v>
      </c>
      <c r="E114" s="10">
        <f t="shared" si="4"/>
        <v>6923250</v>
      </c>
      <c r="F114" s="8" t="s">
        <v>31</v>
      </c>
      <c r="G114" s="8">
        <v>30</v>
      </c>
      <c r="H114" s="35" t="s">
        <v>268</v>
      </c>
      <c r="I114" s="11" t="s">
        <v>448</v>
      </c>
      <c r="J114" s="9">
        <f t="shared" si="6"/>
        <v>66295001</v>
      </c>
      <c r="K114" s="9">
        <f t="shared" si="7"/>
        <v>51573000</v>
      </c>
      <c r="L114" s="12">
        <f t="shared" si="5"/>
        <v>0.77793195900245937</v>
      </c>
      <c r="M114" s="13">
        <v>0</v>
      </c>
      <c r="N114" s="14">
        <v>0</v>
      </c>
      <c r="O114" s="13">
        <v>0</v>
      </c>
      <c r="P114" s="14">
        <v>0</v>
      </c>
      <c r="Q114" s="13">
        <v>0</v>
      </c>
      <c r="R114" s="14">
        <v>0</v>
      </c>
      <c r="S114" s="13">
        <v>0</v>
      </c>
      <c r="T114" s="14">
        <v>0</v>
      </c>
      <c r="U114" s="13">
        <v>0</v>
      </c>
      <c r="V114" s="14">
        <v>0</v>
      </c>
      <c r="W114" s="13">
        <v>0</v>
      </c>
      <c r="X114" s="14">
        <v>0</v>
      </c>
      <c r="Y114" s="13">
        <v>0</v>
      </c>
      <c r="Z114" s="14">
        <v>0</v>
      </c>
      <c r="AA114" s="13">
        <v>0</v>
      </c>
      <c r="AB114" s="14">
        <v>0</v>
      </c>
      <c r="AC114" s="13">
        <v>0</v>
      </c>
      <c r="AD114" s="14">
        <v>0</v>
      </c>
      <c r="AE114" s="13">
        <v>0</v>
      </c>
      <c r="AF114" s="14">
        <v>0</v>
      </c>
      <c r="AG114" s="13">
        <v>0</v>
      </c>
      <c r="AH114" s="14">
        <v>0</v>
      </c>
      <c r="AI114" s="13">
        <v>0</v>
      </c>
      <c r="AJ114" s="14">
        <v>0</v>
      </c>
      <c r="AK114" s="13">
        <v>0</v>
      </c>
      <c r="AL114" s="14">
        <v>0</v>
      </c>
      <c r="AM114" s="13">
        <v>0</v>
      </c>
      <c r="AN114" s="14">
        <v>0</v>
      </c>
      <c r="AO114" s="13">
        <v>1353000</v>
      </c>
      <c r="AP114" s="14">
        <v>0</v>
      </c>
      <c r="AQ114" s="13">
        <v>5795000.2000000002</v>
      </c>
      <c r="AR114" s="14">
        <v>0</v>
      </c>
      <c r="AS114" s="13">
        <v>6937000.4000000004</v>
      </c>
      <c r="AT114" s="14">
        <v>1353000</v>
      </c>
      <c r="AU114" s="13">
        <v>7729000.4000000004</v>
      </c>
      <c r="AV114" s="14">
        <v>12732000</v>
      </c>
      <c r="AW114" s="13">
        <v>8807000.4000000004</v>
      </c>
      <c r="AX114" s="14">
        <v>7729000</v>
      </c>
      <c r="AY114" s="13">
        <v>9771999.5999999996</v>
      </c>
      <c r="AZ114" s="15">
        <v>8807000</v>
      </c>
      <c r="BA114" s="20">
        <v>11180000</v>
      </c>
      <c r="BB114" s="21">
        <v>9772000</v>
      </c>
      <c r="BC114" s="20">
        <v>14722000</v>
      </c>
      <c r="BD114" s="21">
        <v>11180000</v>
      </c>
    </row>
    <row r="115" spans="1:56" ht="12" customHeight="1">
      <c r="A115" s="7" t="s">
        <v>269</v>
      </c>
      <c r="B115" s="8">
        <v>10040990</v>
      </c>
      <c r="C115" s="24" t="s">
        <v>270</v>
      </c>
      <c r="D115" s="19">
        <v>354883100</v>
      </c>
      <c r="E115" s="10">
        <f t="shared" si="4"/>
        <v>9857863.8888888881</v>
      </c>
      <c r="F115" s="8" t="s">
        <v>31</v>
      </c>
      <c r="G115" s="8">
        <v>40</v>
      </c>
      <c r="H115" s="35" t="s">
        <v>227</v>
      </c>
      <c r="I115" s="11" t="s">
        <v>448</v>
      </c>
      <c r="J115" s="9">
        <f t="shared" si="6"/>
        <v>25652999.100000001</v>
      </c>
      <c r="K115" s="9">
        <f t="shared" si="7"/>
        <v>18302000</v>
      </c>
      <c r="L115" s="12">
        <f t="shared" si="5"/>
        <v>0.71344484629869254</v>
      </c>
      <c r="M115" s="13">
        <v>0</v>
      </c>
      <c r="N115" s="14">
        <v>0</v>
      </c>
      <c r="O115" s="13">
        <v>0</v>
      </c>
      <c r="P115" s="14">
        <v>0</v>
      </c>
      <c r="Q115" s="13">
        <v>0</v>
      </c>
      <c r="R115" s="14">
        <v>0</v>
      </c>
      <c r="S115" s="13">
        <v>0</v>
      </c>
      <c r="T115" s="14">
        <v>0</v>
      </c>
      <c r="U115" s="13">
        <v>0</v>
      </c>
      <c r="V115" s="14">
        <v>0</v>
      </c>
      <c r="W115" s="13">
        <v>0</v>
      </c>
      <c r="X115" s="14">
        <v>0</v>
      </c>
      <c r="Y115" s="13">
        <v>0</v>
      </c>
      <c r="Z115" s="14">
        <v>0</v>
      </c>
      <c r="AA115" s="13">
        <v>0</v>
      </c>
      <c r="AB115" s="14">
        <v>0</v>
      </c>
      <c r="AC115" s="13">
        <v>0</v>
      </c>
      <c r="AD115" s="14">
        <v>0</v>
      </c>
      <c r="AE115" s="13">
        <v>0</v>
      </c>
      <c r="AF115" s="14">
        <v>0</v>
      </c>
      <c r="AG115" s="13">
        <v>0</v>
      </c>
      <c r="AH115" s="14">
        <v>0</v>
      </c>
      <c r="AI115" s="13">
        <v>0</v>
      </c>
      <c r="AJ115" s="14">
        <v>0</v>
      </c>
      <c r="AK115" s="13">
        <v>0</v>
      </c>
      <c r="AL115" s="14">
        <v>0</v>
      </c>
      <c r="AM115" s="13">
        <v>0</v>
      </c>
      <c r="AN115" s="14">
        <v>0</v>
      </c>
      <c r="AO115" s="13">
        <v>959999.7</v>
      </c>
      <c r="AP115" s="14">
        <v>0</v>
      </c>
      <c r="AQ115" s="13">
        <v>2240000.4</v>
      </c>
      <c r="AR115" s="14">
        <v>960000</v>
      </c>
      <c r="AS115" s="13">
        <v>3359999.5</v>
      </c>
      <c r="AT115" s="14">
        <v>2240000</v>
      </c>
      <c r="AU115" s="13">
        <v>2352000.2000000002</v>
      </c>
      <c r="AV115" s="14">
        <v>3360000</v>
      </c>
      <c r="AW115" s="13">
        <v>2223999.7999999998</v>
      </c>
      <c r="AX115" s="14">
        <v>2352000</v>
      </c>
      <c r="AY115" s="13">
        <v>2567999.5</v>
      </c>
      <c r="AZ115" s="15">
        <v>2224000</v>
      </c>
      <c r="BA115" s="20">
        <v>4598000</v>
      </c>
      <c r="BB115" s="21">
        <v>2568000</v>
      </c>
      <c r="BC115" s="20">
        <v>7351000</v>
      </c>
      <c r="BD115" s="21">
        <v>4598000</v>
      </c>
    </row>
    <row r="116" spans="1:56" ht="12" customHeight="1">
      <c r="A116" s="7" t="s">
        <v>271</v>
      </c>
      <c r="B116" s="8">
        <v>10006513</v>
      </c>
      <c r="C116" s="24" t="s">
        <v>272</v>
      </c>
      <c r="D116" s="19">
        <v>198000000</v>
      </c>
      <c r="E116" s="10">
        <f t="shared" si="4"/>
        <v>5500000</v>
      </c>
      <c r="F116" s="8" t="s">
        <v>31</v>
      </c>
      <c r="G116" s="8">
        <v>30</v>
      </c>
      <c r="H116" s="35" t="s">
        <v>241</v>
      </c>
      <c r="I116" s="11" t="s">
        <v>491</v>
      </c>
      <c r="J116" s="9">
        <f t="shared" si="6"/>
        <v>22149999.699999999</v>
      </c>
      <c r="K116" s="9">
        <f t="shared" si="7"/>
        <v>17002000</v>
      </c>
      <c r="L116" s="12">
        <f t="shared" si="5"/>
        <v>0.76758466050904739</v>
      </c>
      <c r="M116" s="13">
        <v>0</v>
      </c>
      <c r="N116" s="14">
        <v>0</v>
      </c>
      <c r="O116" s="13">
        <v>0</v>
      </c>
      <c r="P116" s="14">
        <v>0</v>
      </c>
      <c r="Q116" s="13">
        <v>0</v>
      </c>
      <c r="R116" s="14">
        <v>0</v>
      </c>
      <c r="S116" s="13">
        <v>0</v>
      </c>
      <c r="T116" s="14">
        <v>0</v>
      </c>
      <c r="U116" s="13">
        <v>0</v>
      </c>
      <c r="V116" s="14">
        <v>0</v>
      </c>
      <c r="W116" s="13">
        <v>0</v>
      </c>
      <c r="X116" s="14">
        <v>0</v>
      </c>
      <c r="Y116" s="13">
        <v>0</v>
      </c>
      <c r="Z116" s="14">
        <v>0</v>
      </c>
      <c r="AA116" s="13">
        <v>0</v>
      </c>
      <c r="AB116" s="14">
        <v>0</v>
      </c>
      <c r="AC116" s="13">
        <v>0</v>
      </c>
      <c r="AD116" s="14">
        <v>0</v>
      </c>
      <c r="AE116" s="13">
        <v>0</v>
      </c>
      <c r="AF116" s="14">
        <v>0</v>
      </c>
      <c r="AG116" s="13">
        <v>0</v>
      </c>
      <c r="AH116" s="14">
        <v>0</v>
      </c>
      <c r="AI116" s="13">
        <v>0</v>
      </c>
      <c r="AJ116" s="14">
        <v>0</v>
      </c>
      <c r="AK116" s="13">
        <v>0</v>
      </c>
      <c r="AL116" s="14">
        <v>0</v>
      </c>
      <c r="AM116" s="13">
        <v>0</v>
      </c>
      <c r="AN116" s="14">
        <v>0</v>
      </c>
      <c r="AO116" s="13">
        <v>0</v>
      </c>
      <c r="AP116" s="14">
        <v>0</v>
      </c>
      <c r="AQ116" s="13">
        <v>2442000</v>
      </c>
      <c r="AR116" s="14">
        <v>0</v>
      </c>
      <c r="AS116" s="13">
        <v>2145000</v>
      </c>
      <c r="AT116" s="14">
        <v>0</v>
      </c>
      <c r="AU116" s="13">
        <v>3575000</v>
      </c>
      <c r="AV116" s="14">
        <v>4587000</v>
      </c>
      <c r="AW116" s="13">
        <v>2508999.9</v>
      </c>
      <c r="AX116" s="14">
        <v>0</v>
      </c>
      <c r="AY116" s="13">
        <v>2729999.8</v>
      </c>
      <c r="AZ116" s="15">
        <v>6084000</v>
      </c>
      <c r="BA116" s="20">
        <v>3601000</v>
      </c>
      <c r="BB116" s="21">
        <v>2730000</v>
      </c>
      <c r="BC116" s="20">
        <v>5148000</v>
      </c>
      <c r="BD116" s="21">
        <v>3601000</v>
      </c>
    </row>
    <row r="117" spans="1:56" ht="12" customHeight="1">
      <c r="A117" s="42" t="s">
        <v>273</v>
      </c>
      <c r="B117" s="8">
        <v>10112774</v>
      </c>
      <c r="C117" s="24" t="s">
        <v>533</v>
      </c>
      <c r="D117" s="19">
        <v>983759140</v>
      </c>
      <c r="E117" s="10">
        <f t="shared" si="4"/>
        <v>27326642.777777776</v>
      </c>
      <c r="F117" s="8" t="s">
        <v>31</v>
      </c>
      <c r="G117" s="8">
        <v>110</v>
      </c>
      <c r="H117" s="35" t="s">
        <v>266</v>
      </c>
      <c r="I117" s="11" t="s">
        <v>448</v>
      </c>
      <c r="J117" s="9">
        <f t="shared" si="6"/>
        <v>54145000.100000001</v>
      </c>
      <c r="K117" s="9">
        <f t="shared" si="7"/>
        <v>43060000</v>
      </c>
      <c r="L117" s="12">
        <f t="shared" si="5"/>
        <v>0.79527195346703861</v>
      </c>
      <c r="M117" s="13">
        <v>0</v>
      </c>
      <c r="N117" s="14">
        <v>0</v>
      </c>
      <c r="O117" s="13">
        <v>0</v>
      </c>
      <c r="P117" s="14">
        <v>0</v>
      </c>
      <c r="Q117" s="13">
        <v>0</v>
      </c>
      <c r="R117" s="14">
        <v>0</v>
      </c>
      <c r="S117" s="13">
        <v>0</v>
      </c>
      <c r="T117" s="14">
        <v>0</v>
      </c>
      <c r="U117" s="13">
        <v>0</v>
      </c>
      <c r="V117" s="14">
        <v>0</v>
      </c>
      <c r="W117" s="13">
        <v>0</v>
      </c>
      <c r="X117" s="14">
        <v>0</v>
      </c>
      <c r="Y117" s="13">
        <v>0</v>
      </c>
      <c r="Z117" s="14">
        <v>0</v>
      </c>
      <c r="AA117" s="13">
        <v>0</v>
      </c>
      <c r="AB117" s="14">
        <v>0</v>
      </c>
      <c r="AC117" s="13">
        <v>0</v>
      </c>
      <c r="AD117" s="14">
        <v>0</v>
      </c>
      <c r="AE117" s="13">
        <v>0</v>
      </c>
      <c r="AF117" s="14">
        <v>0</v>
      </c>
      <c r="AG117" s="13">
        <v>0</v>
      </c>
      <c r="AH117" s="14">
        <v>0</v>
      </c>
      <c r="AI117" s="13">
        <v>0</v>
      </c>
      <c r="AJ117" s="14">
        <v>0</v>
      </c>
      <c r="AK117" s="13">
        <v>0</v>
      </c>
      <c r="AL117" s="14">
        <v>0</v>
      </c>
      <c r="AM117" s="13">
        <v>0</v>
      </c>
      <c r="AN117" s="14">
        <v>0</v>
      </c>
      <c r="AO117" s="13">
        <v>0</v>
      </c>
      <c r="AP117" s="14">
        <v>0</v>
      </c>
      <c r="AQ117" s="13">
        <v>8943999.9000000004</v>
      </c>
      <c r="AR117" s="14">
        <v>0</v>
      </c>
      <c r="AS117" s="13">
        <v>16133000.4</v>
      </c>
      <c r="AT117" s="14">
        <v>8944000</v>
      </c>
      <c r="AU117" s="13">
        <v>0</v>
      </c>
      <c r="AV117" s="14">
        <v>16133000</v>
      </c>
      <c r="AW117" s="13">
        <v>9185999.9000000004</v>
      </c>
      <c r="AX117" s="14">
        <v>0</v>
      </c>
      <c r="AY117" s="13">
        <v>2772999.9</v>
      </c>
      <c r="AZ117" s="15">
        <v>9186000</v>
      </c>
      <c r="BA117" s="20">
        <v>6024000</v>
      </c>
      <c r="BB117" s="21">
        <v>2773000</v>
      </c>
      <c r="BC117" s="20">
        <v>11085000</v>
      </c>
      <c r="BD117" s="21">
        <v>6024000</v>
      </c>
    </row>
    <row r="118" spans="1:56" ht="12" customHeight="1">
      <c r="A118" s="7" t="s">
        <v>274</v>
      </c>
      <c r="B118" s="8">
        <v>10019113</v>
      </c>
      <c r="C118" s="24" t="s">
        <v>275</v>
      </c>
      <c r="D118" s="19">
        <v>287374000</v>
      </c>
      <c r="E118" s="10">
        <f t="shared" si="4"/>
        <v>7982611.111111111</v>
      </c>
      <c r="F118" s="8" t="s">
        <v>31</v>
      </c>
      <c r="G118" s="8">
        <v>30</v>
      </c>
      <c r="H118" s="35" t="s">
        <v>276</v>
      </c>
      <c r="I118" s="11" t="s">
        <v>448</v>
      </c>
      <c r="J118" s="9">
        <f t="shared" si="6"/>
        <v>14491999.800000001</v>
      </c>
      <c r="K118" s="9">
        <f t="shared" si="7"/>
        <v>11876000</v>
      </c>
      <c r="L118" s="12">
        <f t="shared" si="5"/>
        <v>0.81948662461339528</v>
      </c>
      <c r="M118" s="13">
        <v>0</v>
      </c>
      <c r="N118" s="14">
        <v>0</v>
      </c>
      <c r="O118" s="13">
        <v>0</v>
      </c>
      <c r="P118" s="14">
        <v>0</v>
      </c>
      <c r="Q118" s="13">
        <v>0</v>
      </c>
      <c r="R118" s="14">
        <v>0</v>
      </c>
      <c r="S118" s="13">
        <v>0</v>
      </c>
      <c r="T118" s="14">
        <v>0</v>
      </c>
      <c r="U118" s="13">
        <v>0</v>
      </c>
      <c r="V118" s="14">
        <v>0</v>
      </c>
      <c r="W118" s="13">
        <v>0</v>
      </c>
      <c r="X118" s="14">
        <v>0</v>
      </c>
      <c r="Y118" s="13">
        <v>0</v>
      </c>
      <c r="Z118" s="14">
        <v>0</v>
      </c>
      <c r="AA118" s="13">
        <v>0</v>
      </c>
      <c r="AB118" s="14">
        <v>0</v>
      </c>
      <c r="AC118" s="13">
        <v>0</v>
      </c>
      <c r="AD118" s="14">
        <v>0</v>
      </c>
      <c r="AE118" s="13">
        <v>0</v>
      </c>
      <c r="AF118" s="14">
        <v>0</v>
      </c>
      <c r="AG118" s="13">
        <v>0</v>
      </c>
      <c r="AH118" s="14">
        <v>0</v>
      </c>
      <c r="AI118" s="13">
        <v>0</v>
      </c>
      <c r="AJ118" s="14">
        <v>0</v>
      </c>
      <c r="AK118" s="13">
        <v>0</v>
      </c>
      <c r="AL118" s="14">
        <v>0</v>
      </c>
      <c r="AM118" s="13">
        <v>0</v>
      </c>
      <c r="AN118" s="14">
        <v>0</v>
      </c>
      <c r="AO118" s="13">
        <v>0</v>
      </c>
      <c r="AP118" s="14">
        <v>0</v>
      </c>
      <c r="AQ118" s="13">
        <v>946999.9</v>
      </c>
      <c r="AR118" s="14">
        <v>0</v>
      </c>
      <c r="AS118" s="13">
        <v>2257999.7000000002</v>
      </c>
      <c r="AT118" s="14">
        <v>947000</v>
      </c>
      <c r="AU118" s="13">
        <v>2251000.4</v>
      </c>
      <c r="AV118" s="14">
        <v>0</v>
      </c>
      <c r="AW118" s="13">
        <v>1852999.5</v>
      </c>
      <c r="AX118" s="14">
        <v>4509000</v>
      </c>
      <c r="AY118" s="13">
        <v>2450000.2999999998</v>
      </c>
      <c r="AZ118" s="15">
        <v>1853000</v>
      </c>
      <c r="BA118" s="20">
        <v>2117000</v>
      </c>
      <c r="BB118" s="21">
        <v>2450000</v>
      </c>
      <c r="BC118" s="20">
        <v>2616000</v>
      </c>
      <c r="BD118" s="21">
        <v>2117000</v>
      </c>
    </row>
    <row r="119" spans="1:56" ht="12" customHeight="1">
      <c r="A119" s="7" t="s">
        <v>277</v>
      </c>
      <c r="B119" s="8">
        <v>10026494</v>
      </c>
      <c r="C119" s="24" t="s">
        <v>278</v>
      </c>
      <c r="D119" s="19">
        <v>516318193</v>
      </c>
      <c r="E119" s="10">
        <f t="shared" si="4"/>
        <v>14342172.027777778</v>
      </c>
      <c r="F119" s="8" t="s">
        <v>31</v>
      </c>
      <c r="G119" s="8">
        <v>50</v>
      </c>
      <c r="H119" s="35" t="s">
        <v>279</v>
      </c>
      <c r="I119" s="11" t="s">
        <v>448</v>
      </c>
      <c r="J119" s="9">
        <f t="shared" si="6"/>
        <v>102808999.40000001</v>
      </c>
      <c r="K119" s="9">
        <f t="shared" si="7"/>
        <v>76642000</v>
      </c>
      <c r="L119" s="12">
        <f t="shared" si="5"/>
        <v>0.74547948571902933</v>
      </c>
      <c r="M119" s="13">
        <v>0</v>
      </c>
      <c r="N119" s="14">
        <v>0</v>
      </c>
      <c r="O119" s="13">
        <v>0</v>
      </c>
      <c r="P119" s="14">
        <v>0</v>
      </c>
      <c r="Q119" s="13">
        <v>0</v>
      </c>
      <c r="R119" s="14">
        <v>0</v>
      </c>
      <c r="S119" s="13">
        <v>0</v>
      </c>
      <c r="T119" s="14">
        <v>0</v>
      </c>
      <c r="U119" s="13">
        <v>0</v>
      </c>
      <c r="V119" s="14">
        <v>0</v>
      </c>
      <c r="W119" s="13">
        <v>0</v>
      </c>
      <c r="X119" s="14">
        <v>0</v>
      </c>
      <c r="Y119" s="13">
        <v>0</v>
      </c>
      <c r="Z119" s="14">
        <v>0</v>
      </c>
      <c r="AA119" s="13">
        <v>0</v>
      </c>
      <c r="AB119" s="14">
        <v>0</v>
      </c>
      <c r="AC119" s="13">
        <v>0</v>
      </c>
      <c r="AD119" s="14">
        <v>0</v>
      </c>
      <c r="AE119" s="13">
        <v>0</v>
      </c>
      <c r="AF119" s="14">
        <v>0</v>
      </c>
      <c r="AG119" s="13">
        <v>0</v>
      </c>
      <c r="AH119" s="14">
        <v>0</v>
      </c>
      <c r="AI119" s="13">
        <v>0</v>
      </c>
      <c r="AJ119" s="14">
        <v>0</v>
      </c>
      <c r="AK119" s="13">
        <v>0</v>
      </c>
      <c r="AL119" s="14">
        <v>0</v>
      </c>
      <c r="AM119" s="13">
        <v>0</v>
      </c>
      <c r="AN119" s="14">
        <v>0</v>
      </c>
      <c r="AO119" s="13">
        <v>0</v>
      </c>
      <c r="AP119" s="14">
        <v>0</v>
      </c>
      <c r="AQ119" s="13">
        <v>6997999.7999999998</v>
      </c>
      <c r="AR119" s="14">
        <v>0</v>
      </c>
      <c r="AS119" s="13">
        <v>10976000.199999999</v>
      </c>
      <c r="AT119" s="14">
        <v>0</v>
      </c>
      <c r="AU119" s="13">
        <v>9505999.8000000007</v>
      </c>
      <c r="AV119" s="14">
        <v>0</v>
      </c>
      <c r="AW119" s="13">
        <v>10439000</v>
      </c>
      <c r="AX119" s="14">
        <v>17974000</v>
      </c>
      <c r="AY119" s="13">
        <v>10607999.6</v>
      </c>
      <c r="AZ119" s="15">
        <v>19945000</v>
      </c>
      <c r="BA119" s="20">
        <v>28115000</v>
      </c>
      <c r="BB119" s="21">
        <v>10608000</v>
      </c>
      <c r="BC119" s="20">
        <v>26167000</v>
      </c>
      <c r="BD119" s="21">
        <v>28115000</v>
      </c>
    </row>
    <row r="120" spans="1:56" ht="12" customHeight="1">
      <c r="A120" s="7" t="s">
        <v>280</v>
      </c>
      <c r="B120" s="8">
        <v>10032387</v>
      </c>
      <c r="C120" s="24" t="s">
        <v>281</v>
      </c>
      <c r="D120" s="19">
        <v>1502824646</v>
      </c>
      <c r="E120" s="10">
        <f t="shared" si="4"/>
        <v>41745129.055555552</v>
      </c>
      <c r="F120" s="8" t="s">
        <v>31</v>
      </c>
      <c r="G120" s="8">
        <v>177</v>
      </c>
      <c r="H120" s="35" t="s">
        <v>282</v>
      </c>
      <c r="I120" s="11" t="s">
        <v>448</v>
      </c>
      <c r="J120" s="9">
        <f t="shared" si="6"/>
        <v>70909999.599999994</v>
      </c>
      <c r="K120" s="9">
        <f t="shared" si="7"/>
        <v>62501000</v>
      </c>
      <c r="L120" s="12">
        <f t="shared" si="5"/>
        <v>0.88141306377894835</v>
      </c>
      <c r="M120" s="13">
        <v>0</v>
      </c>
      <c r="N120" s="14">
        <v>0</v>
      </c>
      <c r="O120" s="13">
        <v>0</v>
      </c>
      <c r="P120" s="14">
        <v>0</v>
      </c>
      <c r="Q120" s="13">
        <v>0</v>
      </c>
      <c r="R120" s="14">
        <v>0</v>
      </c>
      <c r="S120" s="13">
        <v>0</v>
      </c>
      <c r="T120" s="14">
        <v>0</v>
      </c>
      <c r="U120" s="13">
        <v>0</v>
      </c>
      <c r="V120" s="14">
        <v>0</v>
      </c>
      <c r="W120" s="13">
        <v>0</v>
      </c>
      <c r="X120" s="14">
        <v>0</v>
      </c>
      <c r="Y120" s="13">
        <v>0</v>
      </c>
      <c r="Z120" s="14">
        <v>0</v>
      </c>
      <c r="AA120" s="13">
        <v>0</v>
      </c>
      <c r="AB120" s="14">
        <v>0</v>
      </c>
      <c r="AC120" s="13">
        <v>0</v>
      </c>
      <c r="AD120" s="14">
        <v>0</v>
      </c>
      <c r="AE120" s="13">
        <v>0</v>
      </c>
      <c r="AF120" s="14">
        <v>0</v>
      </c>
      <c r="AG120" s="13">
        <v>0</v>
      </c>
      <c r="AH120" s="14">
        <v>0</v>
      </c>
      <c r="AI120" s="13">
        <v>0</v>
      </c>
      <c r="AJ120" s="14">
        <v>0</v>
      </c>
      <c r="AK120" s="13">
        <v>0</v>
      </c>
      <c r="AL120" s="14">
        <v>0</v>
      </c>
      <c r="AM120" s="13">
        <v>0</v>
      </c>
      <c r="AN120" s="14">
        <v>0</v>
      </c>
      <c r="AO120" s="13">
        <v>0</v>
      </c>
      <c r="AP120" s="14">
        <v>0</v>
      </c>
      <c r="AQ120" s="13">
        <v>675999.5</v>
      </c>
      <c r="AR120" s="14">
        <v>0</v>
      </c>
      <c r="AS120" s="13">
        <v>11856000.199999999</v>
      </c>
      <c r="AT120" s="14">
        <v>676000</v>
      </c>
      <c r="AU120" s="13">
        <v>14365000.1</v>
      </c>
      <c r="AV120" s="14">
        <v>11856000</v>
      </c>
      <c r="AW120" s="13">
        <v>11650999.800000001</v>
      </c>
      <c r="AX120" s="14">
        <v>14365000</v>
      </c>
      <c r="AY120" s="13">
        <v>11385000</v>
      </c>
      <c r="AZ120" s="15">
        <v>11651000</v>
      </c>
      <c r="BA120" s="20">
        <v>12568000</v>
      </c>
      <c r="BB120" s="21">
        <v>11385000</v>
      </c>
      <c r="BC120" s="20">
        <v>8409000</v>
      </c>
      <c r="BD120" s="21">
        <v>12568000</v>
      </c>
    </row>
    <row r="121" spans="1:56" ht="12" customHeight="1">
      <c r="A121" s="7" t="s">
        <v>283</v>
      </c>
      <c r="B121" s="8">
        <v>10033277</v>
      </c>
      <c r="C121" s="24" t="s">
        <v>284</v>
      </c>
      <c r="D121" s="19">
        <v>490577900</v>
      </c>
      <c r="E121" s="10">
        <f t="shared" si="4"/>
        <v>13627163.888888888</v>
      </c>
      <c r="F121" s="8" t="s">
        <v>31</v>
      </c>
      <c r="G121" s="8">
        <v>52</v>
      </c>
      <c r="H121" s="35" t="s">
        <v>285</v>
      </c>
      <c r="I121" s="11" t="s">
        <v>448</v>
      </c>
      <c r="J121" s="9">
        <f t="shared" si="6"/>
        <v>124847999.2</v>
      </c>
      <c r="K121" s="9">
        <f t="shared" si="7"/>
        <v>85984000</v>
      </c>
      <c r="L121" s="12">
        <f t="shared" si="5"/>
        <v>0.68870947512949809</v>
      </c>
      <c r="M121" s="13">
        <v>0</v>
      </c>
      <c r="N121" s="14">
        <v>0</v>
      </c>
      <c r="O121" s="13">
        <v>0</v>
      </c>
      <c r="P121" s="14">
        <v>0</v>
      </c>
      <c r="Q121" s="13">
        <v>0</v>
      </c>
      <c r="R121" s="14">
        <v>0</v>
      </c>
      <c r="S121" s="13">
        <v>0</v>
      </c>
      <c r="T121" s="14">
        <v>0</v>
      </c>
      <c r="U121" s="13">
        <v>0</v>
      </c>
      <c r="V121" s="14">
        <v>0</v>
      </c>
      <c r="W121" s="13">
        <v>0</v>
      </c>
      <c r="X121" s="14">
        <v>0</v>
      </c>
      <c r="Y121" s="13">
        <v>0</v>
      </c>
      <c r="Z121" s="14">
        <v>0</v>
      </c>
      <c r="AA121" s="13">
        <v>0</v>
      </c>
      <c r="AB121" s="14">
        <v>0</v>
      </c>
      <c r="AC121" s="13">
        <v>0</v>
      </c>
      <c r="AD121" s="14">
        <v>0</v>
      </c>
      <c r="AE121" s="13">
        <v>0</v>
      </c>
      <c r="AF121" s="14">
        <v>0</v>
      </c>
      <c r="AG121" s="13">
        <v>0</v>
      </c>
      <c r="AH121" s="14">
        <v>0</v>
      </c>
      <c r="AI121" s="13">
        <v>0</v>
      </c>
      <c r="AJ121" s="14">
        <v>0</v>
      </c>
      <c r="AK121" s="13">
        <v>0</v>
      </c>
      <c r="AL121" s="14">
        <v>0</v>
      </c>
      <c r="AM121" s="13">
        <v>0</v>
      </c>
      <c r="AN121" s="14">
        <v>0</v>
      </c>
      <c r="AO121" s="13">
        <v>0</v>
      </c>
      <c r="AP121" s="14">
        <v>0</v>
      </c>
      <c r="AQ121" s="13">
        <v>13904000</v>
      </c>
      <c r="AR121" s="14">
        <v>0</v>
      </c>
      <c r="AS121" s="13">
        <v>17280000.100000001</v>
      </c>
      <c r="AT121" s="14">
        <v>0</v>
      </c>
      <c r="AU121" s="13">
        <v>17823999.600000001</v>
      </c>
      <c r="AV121" s="14">
        <v>0</v>
      </c>
      <c r="AW121" s="13">
        <v>17087999.5</v>
      </c>
      <c r="AX121" s="14">
        <v>31184000</v>
      </c>
      <c r="AY121" s="13">
        <v>19888000</v>
      </c>
      <c r="AZ121" s="15">
        <v>17824000</v>
      </c>
      <c r="BA121" s="20">
        <v>20592000</v>
      </c>
      <c r="BB121" s="21">
        <v>17088000</v>
      </c>
      <c r="BC121" s="20">
        <v>18272000</v>
      </c>
      <c r="BD121" s="21">
        <v>19888000</v>
      </c>
    </row>
    <row r="122" spans="1:56" ht="12" customHeight="1">
      <c r="A122" s="7" t="s">
        <v>286</v>
      </c>
      <c r="B122" s="8">
        <v>10033614</v>
      </c>
      <c r="C122" s="24" t="s">
        <v>516</v>
      </c>
      <c r="D122" s="19">
        <v>1621240000</v>
      </c>
      <c r="E122" s="10">
        <f t="shared" si="4"/>
        <v>45034444.444444448</v>
      </c>
      <c r="F122" s="8" t="s">
        <v>31</v>
      </c>
      <c r="G122" s="8">
        <v>100</v>
      </c>
      <c r="H122" s="35" t="s">
        <v>287</v>
      </c>
      <c r="I122" s="11" t="s">
        <v>495</v>
      </c>
      <c r="J122" s="9">
        <f t="shared" si="6"/>
        <v>142786798.19999999</v>
      </c>
      <c r="K122" s="9">
        <f t="shared" si="7"/>
        <v>61760400</v>
      </c>
      <c r="L122" s="12">
        <f t="shared" si="5"/>
        <v>0.43253578607101228</v>
      </c>
      <c r="M122" s="13">
        <v>0</v>
      </c>
      <c r="N122" s="14">
        <v>0</v>
      </c>
      <c r="O122" s="13">
        <v>0</v>
      </c>
      <c r="P122" s="14">
        <v>0</v>
      </c>
      <c r="Q122" s="13">
        <v>0</v>
      </c>
      <c r="R122" s="14">
        <v>0</v>
      </c>
      <c r="S122" s="13">
        <v>0</v>
      </c>
      <c r="T122" s="14">
        <v>0</v>
      </c>
      <c r="U122" s="13">
        <v>0</v>
      </c>
      <c r="V122" s="14">
        <v>0</v>
      </c>
      <c r="W122" s="13">
        <v>0</v>
      </c>
      <c r="X122" s="14">
        <v>0</v>
      </c>
      <c r="Y122" s="13">
        <v>0</v>
      </c>
      <c r="Z122" s="14">
        <v>0</v>
      </c>
      <c r="AA122" s="13">
        <v>0</v>
      </c>
      <c r="AB122" s="14">
        <v>0</v>
      </c>
      <c r="AC122" s="13">
        <v>0</v>
      </c>
      <c r="AD122" s="14">
        <v>0</v>
      </c>
      <c r="AE122" s="13">
        <v>0</v>
      </c>
      <c r="AF122" s="14">
        <v>0</v>
      </c>
      <c r="AG122" s="13">
        <v>0</v>
      </c>
      <c r="AH122" s="14">
        <v>0</v>
      </c>
      <c r="AI122" s="13">
        <v>0</v>
      </c>
      <c r="AJ122" s="14">
        <v>0</v>
      </c>
      <c r="AK122" s="13">
        <v>0</v>
      </c>
      <c r="AL122" s="14">
        <v>0</v>
      </c>
      <c r="AM122" s="13">
        <v>0</v>
      </c>
      <c r="AN122" s="14">
        <v>0</v>
      </c>
      <c r="AO122" s="13">
        <v>0</v>
      </c>
      <c r="AP122" s="14">
        <v>0</v>
      </c>
      <c r="AQ122" s="13">
        <v>7706399.7999999998</v>
      </c>
      <c r="AR122" s="14">
        <v>0</v>
      </c>
      <c r="AS122" s="13">
        <v>14975999.5</v>
      </c>
      <c r="AT122" s="14">
        <v>0</v>
      </c>
      <c r="AU122" s="13">
        <v>12089999.9</v>
      </c>
      <c r="AV122" s="14">
        <v>0</v>
      </c>
      <c r="AW122" s="13">
        <v>26987999.5</v>
      </c>
      <c r="AX122" s="14">
        <v>7706400</v>
      </c>
      <c r="AY122" s="13">
        <v>26987999.5</v>
      </c>
      <c r="AZ122" s="15">
        <v>14976000</v>
      </c>
      <c r="BA122" s="20">
        <v>26239200</v>
      </c>
      <c r="BB122" s="21">
        <v>12090000</v>
      </c>
      <c r="BC122" s="20">
        <v>27799200</v>
      </c>
      <c r="BD122" s="21">
        <v>26988000</v>
      </c>
    </row>
    <row r="123" spans="1:56" ht="12" customHeight="1">
      <c r="A123" s="7" t="s">
        <v>288</v>
      </c>
      <c r="B123" s="8">
        <v>10033888</v>
      </c>
      <c r="C123" s="24" t="s">
        <v>289</v>
      </c>
      <c r="D123" s="19">
        <v>949000000</v>
      </c>
      <c r="E123" s="10">
        <f t="shared" si="4"/>
        <v>26361111.111111112</v>
      </c>
      <c r="F123" s="8" t="s">
        <v>31</v>
      </c>
      <c r="G123" s="8">
        <v>137</v>
      </c>
      <c r="H123" s="35" t="s">
        <v>290</v>
      </c>
      <c r="I123" s="11" t="s">
        <v>448</v>
      </c>
      <c r="J123" s="9">
        <f t="shared" si="6"/>
        <v>147469999.30000001</v>
      </c>
      <c r="K123" s="9">
        <f t="shared" si="7"/>
        <v>133373000</v>
      </c>
      <c r="L123" s="12">
        <f t="shared" si="5"/>
        <v>0.9044076804304968</v>
      </c>
      <c r="M123" s="13">
        <v>0</v>
      </c>
      <c r="N123" s="14">
        <v>0</v>
      </c>
      <c r="O123" s="13">
        <v>0</v>
      </c>
      <c r="P123" s="14">
        <v>0</v>
      </c>
      <c r="Q123" s="13">
        <v>0</v>
      </c>
      <c r="R123" s="14">
        <v>0</v>
      </c>
      <c r="S123" s="13">
        <v>0</v>
      </c>
      <c r="T123" s="14">
        <v>0</v>
      </c>
      <c r="U123" s="13">
        <v>0</v>
      </c>
      <c r="V123" s="14">
        <v>0</v>
      </c>
      <c r="W123" s="13">
        <v>0</v>
      </c>
      <c r="X123" s="14">
        <v>0</v>
      </c>
      <c r="Y123" s="13">
        <v>0</v>
      </c>
      <c r="Z123" s="14">
        <v>0</v>
      </c>
      <c r="AA123" s="13">
        <v>0</v>
      </c>
      <c r="AB123" s="14">
        <v>0</v>
      </c>
      <c r="AC123" s="13">
        <v>0</v>
      </c>
      <c r="AD123" s="14">
        <v>0</v>
      </c>
      <c r="AE123" s="13">
        <v>0</v>
      </c>
      <c r="AF123" s="14">
        <v>0</v>
      </c>
      <c r="AG123" s="13">
        <v>0</v>
      </c>
      <c r="AH123" s="14">
        <v>0</v>
      </c>
      <c r="AI123" s="13">
        <v>0</v>
      </c>
      <c r="AJ123" s="14">
        <v>0</v>
      </c>
      <c r="AK123" s="13">
        <v>0</v>
      </c>
      <c r="AL123" s="14">
        <v>0</v>
      </c>
      <c r="AM123" s="13">
        <v>0</v>
      </c>
      <c r="AN123" s="14">
        <v>0</v>
      </c>
      <c r="AO123" s="13">
        <v>0</v>
      </c>
      <c r="AP123" s="14">
        <v>0</v>
      </c>
      <c r="AQ123" s="13">
        <v>10593999.9</v>
      </c>
      <c r="AR123" s="14">
        <v>0</v>
      </c>
      <c r="AS123" s="13">
        <v>25524999.5</v>
      </c>
      <c r="AT123" s="14">
        <v>10594000</v>
      </c>
      <c r="AU123" s="13">
        <v>31449000</v>
      </c>
      <c r="AV123" s="14">
        <v>25525000</v>
      </c>
      <c r="AW123" s="13">
        <v>30081000.399999999</v>
      </c>
      <c r="AX123" s="14">
        <v>31449000</v>
      </c>
      <c r="AY123" s="13">
        <v>18352999.5</v>
      </c>
      <c r="AZ123" s="15">
        <v>30081000</v>
      </c>
      <c r="BA123" s="20">
        <v>17371000</v>
      </c>
      <c r="BB123" s="21">
        <v>18353000</v>
      </c>
      <c r="BC123" s="20">
        <v>14097000</v>
      </c>
      <c r="BD123" s="21">
        <v>17371000</v>
      </c>
    </row>
    <row r="124" spans="1:56" ht="12" customHeight="1">
      <c r="A124" s="7" t="s">
        <v>291</v>
      </c>
      <c r="B124" s="8">
        <v>10033992</v>
      </c>
      <c r="C124" s="24" t="s">
        <v>517</v>
      </c>
      <c r="D124" s="19">
        <v>99882000</v>
      </c>
      <c r="E124" s="10">
        <f t="shared" si="4"/>
        <v>2774500</v>
      </c>
      <c r="F124" s="8" t="s">
        <v>67</v>
      </c>
      <c r="G124" s="8">
        <v>10</v>
      </c>
      <c r="H124" s="35" t="s">
        <v>292</v>
      </c>
      <c r="I124" s="11" t="s">
        <v>448</v>
      </c>
      <c r="J124" s="9">
        <f t="shared" si="6"/>
        <v>99881999.799999997</v>
      </c>
      <c r="K124" s="9">
        <f t="shared" si="7"/>
        <v>99882000</v>
      </c>
      <c r="L124" s="12">
        <f t="shared" si="5"/>
        <v>1.0000000020023627</v>
      </c>
      <c r="M124" s="13">
        <v>0</v>
      </c>
      <c r="N124" s="14">
        <v>0</v>
      </c>
      <c r="O124" s="13">
        <v>0</v>
      </c>
      <c r="P124" s="14">
        <v>0</v>
      </c>
      <c r="Q124" s="13">
        <v>0</v>
      </c>
      <c r="R124" s="14">
        <v>0</v>
      </c>
      <c r="S124" s="13">
        <v>0</v>
      </c>
      <c r="T124" s="14">
        <v>0</v>
      </c>
      <c r="U124" s="13">
        <v>0</v>
      </c>
      <c r="V124" s="14">
        <v>0</v>
      </c>
      <c r="W124" s="13">
        <v>0</v>
      </c>
      <c r="X124" s="14">
        <v>0</v>
      </c>
      <c r="Y124" s="13">
        <v>0</v>
      </c>
      <c r="Z124" s="14">
        <v>0</v>
      </c>
      <c r="AA124" s="13">
        <v>0</v>
      </c>
      <c r="AB124" s="14">
        <v>0</v>
      </c>
      <c r="AC124" s="13">
        <v>0</v>
      </c>
      <c r="AD124" s="14">
        <v>0</v>
      </c>
      <c r="AE124" s="13">
        <v>0</v>
      </c>
      <c r="AF124" s="14">
        <v>0</v>
      </c>
      <c r="AG124" s="13">
        <v>0</v>
      </c>
      <c r="AH124" s="14">
        <v>0</v>
      </c>
      <c r="AI124" s="13">
        <v>0</v>
      </c>
      <c r="AJ124" s="14">
        <v>0</v>
      </c>
      <c r="AK124" s="13">
        <v>0</v>
      </c>
      <c r="AL124" s="14">
        <v>0</v>
      </c>
      <c r="AM124" s="13">
        <v>0</v>
      </c>
      <c r="AN124" s="14">
        <v>0</v>
      </c>
      <c r="AO124" s="13">
        <v>0</v>
      </c>
      <c r="AP124" s="14">
        <v>0</v>
      </c>
      <c r="AQ124" s="13">
        <v>99881999.799999997</v>
      </c>
      <c r="AR124" s="14">
        <v>0</v>
      </c>
      <c r="AS124" s="13">
        <v>0</v>
      </c>
      <c r="AT124" s="14">
        <v>0</v>
      </c>
      <c r="AU124" s="13">
        <v>0</v>
      </c>
      <c r="AV124" s="14">
        <v>0</v>
      </c>
      <c r="AW124" s="13">
        <v>0</v>
      </c>
      <c r="AX124" s="14">
        <v>0</v>
      </c>
      <c r="AY124" s="13">
        <v>0</v>
      </c>
      <c r="AZ124" s="15">
        <v>0</v>
      </c>
      <c r="BA124" s="20">
        <v>0</v>
      </c>
      <c r="BB124" s="21">
        <v>99882000</v>
      </c>
      <c r="BC124" s="20">
        <v>0</v>
      </c>
      <c r="BD124" s="21">
        <v>0</v>
      </c>
    </row>
    <row r="125" spans="1:56" ht="12" customHeight="1">
      <c r="A125" s="7" t="s">
        <v>293</v>
      </c>
      <c r="B125" s="8">
        <v>10035968</v>
      </c>
      <c r="C125" s="24" t="s">
        <v>294</v>
      </c>
      <c r="D125" s="19">
        <v>1643451000</v>
      </c>
      <c r="E125" s="10">
        <f t="shared" si="4"/>
        <v>45651416.666666664</v>
      </c>
      <c r="F125" s="8" t="s">
        <v>31</v>
      </c>
      <c r="G125" s="8">
        <v>274</v>
      </c>
      <c r="H125" s="35" t="s">
        <v>295</v>
      </c>
      <c r="I125" s="11" t="s">
        <v>448</v>
      </c>
      <c r="J125" s="9">
        <f t="shared" si="6"/>
        <v>136098999</v>
      </c>
      <c r="K125" s="9">
        <f t="shared" si="7"/>
        <v>37892000</v>
      </c>
      <c r="L125" s="12">
        <f t="shared" si="5"/>
        <v>0.2784149793783568</v>
      </c>
      <c r="M125" s="13">
        <v>0</v>
      </c>
      <c r="N125" s="14">
        <v>0</v>
      </c>
      <c r="O125" s="13">
        <v>0</v>
      </c>
      <c r="P125" s="14">
        <v>0</v>
      </c>
      <c r="Q125" s="13">
        <v>0</v>
      </c>
      <c r="R125" s="14">
        <v>0</v>
      </c>
      <c r="S125" s="13">
        <v>0</v>
      </c>
      <c r="T125" s="14">
        <v>0</v>
      </c>
      <c r="U125" s="13">
        <v>0</v>
      </c>
      <c r="V125" s="14">
        <v>0</v>
      </c>
      <c r="W125" s="13">
        <v>0</v>
      </c>
      <c r="X125" s="14">
        <v>0</v>
      </c>
      <c r="Y125" s="13">
        <v>0</v>
      </c>
      <c r="Z125" s="14">
        <v>0</v>
      </c>
      <c r="AA125" s="13">
        <v>0</v>
      </c>
      <c r="AB125" s="14">
        <v>0</v>
      </c>
      <c r="AC125" s="13">
        <v>0</v>
      </c>
      <c r="AD125" s="14">
        <v>0</v>
      </c>
      <c r="AE125" s="13">
        <v>0</v>
      </c>
      <c r="AF125" s="14">
        <v>0</v>
      </c>
      <c r="AG125" s="13">
        <v>0</v>
      </c>
      <c r="AH125" s="14">
        <v>0</v>
      </c>
      <c r="AI125" s="13">
        <v>0</v>
      </c>
      <c r="AJ125" s="14">
        <v>0</v>
      </c>
      <c r="AK125" s="13">
        <v>0</v>
      </c>
      <c r="AL125" s="14">
        <v>0</v>
      </c>
      <c r="AM125" s="13">
        <v>0</v>
      </c>
      <c r="AN125" s="14">
        <v>0</v>
      </c>
      <c r="AO125" s="13">
        <v>0</v>
      </c>
      <c r="AP125" s="14">
        <v>0</v>
      </c>
      <c r="AQ125" s="13">
        <v>9471000</v>
      </c>
      <c r="AR125" s="14">
        <v>0</v>
      </c>
      <c r="AS125" s="13">
        <v>4028999.7</v>
      </c>
      <c r="AT125" s="14">
        <v>0</v>
      </c>
      <c r="AU125" s="13">
        <v>10692000</v>
      </c>
      <c r="AV125" s="14">
        <v>13500000</v>
      </c>
      <c r="AW125" s="13">
        <v>13699999.5</v>
      </c>
      <c r="AX125" s="14">
        <v>0</v>
      </c>
      <c r="AY125" s="13">
        <v>26775999.800000001</v>
      </c>
      <c r="AZ125" s="15">
        <v>10692000</v>
      </c>
      <c r="BA125" s="20">
        <v>36764000</v>
      </c>
      <c r="BB125" s="21">
        <v>0</v>
      </c>
      <c r="BC125" s="20">
        <v>34667000</v>
      </c>
      <c r="BD125" s="21">
        <v>13700000</v>
      </c>
    </row>
    <row r="126" spans="1:56" ht="12" customHeight="1">
      <c r="A126" s="7" t="s">
        <v>296</v>
      </c>
      <c r="B126" s="8">
        <v>10037680</v>
      </c>
      <c r="C126" s="24" t="s">
        <v>297</v>
      </c>
      <c r="D126" s="19">
        <v>1553171000</v>
      </c>
      <c r="E126" s="10">
        <f t="shared" si="4"/>
        <v>43143638.888888888</v>
      </c>
      <c r="F126" s="8" t="s">
        <v>31</v>
      </c>
      <c r="G126" s="8">
        <v>255</v>
      </c>
      <c r="H126" s="35" t="s">
        <v>298</v>
      </c>
      <c r="I126" s="11" t="s">
        <v>448</v>
      </c>
      <c r="J126" s="9">
        <f t="shared" si="6"/>
        <v>165643999.89999998</v>
      </c>
      <c r="K126" s="9">
        <f t="shared" si="7"/>
        <v>134760000</v>
      </c>
      <c r="L126" s="12">
        <f t="shared" si="5"/>
        <v>0.81355195528576474</v>
      </c>
      <c r="M126" s="13">
        <v>0</v>
      </c>
      <c r="N126" s="14">
        <v>0</v>
      </c>
      <c r="O126" s="13">
        <v>0</v>
      </c>
      <c r="P126" s="14">
        <v>0</v>
      </c>
      <c r="Q126" s="13">
        <v>0</v>
      </c>
      <c r="R126" s="14">
        <v>0</v>
      </c>
      <c r="S126" s="13">
        <v>0</v>
      </c>
      <c r="T126" s="14">
        <v>0</v>
      </c>
      <c r="U126" s="13">
        <v>0</v>
      </c>
      <c r="V126" s="14">
        <v>0</v>
      </c>
      <c r="W126" s="13">
        <v>0</v>
      </c>
      <c r="X126" s="14">
        <v>0</v>
      </c>
      <c r="Y126" s="13">
        <v>0</v>
      </c>
      <c r="Z126" s="14">
        <v>0</v>
      </c>
      <c r="AA126" s="13">
        <v>0</v>
      </c>
      <c r="AB126" s="14">
        <v>0</v>
      </c>
      <c r="AC126" s="13">
        <v>0</v>
      </c>
      <c r="AD126" s="14">
        <v>0</v>
      </c>
      <c r="AE126" s="13">
        <v>0</v>
      </c>
      <c r="AF126" s="14">
        <v>0</v>
      </c>
      <c r="AG126" s="13">
        <v>0</v>
      </c>
      <c r="AH126" s="14">
        <v>0</v>
      </c>
      <c r="AI126" s="13">
        <v>0</v>
      </c>
      <c r="AJ126" s="14">
        <v>0</v>
      </c>
      <c r="AK126" s="13">
        <v>0</v>
      </c>
      <c r="AL126" s="14">
        <v>0</v>
      </c>
      <c r="AM126" s="13">
        <v>0</v>
      </c>
      <c r="AN126" s="14">
        <v>0</v>
      </c>
      <c r="AO126" s="13">
        <v>0</v>
      </c>
      <c r="AP126" s="14">
        <v>0</v>
      </c>
      <c r="AQ126" s="13">
        <v>12749999.9</v>
      </c>
      <c r="AR126" s="14">
        <v>0</v>
      </c>
      <c r="AS126" s="13">
        <v>36809999.600000001</v>
      </c>
      <c r="AT126" s="14">
        <v>0</v>
      </c>
      <c r="AU126" s="13">
        <v>17909999.800000001</v>
      </c>
      <c r="AV126" s="14">
        <v>36810000</v>
      </c>
      <c r="AW126" s="13">
        <v>10774000.6</v>
      </c>
      <c r="AX126" s="14">
        <v>17910000</v>
      </c>
      <c r="AY126" s="13">
        <v>28732000</v>
      </c>
      <c r="AZ126" s="15">
        <v>23524000</v>
      </c>
      <c r="BA126" s="20">
        <v>27784000</v>
      </c>
      <c r="BB126" s="21">
        <v>28732000</v>
      </c>
      <c r="BC126" s="20">
        <v>30884000</v>
      </c>
      <c r="BD126" s="21">
        <v>27784000</v>
      </c>
    </row>
    <row r="127" spans="1:56" ht="12" customHeight="1">
      <c r="A127" s="7" t="s">
        <v>299</v>
      </c>
      <c r="B127" s="8">
        <v>10038513</v>
      </c>
      <c r="C127" s="24" t="s">
        <v>300</v>
      </c>
      <c r="D127" s="19">
        <v>659977000</v>
      </c>
      <c r="E127" s="10">
        <f t="shared" si="4"/>
        <v>18332694.444444444</v>
      </c>
      <c r="F127" s="8" t="s">
        <v>31</v>
      </c>
      <c r="G127" s="8">
        <v>100</v>
      </c>
      <c r="H127" s="35" t="s">
        <v>301</v>
      </c>
      <c r="I127" s="11" t="s">
        <v>448</v>
      </c>
      <c r="J127" s="9">
        <f t="shared" si="6"/>
        <v>50626000.5</v>
      </c>
      <c r="K127" s="9">
        <f t="shared" si="7"/>
        <v>42602000</v>
      </c>
      <c r="L127" s="12">
        <f t="shared" si="5"/>
        <v>0.84150435703487969</v>
      </c>
      <c r="M127" s="13">
        <v>0</v>
      </c>
      <c r="N127" s="14">
        <v>0</v>
      </c>
      <c r="O127" s="13">
        <v>0</v>
      </c>
      <c r="P127" s="14">
        <v>0</v>
      </c>
      <c r="Q127" s="13">
        <v>0</v>
      </c>
      <c r="R127" s="14">
        <v>0</v>
      </c>
      <c r="S127" s="13">
        <v>0</v>
      </c>
      <c r="T127" s="14">
        <v>0</v>
      </c>
      <c r="U127" s="13">
        <v>0</v>
      </c>
      <c r="V127" s="14">
        <v>0</v>
      </c>
      <c r="W127" s="13">
        <v>0</v>
      </c>
      <c r="X127" s="14">
        <v>0</v>
      </c>
      <c r="Y127" s="13">
        <v>0</v>
      </c>
      <c r="Z127" s="14">
        <v>0</v>
      </c>
      <c r="AA127" s="13">
        <v>0</v>
      </c>
      <c r="AB127" s="14">
        <v>0</v>
      </c>
      <c r="AC127" s="13">
        <v>0</v>
      </c>
      <c r="AD127" s="14">
        <v>0</v>
      </c>
      <c r="AE127" s="13">
        <v>0</v>
      </c>
      <c r="AF127" s="14">
        <v>0</v>
      </c>
      <c r="AG127" s="13">
        <v>0</v>
      </c>
      <c r="AH127" s="14">
        <v>0</v>
      </c>
      <c r="AI127" s="13">
        <v>0</v>
      </c>
      <c r="AJ127" s="14">
        <v>0</v>
      </c>
      <c r="AK127" s="13">
        <v>0</v>
      </c>
      <c r="AL127" s="14">
        <v>0</v>
      </c>
      <c r="AM127" s="13">
        <v>0</v>
      </c>
      <c r="AN127" s="14">
        <v>0</v>
      </c>
      <c r="AO127" s="13">
        <v>0</v>
      </c>
      <c r="AP127" s="14">
        <v>0</v>
      </c>
      <c r="AQ127" s="13">
        <v>1274000.2</v>
      </c>
      <c r="AR127" s="14">
        <v>0</v>
      </c>
      <c r="AS127" s="13">
        <v>5704000.5</v>
      </c>
      <c r="AT127" s="14">
        <v>1274000</v>
      </c>
      <c r="AU127" s="13">
        <v>5170000</v>
      </c>
      <c r="AV127" s="14">
        <v>5704000</v>
      </c>
      <c r="AW127" s="13">
        <v>7833999.7999999998</v>
      </c>
      <c r="AX127" s="14">
        <v>5170000</v>
      </c>
      <c r="AY127" s="13">
        <v>11616000</v>
      </c>
      <c r="AZ127" s="15">
        <v>7834000</v>
      </c>
      <c r="BA127" s="20">
        <v>11004000</v>
      </c>
      <c r="BB127" s="21">
        <v>11616000</v>
      </c>
      <c r="BC127" s="20">
        <v>8024000</v>
      </c>
      <c r="BD127" s="21">
        <v>11004000</v>
      </c>
    </row>
    <row r="128" spans="1:56" ht="12" customHeight="1">
      <c r="A128" s="7" t="s">
        <v>302</v>
      </c>
      <c r="B128" s="8">
        <v>10038671</v>
      </c>
      <c r="C128" s="24" t="s">
        <v>303</v>
      </c>
      <c r="D128" s="19">
        <v>370809400</v>
      </c>
      <c r="E128" s="10">
        <f t="shared" si="4"/>
        <v>10300261.111111112</v>
      </c>
      <c r="F128" s="8" t="s">
        <v>31</v>
      </c>
      <c r="G128" s="8">
        <v>40</v>
      </c>
      <c r="H128" s="35" t="s">
        <v>304</v>
      </c>
      <c r="I128" s="11" t="s">
        <v>448</v>
      </c>
      <c r="J128" s="9">
        <f t="shared" si="6"/>
        <v>90865000.400000006</v>
      </c>
      <c r="K128" s="9">
        <f t="shared" si="7"/>
        <v>60551000</v>
      </c>
      <c r="L128" s="12">
        <f t="shared" si="5"/>
        <v>0.66638419340170929</v>
      </c>
      <c r="M128" s="13">
        <v>0</v>
      </c>
      <c r="N128" s="14">
        <v>0</v>
      </c>
      <c r="O128" s="13">
        <v>0</v>
      </c>
      <c r="P128" s="14">
        <v>0</v>
      </c>
      <c r="Q128" s="13">
        <v>0</v>
      </c>
      <c r="R128" s="14">
        <v>0</v>
      </c>
      <c r="S128" s="13">
        <v>0</v>
      </c>
      <c r="T128" s="14">
        <v>0</v>
      </c>
      <c r="U128" s="13">
        <v>0</v>
      </c>
      <c r="V128" s="14">
        <v>0</v>
      </c>
      <c r="W128" s="13">
        <v>0</v>
      </c>
      <c r="X128" s="14">
        <v>0</v>
      </c>
      <c r="Y128" s="13">
        <v>0</v>
      </c>
      <c r="Z128" s="14">
        <v>0</v>
      </c>
      <c r="AA128" s="13">
        <v>0</v>
      </c>
      <c r="AB128" s="14">
        <v>0</v>
      </c>
      <c r="AC128" s="13">
        <v>0</v>
      </c>
      <c r="AD128" s="14">
        <v>0</v>
      </c>
      <c r="AE128" s="13">
        <v>0</v>
      </c>
      <c r="AF128" s="14">
        <v>0</v>
      </c>
      <c r="AG128" s="13">
        <v>0</v>
      </c>
      <c r="AH128" s="14">
        <v>0</v>
      </c>
      <c r="AI128" s="13">
        <v>0</v>
      </c>
      <c r="AJ128" s="14">
        <v>0</v>
      </c>
      <c r="AK128" s="13">
        <v>0</v>
      </c>
      <c r="AL128" s="14">
        <v>0</v>
      </c>
      <c r="AM128" s="13">
        <v>0</v>
      </c>
      <c r="AN128" s="14">
        <v>0</v>
      </c>
      <c r="AO128" s="13">
        <v>0</v>
      </c>
      <c r="AP128" s="14">
        <v>0</v>
      </c>
      <c r="AQ128" s="13">
        <v>937999.7</v>
      </c>
      <c r="AR128" s="14">
        <v>0</v>
      </c>
      <c r="AS128" s="13">
        <v>12187000.1</v>
      </c>
      <c r="AT128" s="14">
        <v>0</v>
      </c>
      <c r="AU128" s="13">
        <v>15088000.4</v>
      </c>
      <c r="AV128" s="14">
        <v>0</v>
      </c>
      <c r="AW128" s="13">
        <v>16696000.199999999</v>
      </c>
      <c r="AX128" s="14">
        <v>13125000</v>
      </c>
      <c r="AY128" s="13">
        <v>15642000</v>
      </c>
      <c r="AZ128" s="15">
        <v>15088000</v>
      </c>
      <c r="BA128" s="20">
        <v>15248000</v>
      </c>
      <c r="BB128" s="21">
        <v>16696000.000000002</v>
      </c>
      <c r="BC128" s="20">
        <v>15066000</v>
      </c>
      <c r="BD128" s="21">
        <v>15642000</v>
      </c>
    </row>
    <row r="129" spans="1:56" ht="12" customHeight="1">
      <c r="A129" s="7" t="s">
        <v>305</v>
      </c>
      <c r="B129" s="8">
        <v>10038792</v>
      </c>
      <c r="C129" s="24" t="s">
        <v>306</v>
      </c>
      <c r="D129" s="19">
        <v>232140000</v>
      </c>
      <c r="E129" s="10">
        <f t="shared" si="4"/>
        <v>6448333.333333333</v>
      </c>
      <c r="F129" s="8" t="s">
        <v>31</v>
      </c>
      <c r="G129" s="8">
        <v>30</v>
      </c>
      <c r="H129" s="35" t="s">
        <v>63</v>
      </c>
      <c r="I129" s="11" t="s">
        <v>448</v>
      </c>
      <c r="J129" s="9">
        <f t="shared" si="6"/>
        <v>15031999.700000001</v>
      </c>
      <c r="K129" s="9">
        <f t="shared" si="7"/>
        <v>12420000</v>
      </c>
      <c r="L129" s="12">
        <f t="shared" si="5"/>
        <v>0.82623737678760056</v>
      </c>
      <c r="M129" s="13">
        <v>0</v>
      </c>
      <c r="N129" s="14">
        <v>0</v>
      </c>
      <c r="O129" s="13">
        <v>0</v>
      </c>
      <c r="P129" s="14">
        <v>0</v>
      </c>
      <c r="Q129" s="13">
        <v>0</v>
      </c>
      <c r="R129" s="14">
        <v>0</v>
      </c>
      <c r="S129" s="13">
        <v>0</v>
      </c>
      <c r="T129" s="14">
        <v>0</v>
      </c>
      <c r="U129" s="13">
        <v>0</v>
      </c>
      <c r="V129" s="14">
        <v>0</v>
      </c>
      <c r="W129" s="13">
        <v>0</v>
      </c>
      <c r="X129" s="14">
        <v>0</v>
      </c>
      <c r="Y129" s="13">
        <v>0</v>
      </c>
      <c r="Z129" s="14">
        <v>0</v>
      </c>
      <c r="AA129" s="13">
        <v>0</v>
      </c>
      <c r="AB129" s="14">
        <v>0</v>
      </c>
      <c r="AC129" s="13">
        <v>0</v>
      </c>
      <c r="AD129" s="14">
        <v>0</v>
      </c>
      <c r="AE129" s="13">
        <v>0</v>
      </c>
      <c r="AF129" s="14">
        <v>0</v>
      </c>
      <c r="AG129" s="13">
        <v>0</v>
      </c>
      <c r="AH129" s="14">
        <v>0</v>
      </c>
      <c r="AI129" s="13">
        <v>0</v>
      </c>
      <c r="AJ129" s="14">
        <v>0</v>
      </c>
      <c r="AK129" s="13">
        <v>0</v>
      </c>
      <c r="AL129" s="14">
        <v>0</v>
      </c>
      <c r="AM129" s="13">
        <v>0</v>
      </c>
      <c r="AN129" s="14">
        <v>0</v>
      </c>
      <c r="AO129" s="13">
        <v>0</v>
      </c>
      <c r="AP129" s="14">
        <v>0</v>
      </c>
      <c r="AQ129" s="13">
        <v>1063000.3999999999</v>
      </c>
      <c r="AR129" s="14">
        <v>0</v>
      </c>
      <c r="AS129" s="13">
        <v>2640999.9</v>
      </c>
      <c r="AT129" s="14">
        <v>1063000</v>
      </c>
      <c r="AU129" s="13">
        <v>2544999.6</v>
      </c>
      <c r="AV129" s="14">
        <v>2641000</v>
      </c>
      <c r="AW129" s="13">
        <v>1982999.7</v>
      </c>
      <c r="AX129" s="14">
        <v>2545000</v>
      </c>
      <c r="AY129" s="13">
        <v>2056000.1</v>
      </c>
      <c r="AZ129" s="15">
        <v>1983000</v>
      </c>
      <c r="BA129" s="20">
        <v>2132000</v>
      </c>
      <c r="BB129" s="21">
        <v>2056000</v>
      </c>
      <c r="BC129" s="20">
        <v>2612000</v>
      </c>
      <c r="BD129" s="21">
        <v>2132000</v>
      </c>
    </row>
    <row r="130" spans="1:56" ht="12" customHeight="1">
      <c r="A130" s="7" t="s">
        <v>307</v>
      </c>
      <c r="B130" s="8">
        <v>10042063</v>
      </c>
      <c r="C130" s="24" t="s">
        <v>308</v>
      </c>
      <c r="D130" s="19">
        <v>222389000</v>
      </c>
      <c r="E130" s="10">
        <f t="shared" si="4"/>
        <v>6177472.222222222</v>
      </c>
      <c r="F130" s="8" t="s">
        <v>31</v>
      </c>
      <c r="G130" s="8">
        <v>30</v>
      </c>
      <c r="H130" s="35" t="s">
        <v>61</v>
      </c>
      <c r="I130" s="11" t="s">
        <v>448</v>
      </c>
      <c r="J130" s="9">
        <f t="shared" si="6"/>
        <v>10968999.600000001</v>
      </c>
      <c r="K130" s="9">
        <f t="shared" si="7"/>
        <v>0</v>
      </c>
      <c r="L130" s="12">
        <f t="shared" si="5"/>
        <v>0</v>
      </c>
      <c r="M130" s="13">
        <v>0</v>
      </c>
      <c r="N130" s="14">
        <v>0</v>
      </c>
      <c r="O130" s="13">
        <v>0</v>
      </c>
      <c r="P130" s="14">
        <v>0</v>
      </c>
      <c r="Q130" s="13">
        <v>0</v>
      </c>
      <c r="R130" s="14">
        <v>0</v>
      </c>
      <c r="S130" s="13">
        <v>0</v>
      </c>
      <c r="T130" s="14">
        <v>0</v>
      </c>
      <c r="U130" s="13">
        <v>0</v>
      </c>
      <c r="V130" s="14">
        <v>0</v>
      </c>
      <c r="W130" s="13">
        <v>0</v>
      </c>
      <c r="X130" s="14">
        <v>0</v>
      </c>
      <c r="Y130" s="13">
        <v>0</v>
      </c>
      <c r="Z130" s="14">
        <v>0</v>
      </c>
      <c r="AA130" s="13">
        <v>0</v>
      </c>
      <c r="AB130" s="14">
        <v>0</v>
      </c>
      <c r="AC130" s="13">
        <v>0</v>
      </c>
      <c r="AD130" s="14">
        <v>0</v>
      </c>
      <c r="AE130" s="13">
        <v>0</v>
      </c>
      <c r="AF130" s="14">
        <v>0</v>
      </c>
      <c r="AG130" s="13">
        <v>0</v>
      </c>
      <c r="AH130" s="14">
        <v>0</v>
      </c>
      <c r="AI130" s="13">
        <v>0</v>
      </c>
      <c r="AJ130" s="14">
        <v>0</v>
      </c>
      <c r="AK130" s="13">
        <v>0</v>
      </c>
      <c r="AL130" s="14">
        <v>0</v>
      </c>
      <c r="AM130" s="13">
        <v>0</v>
      </c>
      <c r="AN130" s="14">
        <v>0</v>
      </c>
      <c r="AO130" s="13">
        <v>0</v>
      </c>
      <c r="AP130" s="14">
        <v>0</v>
      </c>
      <c r="AQ130" s="13">
        <v>1499999.6</v>
      </c>
      <c r="AR130" s="14">
        <v>0</v>
      </c>
      <c r="AS130" s="13">
        <v>1499999.6</v>
      </c>
      <c r="AT130" s="14">
        <v>0</v>
      </c>
      <c r="AU130" s="13">
        <v>1499999.6</v>
      </c>
      <c r="AV130" s="14">
        <v>0</v>
      </c>
      <c r="AW130" s="13">
        <v>1748000.1</v>
      </c>
      <c r="AX130" s="14">
        <v>0</v>
      </c>
      <c r="AY130" s="13">
        <v>1500000.7</v>
      </c>
      <c r="AZ130" s="15">
        <v>0</v>
      </c>
      <c r="BA130" s="20">
        <v>1500000</v>
      </c>
      <c r="BB130" s="21">
        <v>0</v>
      </c>
      <c r="BC130" s="20">
        <v>1721000</v>
      </c>
      <c r="BD130" s="21">
        <v>0</v>
      </c>
    </row>
    <row r="131" spans="1:56" ht="12" customHeight="1">
      <c r="A131" s="7" t="s">
        <v>309</v>
      </c>
      <c r="B131" s="8">
        <v>10050471</v>
      </c>
      <c r="C131" s="24" t="s">
        <v>310</v>
      </c>
      <c r="D131" s="19">
        <v>221839000</v>
      </c>
      <c r="E131" s="10">
        <f t="shared" si="4"/>
        <v>6162194.444444444</v>
      </c>
      <c r="F131" s="8" t="s">
        <v>31</v>
      </c>
      <c r="G131" s="8">
        <v>30</v>
      </c>
      <c r="H131" s="35" t="s">
        <v>311</v>
      </c>
      <c r="I131" s="11" t="s">
        <v>448</v>
      </c>
      <c r="J131" s="9">
        <f t="shared" si="6"/>
        <v>29412000.200000003</v>
      </c>
      <c r="K131" s="9">
        <f t="shared" si="7"/>
        <v>19974000</v>
      </c>
      <c r="L131" s="12">
        <f t="shared" si="5"/>
        <v>0.67911056249754809</v>
      </c>
      <c r="M131" s="13">
        <v>0</v>
      </c>
      <c r="N131" s="14">
        <v>0</v>
      </c>
      <c r="O131" s="13">
        <v>0</v>
      </c>
      <c r="P131" s="14">
        <v>0</v>
      </c>
      <c r="Q131" s="13">
        <v>0</v>
      </c>
      <c r="R131" s="14">
        <v>0</v>
      </c>
      <c r="S131" s="13">
        <v>0</v>
      </c>
      <c r="T131" s="14">
        <v>0</v>
      </c>
      <c r="U131" s="13">
        <v>0</v>
      </c>
      <c r="V131" s="14">
        <v>0</v>
      </c>
      <c r="W131" s="13">
        <v>0</v>
      </c>
      <c r="X131" s="14">
        <v>0</v>
      </c>
      <c r="Y131" s="13">
        <v>0</v>
      </c>
      <c r="Z131" s="14">
        <v>0</v>
      </c>
      <c r="AA131" s="13">
        <v>0</v>
      </c>
      <c r="AB131" s="14">
        <v>0</v>
      </c>
      <c r="AC131" s="13">
        <v>0</v>
      </c>
      <c r="AD131" s="14">
        <v>0</v>
      </c>
      <c r="AE131" s="13">
        <v>0</v>
      </c>
      <c r="AF131" s="14">
        <v>0</v>
      </c>
      <c r="AG131" s="13">
        <v>0</v>
      </c>
      <c r="AH131" s="14">
        <v>0</v>
      </c>
      <c r="AI131" s="13">
        <v>0</v>
      </c>
      <c r="AJ131" s="14">
        <v>0</v>
      </c>
      <c r="AK131" s="13">
        <v>0</v>
      </c>
      <c r="AL131" s="14">
        <v>0</v>
      </c>
      <c r="AM131" s="13">
        <v>0</v>
      </c>
      <c r="AN131" s="14">
        <v>0</v>
      </c>
      <c r="AO131" s="13">
        <v>0</v>
      </c>
      <c r="AP131" s="14">
        <v>0</v>
      </c>
      <c r="AQ131" s="13">
        <v>1683000</v>
      </c>
      <c r="AR131" s="14">
        <v>0</v>
      </c>
      <c r="AS131" s="13">
        <v>5446999.7999999998</v>
      </c>
      <c r="AT131" s="14">
        <v>0</v>
      </c>
      <c r="AU131" s="13">
        <v>3497000.1</v>
      </c>
      <c r="AV131" s="14">
        <v>7130000</v>
      </c>
      <c r="AW131" s="13">
        <v>4563000.2</v>
      </c>
      <c r="AX131" s="14">
        <v>0</v>
      </c>
      <c r="AY131" s="13">
        <v>4784000.0999999996</v>
      </c>
      <c r="AZ131" s="15">
        <v>3497000</v>
      </c>
      <c r="BA131" s="20">
        <v>5031000</v>
      </c>
      <c r="BB131" s="21">
        <v>4563000</v>
      </c>
      <c r="BC131" s="20">
        <v>4407000</v>
      </c>
      <c r="BD131" s="21">
        <v>4784000</v>
      </c>
    </row>
    <row r="132" spans="1:56" ht="12" customHeight="1">
      <c r="A132" s="7" t="s">
        <v>312</v>
      </c>
      <c r="B132" s="8">
        <v>10067605</v>
      </c>
      <c r="C132" s="24" t="s">
        <v>518</v>
      </c>
      <c r="D132" s="19">
        <v>686854697</v>
      </c>
      <c r="E132" s="10">
        <f t="shared" ref="E132:E193" si="8">D132/36</f>
        <v>19079297.138888888</v>
      </c>
      <c r="F132" s="8" t="s">
        <v>31</v>
      </c>
      <c r="G132" s="8">
        <v>70</v>
      </c>
      <c r="H132" s="35" t="s">
        <v>292</v>
      </c>
      <c r="I132" s="11" t="s">
        <v>448</v>
      </c>
      <c r="J132" s="9">
        <f t="shared" si="6"/>
        <v>65627000.100000001</v>
      </c>
      <c r="K132" s="9">
        <f t="shared" si="7"/>
        <v>55254000</v>
      </c>
      <c r="L132" s="12">
        <f t="shared" ref="L132:L194" si="9">K132/J132</f>
        <v>0.84194005387730653</v>
      </c>
      <c r="M132" s="13">
        <v>0</v>
      </c>
      <c r="N132" s="14">
        <v>0</v>
      </c>
      <c r="O132" s="13">
        <v>0</v>
      </c>
      <c r="P132" s="14">
        <v>0</v>
      </c>
      <c r="Q132" s="13">
        <v>0</v>
      </c>
      <c r="R132" s="14">
        <v>0</v>
      </c>
      <c r="S132" s="13">
        <v>0</v>
      </c>
      <c r="T132" s="14">
        <v>0</v>
      </c>
      <c r="U132" s="13">
        <v>0</v>
      </c>
      <c r="V132" s="14">
        <v>0</v>
      </c>
      <c r="W132" s="13">
        <v>0</v>
      </c>
      <c r="X132" s="14">
        <v>0</v>
      </c>
      <c r="Y132" s="13">
        <v>0</v>
      </c>
      <c r="Z132" s="14">
        <v>0</v>
      </c>
      <c r="AA132" s="13">
        <v>0</v>
      </c>
      <c r="AB132" s="14">
        <v>0</v>
      </c>
      <c r="AC132" s="13">
        <v>0</v>
      </c>
      <c r="AD132" s="14">
        <v>0</v>
      </c>
      <c r="AE132" s="13">
        <v>0</v>
      </c>
      <c r="AF132" s="14">
        <v>0</v>
      </c>
      <c r="AG132" s="13">
        <v>0</v>
      </c>
      <c r="AH132" s="14">
        <v>0</v>
      </c>
      <c r="AI132" s="13">
        <v>0</v>
      </c>
      <c r="AJ132" s="14">
        <v>0</v>
      </c>
      <c r="AK132" s="13">
        <v>0</v>
      </c>
      <c r="AL132" s="14">
        <v>0</v>
      </c>
      <c r="AM132" s="13">
        <v>0</v>
      </c>
      <c r="AN132" s="14">
        <v>0</v>
      </c>
      <c r="AO132" s="13">
        <v>0</v>
      </c>
      <c r="AP132" s="14">
        <v>0</v>
      </c>
      <c r="AQ132" s="13">
        <v>5466000.0999999996</v>
      </c>
      <c r="AR132" s="14">
        <v>0</v>
      </c>
      <c r="AS132" s="13">
        <v>11947999.800000001</v>
      </c>
      <c r="AT132" s="14">
        <v>0</v>
      </c>
      <c r="AU132" s="13">
        <v>9584999.5999999996</v>
      </c>
      <c r="AV132" s="14">
        <v>0</v>
      </c>
      <c r="AW132" s="13">
        <v>9965000.0999999996</v>
      </c>
      <c r="AX132" s="14">
        <v>26999000</v>
      </c>
      <c r="AY132" s="13">
        <v>9004000.5</v>
      </c>
      <c r="AZ132" s="15">
        <v>9965000</v>
      </c>
      <c r="BA132" s="20">
        <v>9286000</v>
      </c>
      <c r="BB132" s="21">
        <v>9004000</v>
      </c>
      <c r="BC132" s="20">
        <v>10373000</v>
      </c>
      <c r="BD132" s="21">
        <v>9286000</v>
      </c>
    </row>
    <row r="133" spans="1:56" ht="12" customHeight="1">
      <c r="A133" s="7" t="s">
        <v>313</v>
      </c>
      <c r="B133" s="8">
        <v>10069441</v>
      </c>
      <c r="C133" s="24" t="s">
        <v>519</v>
      </c>
      <c r="D133" s="19">
        <v>590115064</v>
      </c>
      <c r="E133" s="10">
        <f t="shared" si="8"/>
        <v>16392085.111111112</v>
      </c>
      <c r="F133" s="8" t="s">
        <v>31</v>
      </c>
      <c r="G133" s="8">
        <v>64</v>
      </c>
      <c r="H133" s="35" t="s">
        <v>314</v>
      </c>
      <c r="I133" s="11" t="s">
        <v>448</v>
      </c>
      <c r="J133" s="9">
        <f t="shared" ref="J133:J195" si="10">M133+O133+Q133+S133+U133+W133+Y133+AA133+AC133+AE133+AG133+AI133+AK133+AM133+AO133+AQ133+AS133+AU133+AW133+AY133+BA133+BC133</f>
        <v>72772000.200000003</v>
      </c>
      <c r="K133" s="9">
        <f t="shared" ref="K133:K195" si="11">N133+P133+R133+T133+V133+X133+Z133+AB133+AD133+AF133+AH133+AJ133+AL133+AN133+AP133+AR133+AT133+AV133+AX133+AZ133+BB133+BD133</f>
        <v>61982000</v>
      </c>
      <c r="L133" s="12">
        <f t="shared" si="9"/>
        <v>0.85172868451676831</v>
      </c>
      <c r="M133" s="13">
        <v>0</v>
      </c>
      <c r="N133" s="14">
        <v>0</v>
      </c>
      <c r="O133" s="13">
        <v>0</v>
      </c>
      <c r="P133" s="14">
        <v>0</v>
      </c>
      <c r="Q133" s="13">
        <v>0</v>
      </c>
      <c r="R133" s="14">
        <v>0</v>
      </c>
      <c r="S133" s="13">
        <v>0</v>
      </c>
      <c r="T133" s="14">
        <v>0</v>
      </c>
      <c r="U133" s="13">
        <v>0</v>
      </c>
      <c r="V133" s="14">
        <v>0</v>
      </c>
      <c r="W133" s="13">
        <v>0</v>
      </c>
      <c r="X133" s="14">
        <v>0</v>
      </c>
      <c r="Y133" s="13">
        <v>0</v>
      </c>
      <c r="Z133" s="14">
        <v>0</v>
      </c>
      <c r="AA133" s="13">
        <v>0</v>
      </c>
      <c r="AB133" s="14">
        <v>0</v>
      </c>
      <c r="AC133" s="13">
        <v>0</v>
      </c>
      <c r="AD133" s="14">
        <v>0</v>
      </c>
      <c r="AE133" s="13">
        <v>0</v>
      </c>
      <c r="AF133" s="14">
        <v>0</v>
      </c>
      <c r="AG133" s="13">
        <v>0</v>
      </c>
      <c r="AH133" s="14">
        <v>0</v>
      </c>
      <c r="AI133" s="13">
        <v>0</v>
      </c>
      <c r="AJ133" s="14">
        <v>0</v>
      </c>
      <c r="AK133" s="13">
        <v>0</v>
      </c>
      <c r="AL133" s="14">
        <v>0</v>
      </c>
      <c r="AM133" s="13">
        <v>0</v>
      </c>
      <c r="AN133" s="14">
        <v>0</v>
      </c>
      <c r="AO133" s="13">
        <v>0</v>
      </c>
      <c r="AP133" s="14">
        <v>0</v>
      </c>
      <c r="AQ133" s="13">
        <v>3375000.2</v>
      </c>
      <c r="AR133" s="14">
        <v>0</v>
      </c>
      <c r="AS133" s="13">
        <v>5566000</v>
      </c>
      <c r="AT133" s="14">
        <v>3375000</v>
      </c>
      <c r="AU133" s="13">
        <v>13723000.5</v>
      </c>
      <c r="AV133" s="14">
        <v>5566000</v>
      </c>
      <c r="AW133" s="13">
        <v>13145999.9</v>
      </c>
      <c r="AX133" s="14">
        <v>13723000</v>
      </c>
      <c r="AY133" s="13">
        <v>12345999.6</v>
      </c>
      <c r="AZ133" s="15">
        <v>13146000</v>
      </c>
      <c r="BA133" s="20">
        <v>13826000</v>
      </c>
      <c r="BB133" s="21">
        <v>12346000</v>
      </c>
      <c r="BC133" s="20">
        <v>10790000</v>
      </c>
      <c r="BD133" s="21">
        <v>13826000</v>
      </c>
    </row>
    <row r="134" spans="1:56" ht="12" customHeight="1">
      <c r="A134" s="7" t="s">
        <v>315</v>
      </c>
      <c r="B134" s="8">
        <v>10082404</v>
      </c>
      <c r="C134" s="24" t="s">
        <v>316</v>
      </c>
      <c r="D134" s="19">
        <v>710767875</v>
      </c>
      <c r="E134" s="10">
        <f t="shared" si="8"/>
        <v>19743552.083333332</v>
      </c>
      <c r="F134" s="8" t="s">
        <v>31</v>
      </c>
      <c r="G134" s="8">
        <v>70</v>
      </c>
      <c r="H134" s="35" t="s">
        <v>317</v>
      </c>
      <c r="I134" s="11" t="s">
        <v>448</v>
      </c>
      <c r="J134" s="9">
        <f t="shared" si="10"/>
        <v>44311999.899999999</v>
      </c>
      <c r="K134" s="9">
        <f t="shared" si="11"/>
        <v>39607000</v>
      </c>
      <c r="L134" s="12">
        <f t="shared" si="9"/>
        <v>0.89382108885588807</v>
      </c>
      <c r="M134" s="13">
        <v>0</v>
      </c>
      <c r="N134" s="14">
        <v>0</v>
      </c>
      <c r="O134" s="13">
        <v>0</v>
      </c>
      <c r="P134" s="14">
        <v>0</v>
      </c>
      <c r="Q134" s="13">
        <v>0</v>
      </c>
      <c r="R134" s="14">
        <v>0</v>
      </c>
      <c r="S134" s="13">
        <v>0</v>
      </c>
      <c r="T134" s="14">
        <v>0</v>
      </c>
      <c r="U134" s="13">
        <v>0</v>
      </c>
      <c r="V134" s="14">
        <v>0</v>
      </c>
      <c r="W134" s="13">
        <v>0</v>
      </c>
      <c r="X134" s="14">
        <v>0</v>
      </c>
      <c r="Y134" s="13">
        <v>0</v>
      </c>
      <c r="Z134" s="14">
        <v>0</v>
      </c>
      <c r="AA134" s="13">
        <v>0</v>
      </c>
      <c r="AB134" s="14">
        <v>0</v>
      </c>
      <c r="AC134" s="13">
        <v>0</v>
      </c>
      <c r="AD134" s="14">
        <v>0</v>
      </c>
      <c r="AE134" s="13">
        <v>0</v>
      </c>
      <c r="AF134" s="14">
        <v>0</v>
      </c>
      <c r="AG134" s="13">
        <v>0</v>
      </c>
      <c r="AH134" s="14">
        <v>0</v>
      </c>
      <c r="AI134" s="13">
        <v>0</v>
      </c>
      <c r="AJ134" s="14">
        <v>0</v>
      </c>
      <c r="AK134" s="13">
        <v>0</v>
      </c>
      <c r="AL134" s="14">
        <v>0</v>
      </c>
      <c r="AM134" s="13">
        <v>0</v>
      </c>
      <c r="AN134" s="14">
        <v>0</v>
      </c>
      <c r="AO134" s="13">
        <v>0</v>
      </c>
      <c r="AP134" s="14">
        <v>0</v>
      </c>
      <c r="AQ134" s="13">
        <v>160000.5</v>
      </c>
      <c r="AR134" s="14">
        <v>0</v>
      </c>
      <c r="AS134" s="13">
        <v>14159999.699999999</v>
      </c>
      <c r="AT134" s="14">
        <v>160000</v>
      </c>
      <c r="AU134" s="13">
        <v>8991999.5</v>
      </c>
      <c r="AV134" s="14">
        <v>14160000</v>
      </c>
      <c r="AW134" s="13">
        <v>5314999.8</v>
      </c>
      <c r="AX134" s="14">
        <v>8992000</v>
      </c>
      <c r="AY134" s="13">
        <v>5364000.4000000004</v>
      </c>
      <c r="AZ134" s="15">
        <v>5315000</v>
      </c>
      <c r="BA134" s="20">
        <v>5616000</v>
      </c>
      <c r="BB134" s="21">
        <v>5364000</v>
      </c>
      <c r="BC134" s="20">
        <v>4705000</v>
      </c>
      <c r="BD134" s="21">
        <v>5616000</v>
      </c>
    </row>
    <row r="135" spans="1:56" ht="12" customHeight="1">
      <c r="A135" s="7" t="s">
        <v>318</v>
      </c>
      <c r="B135" s="8">
        <v>10091292</v>
      </c>
      <c r="C135" s="24" t="s">
        <v>319</v>
      </c>
      <c r="D135" s="19">
        <v>329708600</v>
      </c>
      <c r="E135" s="10">
        <f t="shared" si="8"/>
        <v>9158572.222222222</v>
      </c>
      <c r="F135" s="8" t="s">
        <v>31</v>
      </c>
      <c r="G135" s="8">
        <v>29</v>
      </c>
      <c r="H135" s="35" t="s">
        <v>320</v>
      </c>
      <c r="I135" s="11" t="s">
        <v>448</v>
      </c>
      <c r="J135" s="9">
        <f t="shared" si="10"/>
        <v>18095000.100000001</v>
      </c>
      <c r="K135" s="9">
        <f t="shared" si="11"/>
        <v>12352000</v>
      </c>
      <c r="L135" s="12">
        <f t="shared" si="9"/>
        <v>0.68261950437900243</v>
      </c>
      <c r="M135" s="13">
        <v>0</v>
      </c>
      <c r="N135" s="14">
        <v>0</v>
      </c>
      <c r="O135" s="13">
        <v>0</v>
      </c>
      <c r="P135" s="14">
        <v>0</v>
      </c>
      <c r="Q135" s="13">
        <v>0</v>
      </c>
      <c r="R135" s="14">
        <v>0</v>
      </c>
      <c r="S135" s="13">
        <v>0</v>
      </c>
      <c r="T135" s="14">
        <v>0</v>
      </c>
      <c r="U135" s="13">
        <v>0</v>
      </c>
      <c r="V135" s="14">
        <v>0</v>
      </c>
      <c r="W135" s="13">
        <v>0</v>
      </c>
      <c r="X135" s="14">
        <v>0</v>
      </c>
      <c r="Y135" s="13">
        <v>0</v>
      </c>
      <c r="Z135" s="14">
        <v>0</v>
      </c>
      <c r="AA135" s="13">
        <v>0</v>
      </c>
      <c r="AB135" s="14">
        <v>0</v>
      </c>
      <c r="AC135" s="13">
        <v>0</v>
      </c>
      <c r="AD135" s="14">
        <v>0</v>
      </c>
      <c r="AE135" s="13">
        <v>0</v>
      </c>
      <c r="AF135" s="14">
        <v>0</v>
      </c>
      <c r="AG135" s="13">
        <v>0</v>
      </c>
      <c r="AH135" s="14">
        <v>0</v>
      </c>
      <c r="AI135" s="13">
        <v>0</v>
      </c>
      <c r="AJ135" s="14">
        <v>0</v>
      </c>
      <c r="AK135" s="13">
        <v>0</v>
      </c>
      <c r="AL135" s="14">
        <v>0</v>
      </c>
      <c r="AM135" s="13">
        <v>0</v>
      </c>
      <c r="AN135" s="14">
        <v>0</v>
      </c>
      <c r="AO135" s="13">
        <v>0</v>
      </c>
      <c r="AP135" s="14">
        <v>0</v>
      </c>
      <c r="AQ135" s="13">
        <v>2096000.5</v>
      </c>
      <c r="AR135" s="14">
        <v>0</v>
      </c>
      <c r="AS135" s="13">
        <v>2880000.2</v>
      </c>
      <c r="AT135" s="14">
        <v>0</v>
      </c>
      <c r="AU135" s="13">
        <v>2592000.4</v>
      </c>
      <c r="AV135" s="14">
        <v>0</v>
      </c>
      <c r="AW135" s="13">
        <v>1951999.5</v>
      </c>
      <c r="AX135" s="14">
        <v>0</v>
      </c>
      <c r="AY135" s="13">
        <v>2831999.5</v>
      </c>
      <c r="AZ135" s="15">
        <v>7568000</v>
      </c>
      <c r="BA135" s="20">
        <v>3042000</v>
      </c>
      <c r="BB135" s="21">
        <v>1952000</v>
      </c>
      <c r="BC135" s="20">
        <v>2701000</v>
      </c>
      <c r="BD135" s="21">
        <v>2832000</v>
      </c>
    </row>
    <row r="136" spans="1:56" ht="12" customHeight="1">
      <c r="A136" s="7" t="s">
        <v>321</v>
      </c>
      <c r="B136" s="8">
        <v>10096603</v>
      </c>
      <c r="C136" s="24" t="s">
        <v>322</v>
      </c>
      <c r="D136" s="19">
        <v>2254682430</v>
      </c>
      <c r="E136" s="10">
        <f t="shared" si="8"/>
        <v>62630067.5</v>
      </c>
      <c r="F136" s="8" t="s">
        <v>31</v>
      </c>
      <c r="G136" s="8">
        <v>210</v>
      </c>
      <c r="H136" s="35" t="s">
        <v>323</v>
      </c>
      <c r="I136" s="11" t="s">
        <v>448</v>
      </c>
      <c r="J136" s="9">
        <f t="shared" si="10"/>
        <v>129536000.40000001</v>
      </c>
      <c r="K136" s="9">
        <f t="shared" si="11"/>
        <v>97536000</v>
      </c>
      <c r="L136" s="12">
        <f t="shared" si="9"/>
        <v>0.75296442455235779</v>
      </c>
      <c r="M136" s="13">
        <v>0</v>
      </c>
      <c r="N136" s="14">
        <v>0</v>
      </c>
      <c r="O136" s="13">
        <v>0</v>
      </c>
      <c r="P136" s="14">
        <v>0</v>
      </c>
      <c r="Q136" s="13">
        <v>0</v>
      </c>
      <c r="R136" s="14">
        <v>0</v>
      </c>
      <c r="S136" s="13">
        <v>0</v>
      </c>
      <c r="T136" s="14">
        <v>0</v>
      </c>
      <c r="U136" s="13">
        <v>0</v>
      </c>
      <c r="V136" s="14">
        <v>0</v>
      </c>
      <c r="W136" s="13">
        <v>0</v>
      </c>
      <c r="X136" s="14">
        <v>0</v>
      </c>
      <c r="Y136" s="13">
        <v>0</v>
      </c>
      <c r="Z136" s="14">
        <v>0</v>
      </c>
      <c r="AA136" s="13">
        <v>0</v>
      </c>
      <c r="AB136" s="14">
        <v>0</v>
      </c>
      <c r="AC136" s="13">
        <v>0</v>
      </c>
      <c r="AD136" s="14">
        <v>0</v>
      </c>
      <c r="AE136" s="13">
        <v>0</v>
      </c>
      <c r="AF136" s="14">
        <v>0</v>
      </c>
      <c r="AG136" s="13">
        <v>0</v>
      </c>
      <c r="AH136" s="14">
        <v>0</v>
      </c>
      <c r="AI136" s="13">
        <v>0</v>
      </c>
      <c r="AJ136" s="14">
        <v>0</v>
      </c>
      <c r="AK136" s="13">
        <v>0</v>
      </c>
      <c r="AL136" s="14">
        <v>0</v>
      </c>
      <c r="AM136" s="13">
        <v>0</v>
      </c>
      <c r="AN136" s="14">
        <v>0</v>
      </c>
      <c r="AO136" s="13">
        <v>0</v>
      </c>
      <c r="AP136" s="14">
        <v>0</v>
      </c>
      <c r="AQ136" s="13">
        <v>3449000.5</v>
      </c>
      <c r="AR136" s="14">
        <v>0</v>
      </c>
      <c r="AS136" s="13">
        <v>7457000.0999999996</v>
      </c>
      <c r="AT136" s="14">
        <v>3449000</v>
      </c>
      <c r="AU136" s="13">
        <v>11344999.6</v>
      </c>
      <c r="AV136" s="14">
        <v>7457000</v>
      </c>
      <c r="AW136" s="13">
        <v>21436000.300000001</v>
      </c>
      <c r="AX136" s="14">
        <v>11345000</v>
      </c>
      <c r="AY136" s="13">
        <v>26499999.899999999</v>
      </c>
      <c r="AZ136" s="15">
        <v>21436000</v>
      </c>
      <c r="BA136" s="20">
        <v>27349000</v>
      </c>
      <c r="BB136" s="21">
        <v>26500000</v>
      </c>
      <c r="BC136" s="20">
        <v>32000000</v>
      </c>
      <c r="BD136" s="21">
        <v>27349000</v>
      </c>
    </row>
    <row r="137" spans="1:56" ht="12" customHeight="1">
      <c r="A137" s="7" t="s">
        <v>324</v>
      </c>
      <c r="B137" s="8">
        <v>10099847</v>
      </c>
      <c r="C137" s="24" t="s">
        <v>325</v>
      </c>
      <c r="D137" s="19">
        <v>688654802</v>
      </c>
      <c r="E137" s="10">
        <f t="shared" si="8"/>
        <v>19129300.055555556</v>
      </c>
      <c r="F137" s="8" t="s">
        <v>31</v>
      </c>
      <c r="G137" s="8">
        <v>60</v>
      </c>
      <c r="H137" s="35" t="s">
        <v>326</v>
      </c>
      <c r="I137" s="11" t="s">
        <v>448</v>
      </c>
      <c r="J137" s="9">
        <f t="shared" si="10"/>
        <v>168602000</v>
      </c>
      <c r="K137" s="9">
        <f t="shared" si="11"/>
        <v>47701000</v>
      </c>
      <c r="L137" s="12">
        <f t="shared" si="9"/>
        <v>0.28292072454656531</v>
      </c>
      <c r="M137" s="13">
        <v>0</v>
      </c>
      <c r="N137" s="14">
        <v>0</v>
      </c>
      <c r="O137" s="13">
        <v>0</v>
      </c>
      <c r="P137" s="14">
        <v>0</v>
      </c>
      <c r="Q137" s="13">
        <v>0</v>
      </c>
      <c r="R137" s="14">
        <v>0</v>
      </c>
      <c r="S137" s="13">
        <v>0</v>
      </c>
      <c r="T137" s="14">
        <v>0</v>
      </c>
      <c r="U137" s="13">
        <v>0</v>
      </c>
      <c r="V137" s="14">
        <v>0</v>
      </c>
      <c r="W137" s="13">
        <v>0</v>
      </c>
      <c r="X137" s="14">
        <v>0</v>
      </c>
      <c r="Y137" s="13">
        <v>0</v>
      </c>
      <c r="Z137" s="14">
        <v>0</v>
      </c>
      <c r="AA137" s="13">
        <v>0</v>
      </c>
      <c r="AB137" s="14">
        <v>0</v>
      </c>
      <c r="AC137" s="13">
        <v>0</v>
      </c>
      <c r="AD137" s="14">
        <v>0</v>
      </c>
      <c r="AE137" s="13">
        <v>0</v>
      </c>
      <c r="AF137" s="14">
        <v>0</v>
      </c>
      <c r="AG137" s="13">
        <v>0</v>
      </c>
      <c r="AH137" s="14">
        <v>0</v>
      </c>
      <c r="AI137" s="13">
        <v>0</v>
      </c>
      <c r="AJ137" s="14">
        <v>0</v>
      </c>
      <c r="AK137" s="13">
        <v>0</v>
      </c>
      <c r="AL137" s="14">
        <v>0</v>
      </c>
      <c r="AM137" s="13">
        <v>0</v>
      </c>
      <c r="AN137" s="14">
        <v>0</v>
      </c>
      <c r="AO137" s="13">
        <v>0</v>
      </c>
      <c r="AP137" s="14">
        <v>0</v>
      </c>
      <c r="AQ137" s="13">
        <v>12128000.5</v>
      </c>
      <c r="AR137" s="14">
        <v>0</v>
      </c>
      <c r="AS137" s="13">
        <v>19654000.300000001</v>
      </c>
      <c r="AT137" s="14">
        <v>0</v>
      </c>
      <c r="AU137" s="13">
        <v>15918999.800000001</v>
      </c>
      <c r="AV137" s="14">
        <v>0</v>
      </c>
      <c r="AW137" s="13">
        <v>19602999.899999999</v>
      </c>
      <c r="AX137" s="14">
        <v>0</v>
      </c>
      <c r="AY137" s="13">
        <v>27471999.5</v>
      </c>
      <c r="AZ137" s="15">
        <v>12128000</v>
      </c>
      <c r="BA137" s="20">
        <v>34059000</v>
      </c>
      <c r="BB137" s="21">
        <v>19654000</v>
      </c>
      <c r="BC137" s="20">
        <v>39767000</v>
      </c>
      <c r="BD137" s="21">
        <v>15919000</v>
      </c>
    </row>
    <row r="138" spans="1:56" ht="12" customHeight="1">
      <c r="A138" s="7" t="s">
        <v>327</v>
      </c>
      <c r="B138" s="8">
        <v>10105796</v>
      </c>
      <c r="C138" s="24" t="s">
        <v>328</v>
      </c>
      <c r="D138" s="19">
        <v>285000000</v>
      </c>
      <c r="E138" s="10">
        <f t="shared" si="8"/>
        <v>7916666.666666667</v>
      </c>
      <c r="F138" s="8" t="s">
        <v>67</v>
      </c>
      <c r="G138" s="8">
        <v>40</v>
      </c>
      <c r="H138" s="35" t="s">
        <v>329</v>
      </c>
      <c r="I138" s="11" t="s">
        <v>448</v>
      </c>
      <c r="J138" s="9">
        <f t="shared" si="10"/>
        <v>284999999.89999998</v>
      </c>
      <c r="K138" s="9">
        <f t="shared" si="11"/>
        <v>285000000</v>
      </c>
      <c r="L138" s="12">
        <f t="shared" si="9"/>
        <v>1.0000000003508773</v>
      </c>
      <c r="M138" s="13">
        <v>0</v>
      </c>
      <c r="N138" s="14">
        <v>0</v>
      </c>
      <c r="O138" s="13">
        <v>0</v>
      </c>
      <c r="P138" s="14">
        <v>0</v>
      </c>
      <c r="Q138" s="13">
        <v>0</v>
      </c>
      <c r="R138" s="14">
        <v>0</v>
      </c>
      <c r="S138" s="13">
        <v>0</v>
      </c>
      <c r="T138" s="14">
        <v>0</v>
      </c>
      <c r="U138" s="13">
        <v>0</v>
      </c>
      <c r="V138" s="14">
        <v>0</v>
      </c>
      <c r="W138" s="13">
        <v>0</v>
      </c>
      <c r="X138" s="14">
        <v>0</v>
      </c>
      <c r="Y138" s="13">
        <v>0</v>
      </c>
      <c r="Z138" s="14">
        <v>0</v>
      </c>
      <c r="AA138" s="13">
        <v>0</v>
      </c>
      <c r="AB138" s="14">
        <v>0</v>
      </c>
      <c r="AC138" s="13">
        <v>0</v>
      </c>
      <c r="AD138" s="14">
        <v>0</v>
      </c>
      <c r="AE138" s="13">
        <v>0</v>
      </c>
      <c r="AF138" s="14">
        <v>0</v>
      </c>
      <c r="AG138" s="13">
        <v>0</v>
      </c>
      <c r="AH138" s="14">
        <v>0</v>
      </c>
      <c r="AI138" s="13">
        <v>0</v>
      </c>
      <c r="AJ138" s="14">
        <v>0</v>
      </c>
      <c r="AK138" s="13">
        <v>0</v>
      </c>
      <c r="AL138" s="14">
        <v>0</v>
      </c>
      <c r="AM138" s="13">
        <v>0</v>
      </c>
      <c r="AN138" s="14">
        <v>0</v>
      </c>
      <c r="AO138" s="13">
        <v>0</v>
      </c>
      <c r="AP138" s="14">
        <v>0</v>
      </c>
      <c r="AQ138" s="13">
        <v>284999999.89999998</v>
      </c>
      <c r="AR138" s="14">
        <v>0</v>
      </c>
      <c r="AS138" s="13">
        <v>0</v>
      </c>
      <c r="AT138" s="14">
        <v>0</v>
      </c>
      <c r="AU138" s="13">
        <v>0</v>
      </c>
      <c r="AV138" s="14">
        <v>285000000</v>
      </c>
      <c r="AW138" s="13">
        <v>0</v>
      </c>
      <c r="AX138" s="14">
        <v>0</v>
      </c>
      <c r="AY138" s="13">
        <v>0</v>
      </c>
      <c r="AZ138" s="15">
        <v>0</v>
      </c>
      <c r="BA138" s="20">
        <v>0</v>
      </c>
      <c r="BB138" s="21">
        <v>0</v>
      </c>
      <c r="BC138" s="20">
        <v>0</v>
      </c>
      <c r="BD138" s="21">
        <v>0</v>
      </c>
    </row>
    <row r="139" spans="1:56" ht="12" customHeight="1">
      <c r="A139" s="7" t="s">
        <v>330</v>
      </c>
      <c r="B139" s="8">
        <v>10032062</v>
      </c>
      <c r="C139" s="24" t="s">
        <v>331</v>
      </c>
      <c r="D139" s="19">
        <v>232337000</v>
      </c>
      <c r="E139" s="10">
        <f t="shared" si="8"/>
        <v>6453805.555555556</v>
      </c>
      <c r="F139" s="8" t="s">
        <v>31</v>
      </c>
      <c r="G139" s="8">
        <v>30</v>
      </c>
      <c r="H139" s="35" t="s">
        <v>244</v>
      </c>
      <c r="I139" s="11" t="s">
        <v>448</v>
      </c>
      <c r="J139" s="9">
        <f t="shared" si="10"/>
        <v>29546999.300000001</v>
      </c>
      <c r="K139" s="9">
        <f t="shared" si="11"/>
        <v>24951000</v>
      </c>
      <c r="L139" s="12">
        <f t="shared" si="9"/>
        <v>0.84445123332710137</v>
      </c>
      <c r="M139" s="13">
        <v>0</v>
      </c>
      <c r="N139" s="14">
        <v>0</v>
      </c>
      <c r="O139" s="13">
        <v>0</v>
      </c>
      <c r="P139" s="14">
        <v>0</v>
      </c>
      <c r="Q139" s="13">
        <v>0</v>
      </c>
      <c r="R139" s="14">
        <v>0</v>
      </c>
      <c r="S139" s="13">
        <v>0</v>
      </c>
      <c r="T139" s="14">
        <v>0</v>
      </c>
      <c r="U139" s="13">
        <v>0</v>
      </c>
      <c r="V139" s="14">
        <v>0</v>
      </c>
      <c r="W139" s="13">
        <v>0</v>
      </c>
      <c r="X139" s="14">
        <v>0</v>
      </c>
      <c r="Y139" s="13">
        <v>0</v>
      </c>
      <c r="Z139" s="14">
        <v>0</v>
      </c>
      <c r="AA139" s="13">
        <v>0</v>
      </c>
      <c r="AB139" s="14">
        <v>0</v>
      </c>
      <c r="AC139" s="13">
        <v>0</v>
      </c>
      <c r="AD139" s="14">
        <v>0</v>
      </c>
      <c r="AE139" s="13">
        <v>0</v>
      </c>
      <c r="AF139" s="14">
        <v>0</v>
      </c>
      <c r="AG139" s="13">
        <v>0</v>
      </c>
      <c r="AH139" s="14">
        <v>0</v>
      </c>
      <c r="AI139" s="13">
        <v>0</v>
      </c>
      <c r="AJ139" s="14">
        <v>0</v>
      </c>
      <c r="AK139" s="13">
        <v>0</v>
      </c>
      <c r="AL139" s="14">
        <v>0</v>
      </c>
      <c r="AM139" s="13">
        <v>0</v>
      </c>
      <c r="AN139" s="14">
        <v>0</v>
      </c>
      <c r="AO139" s="13">
        <v>0</v>
      </c>
      <c r="AP139" s="14">
        <v>0</v>
      </c>
      <c r="AQ139" s="13">
        <v>0</v>
      </c>
      <c r="AR139" s="14">
        <v>0</v>
      </c>
      <c r="AS139" s="13">
        <v>5181999.9000000004</v>
      </c>
      <c r="AT139" s="14">
        <v>0</v>
      </c>
      <c r="AU139" s="13">
        <v>5159999.9000000004</v>
      </c>
      <c r="AV139" s="14">
        <v>5182000</v>
      </c>
      <c r="AW139" s="13">
        <v>5160999.8</v>
      </c>
      <c r="AX139" s="14">
        <v>5160000</v>
      </c>
      <c r="AY139" s="13">
        <v>5095999.7</v>
      </c>
      <c r="AZ139" s="15">
        <v>5161000</v>
      </c>
      <c r="BA139" s="20">
        <v>4352000</v>
      </c>
      <c r="BB139" s="21">
        <v>5096000</v>
      </c>
      <c r="BC139" s="20">
        <v>4596000</v>
      </c>
      <c r="BD139" s="21">
        <v>4352000</v>
      </c>
    </row>
    <row r="140" spans="1:56" ht="12" customHeight="1">
      <c r="A140" s="7" t="s">
        <v>332</v>
      </c>
      <c r="B140" s="8">
        <v>10032311</v>
      </c>
      <c r="C140" s="24" t="s">
        <v>333</v>
      </c>
      <c r="D140" s="19">
        <v>435158557</v>
      </c>
      <c r="E140" s="10">
        <f t="shared" si="8"/>
        <v>12087737.694444444</v>
      </c>
      <c r="F140" s="8" t="s">
        <v>31</v>
      </c>
      <c r="G140" s="8">
        <v>30</v>
      </c>
      <c r="H140" s="35" t="s">
        <v>276</v>
      </c>
      <c r="I140" s="11" t="s">
        <v>448</v>
      </c>
      <c r="J140" s="9">
        <f t="shared" si="10"/>
        <v>47248000.899999999</v>
      </c>
      <c r="K140" s="9">
        <f t="shared" si="11"/>
        <v>16880000</v>
      </c>
      <c r="L140" s="12">
        <f t="shared" si="9"/>
        <v>0.35726379272059317</v>
      </c>
      <c r="M140" s="13">
        <v>0</v>
      </c>
      <c r="N140" s="14">
        <v>0</v>
      </c>
      <c r="O140" s="13">
        <v>0</v>
      </c>
      <c r="P140" s="14">
        <v>0</v>
      </c>
      <c r="Q140" s="13">
        <v>0</v>
      </c>
      <c r="R140" s="14">
        <v>0</v>
      </c>
      <c r="S140" s="13">
        <v>0</v>
      </c>
      <c r="T140" s="14">
        <v>0</v>
      </c>
      <c r="U140" s="13">
        <v>0</v>
      </c>
      <c r="V140" s="14">
        <v>0</v>
      </c>
      <c r="W140" s="13">
        <v>0</v>
      </c>
      <c r="X140" s="14">
        <v>0</v>
      </c>
      <c r="Y140" s="13">
        <v>0</v>
      </c>
      <c r="Z140" s="14">
        <v>0</v>
      </c>
      <c r="AA140" s="13">
        <v>0</v>
      </c>
      <c r="AB140" s="14">
        <v>0</v>
      </c>
      <c r="AC140" s="13">
        <v>0</v>
      </c>
      <c r="AD140" s="14">
        <v>0</v>
      </c>
      <c r="AE140" s="13">
        <v>0</v>
      </c>
      <c r="AF140" s="14">
        <v>0</v>
      </c>
      <c r="AG140" s="13">
        <v>0</v>
      </c>
      <c r="AH140" s="14">
        <v>0</v>
      </c>
      <c r="AI140" s="13">
        <v>0</v>
      </c>
      <c r="AJ140" s="14">
        <v>0</v>
      </c>
      <c r="AK140" s="13">
        <v>0</v>
      </c>
      <c r="AL140" s="14">
        <v>0</v>
      </c>
      <c r="AM140" s="13">
        <v>0</v>
      </c>
      <c r="AN140" s="14">
        <v>0</v>
      </c>
      <c r="AO140" s="13">
        <v>0</v>
      </c>
      <c r="AP140" s="14">
        <v>0</v>
      </c>
      <c r="AQ140" s="13">
        <v>0</v>
      </c>
      <c r="AR140" s="14">
        <v>0</v>
      </c>
      <c r="AS140" s="13">
        <v>2528000.2000000002</v>
      </c>
      <c r="AT140" s="14">
        <v>0</v>
      </c>
      <c r="AU140" s="13">
        <v>4191999.9</v>
      </c>
      <c r="AV140" s="14">
        <v>0</v>
      </c>
      <c r="AW140" s="13">
        <v>10160000.4</v>
      </c>
      <c r="AX140" s="14">
        <v>0</v>
      </c>
      <c r="AY140" s="13">
        <v>10688000.4</v>
      </c>
      <c r="AZ140" s="15">
        <v>2528000</v>
      </c>
      <c r="BA140" s="20">
        <v>10528000</v>
      </c>
      <c r="BB140" s="21">
        <v>4192000</v>
      </c>
      <c r="BC140" s="20">
        <v>9152000</v>
      </c>
      <c r="BD140" s="21">
        <v>10160000</v>
      </c>
    </row>
    <row r="141" spans="1:56" ht="12" customHeight="1">
      <c r="A141" s="7" t="s">
        <v>334</v>
      </c>
      <c r="B141" s="8">
        <v>10033270</v>
      </c>
      <c r="C141" s="24" t="s">
        <v>520</v>
      </c>
      <c r="D141" s="19">
        <v>2445025466</v>
      </c>
      <c r="E141" s="10">
        <f t="shared" si="8"/>
        <v>67917374.055555552</v>
      </c>
      <c r="F141" s="8" t="s">
        <v>31</v>
      </c>
      <c r="G141" s="8">
        <v>555</v>
      </c>
      <c r="H141" s="35" t="s">
        <v>317</v>
      </c>
      <c r="I141" s="11" t="s">
        <v>448</v>
      </c>
      <c r="J141" s="9">
        <f t="shared" si="10"/>
        <v>290000999.39999998</v>
      </c>
      <c r="K141" s="9">
        <f t="shared" si="11"/>
        <v>259848000</v>
      </c>
      <c r="L141" s="12">
        <f t="shared" si="9"/>
        <v>0.89602449832109099</v>
      </c>
      <c r="M141" s="13">
        <v>0</v>
      </c>
      <c r="N141" s="14">
        <v>0</v>
      </c>
      <c r="O141" s="13">
        <v>0</v>
      </c>
      <c r="P141" s="14">
        <v>0</v>
      </c>
      <c r="Q141" s="13">
        <v>0</v>
      </c>
      <c r="R141" s="14">
        <v>0</v>
      </c>
      <c r="S141" s="13">
        <v>0</v>
      </c>
      <c r="T141" s="14">
        <v>0</v>
      </c>
      <c r="U141" s="13">
        <v>0</v>
      </c>
      <c r="V141" s="14">
        <v>0</v>
      </c>
      <c r="W141" s="13">
        <v>0</v>
      </c>
      <c r="X141" s="14">
        <v>0</v>
      </c>
      <c r="Y141" s="13">
        <v>0</v>
      </c>
      <c r="Z141" s="14">
        <v>0</v>
      </c>
      <c r="AA141" s="13">
        <v>0</v>
      </c>
      <c r="AB141" s="14">
        <v>0</v>
      </c>
      <c r="AC141" s="13">
        <v>0</v>
      </c>
      <c r="AD141" s="14">
        <v>0</v>
      </c>
      <c r="AE141" s="13">
        <v>0</v>
      </c>
      <c r="AF141" s="14">
        <v>0</v>
      </c>
      <c r="AG141" s="13">
        <v>0</v>
      </c>
      <c r="AH141" s="14">
        <v>0</v>
      </c>
      <c r="AI141" s="13">
        <v>0</v>
      </c>
      <c r="AJ141" s="14">
        <v>0</v>
      </c>
      <c r="AK141" s="13">
        <v>0</v>
      </c>
      <c r="AL141" s="14">
        <v>0</v>
      </c>
      <c r="AM141" s="13">
        <v>0</v>
      </c>
      <c r="AN141" s="14">
        <v>0</v>
      </c>
      <c r="AO141" s="13">
        <v>0</v>
      </c>
      <c r="AP141" s="14">
        <v>0</v>
      </c>
      <c r="AQ141" s="13">
        <v>0</v>
      </c>
      <c r="AR141" s="14">
        <v>0</v>
      </c>
      <c r="AS141" s="13">
        <v>50610000.100000001</v>
      </c>
      <c r="AT141" s="14">
        <v>0</v>
      </c>
      <c r="AU141" s="13">
        <v>70906000</v>
      </c>
      <c r="AV141" s="14">
        <v>50610000</v>
      </c>
      <c r="AW141" s="13">
        <v>62371999.799999997</v>
      </c>
      <c r="AX141" s="14">
        <v>70906000</v>
      </c>
      <c r="AY141" s="13">
        <v>36194999.5</v>
      </c>
      <c r="AZ141" s="15">
        <v>62372000</v>
      </c>
      <c r="BA141" s="20">
        <v>39765000</v>
      </c>
      <c r="BB141" s="21">
        <v>36195000</v>
      </c>
      <c r="BC141" s="20">
        <v>30153000</v>
      </c>
      <c r="BD141" s="21">
        <v>39765000</v>
      </c>
    </row>
    <row r="142" spans="1:56" ht="12" customHeight="1">
      <c r="A142" s="7" t="s">
        <v>335</v>
      </c>
      <c r="B142" s="8">
        <v>10037576</v>
      </c>
      <c r="C142" s="24" t="s">
        <v>521</v>
      </c>
      <c r="D142" s="19">
        <v>1799000000</v>
      </c>
      <c r="E142" s="10">
        <f t="shared" si="8"/>
        <v>49972222.222222224</v>
      </c>
      <c r="F142" s="8" t="s">
        <v>31</v>
      </c>
      <c r="G142" s="8">
        <v>200</v>
      </c>
      <c r="H142" s="35" t="s">
        <v>287</v>
      </c>
      <c r="I142" s="11" t="s">
        <v>448</v>
      </c>
      <c r="J142" s="9">
        <f t="shared" si="10"/>
        <v>216322999.5</v>
      </c>
      <c r="K142" s="9">
        <f t="shared" si="11"/>
        <v>173010000</v>
      </c>
      <c r="L142" s="12">
        <f t="shared" si="9"/>
        <v>0.79977626234791555</v>
      </c>
      <c r="M142" s="13">
        <v>0</v>
      </c>
      <c r="N142" s="14">
        <v>0</v>
      </c>
      <c r="O142" s="13">
        <v>0</v>
      </c>
      <c r="P142" s="14">
        <v>0</v>
      </c>
      <c r="Q142" s="13">
        <v>0</v>
      </c>
      <c r="R142" s="14">
        <v>0</v>
      </c>
      <c r="S142" s="13">
        <v>0</v>
      </c>
      <c r="T142" s="14">
        <v>0</v>
      </c>
      <c r="U142" s="13">
        <v>0</v>
      </c>
      <c r="V142" s="14">
        <v>0</v>
      </c>
      <c r="W142" s="13">
        <v>0</v>
      </c>
      <c r="X142" s="14">
        <v>0</v>
      </c>
      <c r="Y142" s="13">
        <v>0</v>
      </c>
      <c r="Z142" s="14">
        <v>0</v>
      </c>
      <c r="AA142" s="13">
        <v>0</v>
      </c>
      <c r="AB142" s="14">
        <v>0</v>
      </c>
      <c r="AC142" s="13">
        <v>0</v>
      </c>
      <c r="AD142" s="14">
        <v>0</v>
      </c>
      <c r="AE142" s="13">
        <v>0</v>
      </c>
      <c r="AF142" s="14">
        <v>0</v>
      </c>
      <c r="AG142" s="13">
        <v>0</v>
      </c>
      <c r="AH142" s="14">
        <v>0</v>
      </c>
      <c r="AI142" s="13">
        <v>0</v>
      </c>
      <c r="AJ142" s="14">
        <v>0</v>
      </c>
      <c r="AK142" s="13">
        <v>0</v>
      </c>
      <c r="AL142" s="14">
        <v>0</v>
      </c>
      <c r="AM142" s="13">
        <v>0</v>
      </c>
      <c r="AN142" s="14">
        <v>0</v>
      </c>
      <c r="AO142" s="13">
        <v>0</v>
      </c>
      <c r="AP142" s="14">
        <v>0</v>
      </c>
      <c r="AQ142" s="13">
        <v>0</v>
      </c>
      <c r="AR142" s="14">
        <v>0</v>
      </c>
      <c r="AS142" s="13">
        <v>27908999.800000001</v>
      </c>
      <c r="AT142" s="14">
        <v>0</v>
      </c>
      <c r="AU142" s="13">
        <v>28262999.600000001</v>
      </c>
      <c r="AV142" s="14">
        <v>0</v>
      </c>
      <c r="AW142" s="13">
        <v>25476000</v>
      </c>
      <c r="AX142" s="14">
        <v>56172000</v>
      </c>
      <c r="AY142" s="13">
        <v>39830000.100000001</v>
      </c>
      <c r="AZ142" s="15">
        <v>25476000</v>
      </c>
      <c r="BA142" s="20">
        <v>51532000</v>
      </c>
      <c r="BB142" s="21">
        <v>39830000</v>
      </c>
      <c r="BC142" s="20">
        <v>43313000</v>
      </c>
      <c r="BD142" s="21">
        <v>51532000</v>
      </c>
    </row>
    <row r="143" spans="1:56" ht="12" customHeight="1">
      <c r="A143" s="7" t="s">
        <v>336</v>
      </c>
      <c r="B143" s="8">
        <v>10066681</v>
      </c>
      <c r="C143" s="24" t="s">
        <v>337</v>
      </c>
      <c r="D143" s="19">
        <v>523988500</v>
      </c>
      <c r="E143" s="10">
        <f t="shared" si="8"/>
        <v>14555236.111111112</v>
      </c>
      <c r="F143" s="8" t="s">
        <v>31</v>
      </c>
      <c r="G143" s="8">
        <v>80</v>
      </c>
      <c r="H143" s="35" t="s">
        <v>84</v>
      </c>
      <c r="I143" s="11" t="s">
        <v>448</v>
      </c>
      <c r="J143" s="9">
        <f t="shared" si="10"/>
        <v>33216000.899999999</v>
      </c>
      <c r="K143" s="9">
        <f t="shared" si="11"/>
        <v>26256000</v>
      </c>
      <c r="L143" s="12">
        <f t="shared" si="9"/>
        <v>0.79046240632778886</v>
      </c>
      <c r="M143" s="13">
        <v>0</v>
      </c>
      <c r="N143" s="14">
        <v>0</v>
      </c>
      <c r="O143" s="13">
        <v>0</v>
      </c>
      <c r="P143" s="14">
        <v>0</v>
      </c>
      <c r="Q143" s="13">
        <v>0</v>
      </c>
      <c r="R143" s="14">
        <v>0</v>
      </c>
      <c r="S143" s="13">
        <v>0</v>
      </c>
      <c r="T143" s="14">
        <v>0</v>
      </c>
      <c r="U143" s="13">
        <v>0</v>
      </c>
      <c r="V143" s="14">
        <v>0</v>
      </c>
      <c r="W143" s="13">
        <v>0</v>
      </c>
      <c r="X143" s="14">
        <v>0</v>
      </c>
      <c r="Y143" s="13">
        <v>0</v>
      </c>
      <c r="Z143" s="14">
        <v>0</v>
      </c>
      <c r="AA143" s="13">
        <v>0</v>
      </c>
      <c r="AB143" s="14">
        <v>0</v>
      </c>
      <c r="AC143" s="13">
        <v>0</v>
      </c>
      <c r="AD143" s="14">
        <v>0</v>
      </c>
      <c r="AE143" s="13">
        <v>0</v>
      </c>
      <c r="AF143" s="14">
        <v>0</v>
      </c>
      <c r="AG143" s="13">
        <v>0</v>
      </c>
      <c r="AH143" s="14">
        <v>0</v>
      </c>
      <c r="AI143" s="13">
        <v>0</v>
      </c>
      <c r="AJ143" s="14">
        <v>0</v>
      </c>
      <c r="AK143" s="13">
        <v>0</v>
      </c>
      <c r="AL143" s="14">
        <v>0</v>
      </c>
      <c r="AM143" s="13">
        <v>0</v>
      </c>
      <c r="AN143" s="14">
        <v>0</v>
      </c>
      <c r="AO143" s="13">
        <v>0</v>
      </c>
      <c r="AP143" s="14">
        <v>0</v>
      </c>
      <c r="AQ143" s="13">
        <v>0</v>
      </c>
      <c r="AR143" s="14">
        <v>0</v>
      </c>
      <c r="AS143" s="13">
        <v>4000000.4</v>
      </c>
      <c r="AT143" s="14">
        <v>0</v>
      </c>
      <c r="AU143" s="13">
        <v>5488000.0999999996</v>
      </c>
      <c r="AV143" s="14">
        <v>4000000</v>
      </c>
      <c r="AW143" s="13">
        <v>4384000.5</v>
      </c>
      <c r="AX143" s="14">
        <v>5488000</v>
      </c>
      <c r="AY143" s="13">
        <v>5775999.9000000004</v>
      </c>
      <c r="AZ143" s="15">
        <v>4384000</v>
      </c>
      <c r="BA143" s="20">
        <v>6608000</v>
      </c>
      <c r="BB143" s="21">
        <v>5776000</v>
      </c>
      <c r="BC143" s="20">
        <v>6960000</v>
      </c>
      <c r="BD143" s="21">
        <v>6608000</v>
      </c>
    </row>
    <row r="144" spans="1:56" ht="12" customHeight="1">
      <c r="A144" s="7" t="s">
        <v>338</v>
      </c>
      <c r="B144" s="8">
        <v>10071000</v>
      </c>
      <c r="C144" s="24" t="s">
        <v>522</v>
      </c>
      <c r="D144" s="19">
        <v>964665266</v>
      </c>
      <c r="E144" s="10">
        <f t="shared" si="8"/>
        <v>26796257.388888888</v>
      </c>
      <c r="F144" s="8" t="s">
        <v>31</v>
      </c>
      <c r="G144" s="8">
        <v>90</v>
      </c>
      <c r="H144" s="35" t="s">
        <v>339</v>
      </c>
      <c r="I144" s="11" t="s">
        <v>448</v>
      </c>
      <c r="J144" s="9">
        <f t="shared" si="10"/>
        <v>71106998.799999997</v>
      </c>
      <c r="K144" s="9">
        <f t="shared" si="11"/>
        <v>71107000</v>
      </c>
      <c r="L144" s="12">
        <f t="shared" si="9"/>
        <v>1.000000016875976</v>
      </c>
      <c r="M144" s="13">
        <v>0</v>
      </c>
      <c r="N144" s="14">
        <v>0</v>
      </c>
      <c r="O144" s="13">
        <v>0</v>
      </c>
      <c r="P144" s="14">
        <v>0</v>
      </c>
      <c r="Q144" s="13">
        <v>0</v>
      </c>
      <c r="R144" s="14">
        <v>0</v>
      </c>
      <c r="S144" s="13">
        <v>0</v>
      </c>
      <c r="T144" s="14">
        <v>0</v>
      </c>
      <c r="U144" s="13">
        <v>0</v>
      </c>
      <c r="V144" s="14">
        <v>0</v>
      </c>
      <c r="W144" s="13">
        <v>0</v>
      </c>
      <c r="X144" s="14">
        <v>0</v>
      </c>
      <c r="Y144" s="13">
        <v>0</v>
      </c>
      <c r="Z144" s="14">
        <v>0</v>
      </c>
      <c r="AA144" s="13">
        <v>0</v>
      </c>
      <c r="AB144" s="14">
        <v>0</v>
      </c>
      <c r="AC144" s="13">
        <v>0</v>
      </c>
      <c r="AD144" s="14">
        <v>0</v>
      </c>
      <c r="AE144" s="13">
        <v>0</v>
      </c>
      <c r="AF144" s="14">
        <v>0</v>
      </c>
      <c r="AG144" s="13">
        <v>0</v>
      </c>
      <c r="AH144" s="14">
        <v>0</v>
      </c>
      <c r="AI144" s="13">
        <v>0</v>
      </c>
      <c r="AJ144" s="14">
        <v>0</v>
      </c>
      <c r="AK144" s="13">
        <v>0</v>
      </c>
      <c r="AL144" s="14">
        <v>0</v>
      </c>
      <c r="AM144" s="13">
        <v>0</v>
      </c>
      <c r="AN144" s="14">
        <v>0</v>
      </c>
      <c r="AO144" s="13">
        <v>0</v>
      </c>
      <c r="AP144" s="14">
        <v>0</v>
      </c>
      <c r="AQ144" s="13">
        <v>0</v>
      </c>
      <c r="AR144" s="14">
        <v>0</v>
      </c>
      <c r="AS144" s="13">
        <v>6239999.7000000002</v>
      </c>
      <c r="AT144" s="14">
        <v>0</v>
      </c>
      <c r="AU144" s="13">
        <v>12178999.800000001</v>
      </c>
      <c r="AV144" s="14">
        <v>0</v>
      </c>
      <c r="AW144" s="13">
        <v>14986999.5</v>
      </c>
      <c r="AX144" s="14">
        <v>18419000</v>
      </c>
      <c r="AY144" s="13">
        <v>14543999.800000001</v>
      </c>
      <c r="AZ144" s="15">
        <v>29531000</v>
      </c>
      <c r="BA144" s="20">
        <v>12314000</v>
      </c>
      <c r="BB144" s="21">
        <v>12314000</v>
      </c>
      <c r="BC144" s="20">
        <v>10843000</v>
      </c>
      <c r="BD144" s="21">
        <v>10843000</v>
      </c>
    </row>
    <row r="145" spans="1:56" ht="12" customHeight="1">
      <c r="A145" s="7" t="s">
        <v>340</v>
      </c>
      <c r="B145" s="8">
        <v>10073012</v>
      </c>
      <c r="C145" s="24" t="s">
        <v>341</v>
      </c>
      <c r="D145" s="19">
        <v>592753733</v>
      </c>
      <c r="E145" s="10">
        <f t="shared" si="8"/>
        <v>16465381.472222222</v>
      </c>
      <c r="F145" s="8" t="s">
        <v>31</v>
      </c>
      <c r="G145" s="8">
        <v>60</v>
      </c>
      <c r="H145" s="35">
        <v>46041</v>
      </c>
      <c r="I145" s="11" t="s">
        <v>448</v>
      </c>
      <c r="J145" s="9">
        <f t="shared" si="10"/>
        <v>76019000.099999994</v>
      </c>
      <c r="K145" s="9">
        <f t="shared" si="11"/>
        <v>49729000</v>
      </c>
      <c r="L145" s="12">
        <f t="shared" si="9"/>
        <v>0.6541654051563881</v>
      </c>
      <c r="M145" s="13">
        <v>0</v>
      </c>
      <c r="N145" s="14">
        <v>0</v>
      </c>
      <c r="O145" s="13">
        <v>0</v>
      </c>
      <c r="P145" s="14">
        <v>0</v>
      </c>
      <c r="Q145" s="13">
        <v>0</v>
      </c>
      <c r="R145" s="14">
        <v>0</v>
      </c>
      <c r="S145" s="13">
        <v>0</v>
      </c>
      <c r="T145" s="14">
        <v>0</v>
      </c>
      <c r="U145" s="13">
        <v>0</v>
      </c>
      <c r="V145" s="14">
        <v>0</v>
      </c>
      <c r="W145" s="13">
        <v>0</v>
      </c>
      <c r="X145" s="14">
        <v>0</v>
      </c>
      <c r="Y145" s="13">
        <v>0</v>
      </c>
      <c r="Z145" s="14">
        <v>0</v>
      </c>
      <c r="AA145" s="13">
        <v>0</v>
      </c>
      <c r="AB145" s="14">
        <v>0</v>
      </c>
      <c r="AC145" s="13">
        <v>0</v>
      </c>
      <c r="AD145" s="14">
        <v>0</v>
      </c>
      <c r="AE145" s="13">
        <v>0</v>
      </c>
      <c r="AF145" s="14">
        <v>0</v>
      </c>
      <c r="AG145" s="13">
        <v>0</v>
      </c>
      <c r="AH145" s="14">
        <v>0</v>
      </c>
      <c r="AI145" s="13">
        <v>0</v>
      </c>
      <c r="AJ145" s="14">
        <v>0</v>
      </c>
      <c r="AK145" s="13">
        <v>0</v>
      </c>
      <c r="AL145" s="14">
        <v>0</v>
      </c>
      <c r="AM145" s="13">
        <v>0</v>
      </c>
      <c r="AN145" s="14">
        <v>0</v>
      </c>
      <c r="AO145" s="13">
        <v>0</v>
      </c>
      <c r="AP145" s="14">
        <v>0</v>
      </c>
      <c r="AQ145" s="13">
        <v>0</v>
      </c>
      <c r="AR145" s="14">
        <v>0</v>
      </c>
      <c r="AS145" s="13">
        <v>13152000.4</v>
      </c>
      <c r="AT145" s="14">
        <v>0</v>
      </c>
      <c r="AU145" s="13">
        <v>18737999.5</v>
      </c>
      <c r="AV145" s="14">
        <v>13152000</v>
      </c>
      <c r="AW145" s="13">
        <v>8061000.2000000002</v>
      </c>
      <c r="AX145" s="14">
        <v>18738000</v>
      </c>
      <c r="AY145" s="13">
        <v>0</v>
      </c>
      <c r="AZ145" s="15">
        <v>8061000</v>
      </c>
      <c r="BA145" s="20">
        <v>23335000</v>
      </c>
      <c r="BB145" s="21">
        <v>0</v>
      </c>
      <c r="BC145" s="20">
        <v>12733000</v>
      </c>
      <c r="BD145" s="21">
        <v>9778000</v>
      </c>
    </row>
    <row r="146" spans="1:56" ht="12" customHeight="1">
      <c r="A146" s="7" t="s">
        <v>342</v>
      </c>
      <c r="B146" s="8">
        <v>10089241</v>
      </c>
      <c r="C146" s="24" t="s">
        <v>343</v>
      </c>
      <c r="D146" s="19">
        <v>520086567</v>
      </c>
      <c r="E146" s="10">
        <f t="shared" si="8"/>
        <v>14446849.083333334</v>
      </c>
      <c r="F146" s="8" t="s">
        <v>31</v>
      </c>
      <c r="G146" s="8">
        <v>50</v>
      </c>
      <c r="H146" s="35" t="s">
        <v>210</v>
      </c>
      <c r="I146" s="11" t="s">
        <v>448</v>
      </c>
      <c r="J146" s="9">
        <f t="shared" si="10"/>
        <v>2431000</v>
      </c>
      <c r="K146" s="9">
        <f t="shared" si="11"/>
        <v>1348000</v>
      </c>
      <c r="L146" s="12">
        <f t="shared" si="9"/>
        <v>0.5545043192102016</v>
      </c>
      <c r="M146" s="13">
        <v>0</v>
      </c>
      <c r="N146" s="14">
        <v>0</v>
      </c>
      <c r="O146" s="13">
        <v>0</v>
      </c>
      <c r="P146" s="14">
        <v>0</v>
      </c>
      <c r="Q146" s="13">
        <v>0</v>
      </c>
      <c r="R146" s="14">
        <v>0</v>
      </c>
      <c r="S146" s="13">
        <v>0</v>
      </c>
      <c r="T146" s="14">
        <v>0</v>
      </c>
      <c r="U146" s="13">
        <v>0</v>
      </c>
      <c r="V146" s="14">
        <v>0</v>
      </c>
      <c r="W146" s="13">
        <v>0</v>
      </c>
      <c r="X146" s="14">
        <v>0</v>
      </c>
      <c r="Y146" s="13">
        <v>0</v>
      </c>
      <c r="Z146" s="14">
        <v>0</v>
      </c>
      <c r="AA146" s="13">
        <v>0</v>
      </c>
      <c r="AB146" s="14">
        <v>0</v>
      </c>
      <c r="AC146" s="13">
        <v>0</v>
      </c>
      <c r="AD146" s="14">
        <v>0</v>
      </c>
      <c r="AE146" s="13">
        <v>0</v>
      </c>
      <c r="AF146" s="14">
        <v>0</v>
      </c>
      <c r="AG146" s="13">
        <v>0</v>
      </c>
      <c r="AH146" s="14">
        <v>0</v>
      </c>
      <c r="AI146" s="13">
        <v>0</v>
      </c>
      <c r="AJ146" s="14">
        <v>0</v>
      </c>
      <c r="AK146" s="13">
        <v>0</v>
      </c>
      <c r="AL146" s="14">
        <v>0</v>
      </c>
      <c r="AM146" s="13">
        <v>0</v>
      </c>
      <c r="AN146" s="14">
        <v>0</v>
      </c>
      <c r="AO146" s="13">
        <v>0</v>
      </c>
      <c r="AP146" s="14">
        <v>0</v>
      </c>
      <c r="AQ146" s="13">
        <v>0</v>
      </c>
      <c r="AR146" s="14">
        <v>0</v>
      </c>
      <c r="AS146" s="13">
        <v>352000</v>
      </c>
      <c r="AT146" s="14">
        <v>0</v>
      </c>
      <c r="AU146" s="13">
        <v>128000.4</v>
      </c>
      <c r="AV146" s="14">
        <v>0</v>
      </c>
      <c r="AW146" s="13">
        <v>868000.1</v>
      </c>
      <c r="AX146" s="14">
        <v>0</v>
      </c>
      <c r="AY146" s="13">
        <v>389999.5</v>
      </c>
      <c r="AZ146" s="15">
        <v>0</v>
      </c>
      <c r="BA146" s="20">
        <v>497000</v>
      </c>
      <c r="BB146" s="21">
        <v>1348000</v>
      </c>
      <c r="BC146" s="20">
        <v>196000</v>
      </c>
      <c r="BD146" s="21">
        <v>0</v>
      </c>
    </row>
    <row r="147" spans="1:56" ht="12" customHeight="1">
      <c r="A147" s="7" t="s">
        <v>344</v>
      </c>
      <c r="B147" s="8">
        <v>10015488</v>
      </c>
      <c r="C147" s="24" t="s">
        <v>345</v>
      </c>
      <c r="D147" s="19">
        <v>293672600</v>
      </c>
      <c r="E147" s="10">
        <f t="shared" si="8"/>
        <v>8157572.222222222</v>
      </c>
      <c r="F147" s="8" t="s">
        <v>31</v>
      </c>
      <c r="G147" s="8">
        <v>30</v>
      </c>
      <c r="H147" s="35" t="s">
        <v>187</v>
      </c>
      <c r="I147" s="11" t="s">
        <v>448</v>
      </c>
      <c r="J147" s="9">
        <f t="shared" si="10"/>
        <v>50623999.799999997</v>
      </c>
      <c r="K147" s="9">
        <f t="shared" si="11"/>
        <v>40256000</v>
      </c>
      <c r="L147" s="12">
        <f t="shared" si="9"/>
        <v>0.79519595762956685</v>
      </c>
      <c r="M147" s="13">
        <v>0</v>
      </c>
      <c r="N147" s="14">
        <v>0</v>
      </c>
      <c r="O147" s="13">
        <v>0</v>
      </c>
      <c r="P147" s="14">
        <v>0</v>
      </c>
      <c r="Q147" s="13">
        <v>0</v>
      </c>
      <c r="R147" s="14">
        <v>0</v>
      </c>
      <c r="S147" s="13">
        <v>0</v>
      </c>
      <c r="T147" s="14">
        <v>0</v>
      </c>
      <c r="U147" s="13">
        <v>0</v>
      </c>
      <c r="V147" s="14">
        <v>0</v>
      </c>
      <c r="W147" s="13">
        <v>0</v>
      </c>
      <c r="X147" s="14">
        <v>0</v>
      </c>
      <c r="Y147" s="13">
        <v>0</v>
      </c>
      <c r="Z147" s="14">
        <v>0</v>
      </c>
      <c r="AA147" s="13">
        <v>0</v>
      </c>
      <c r="AB147" s="14">
        <v>0</v>
      </c>
      <c r="AC147" s="13">
        <v>0</v>
      </c>
      <c r="AD147" s="14">
        <v>0</v>
      </c>
      <c r="AE147" s="13">
        <v>0</v>
      </c>
      <c r="AF147" s="14">
        <v>0</v>
      </c>
      <c r="AG147" s="13">
        <v>0</v>
      </c>
      <c r="AH147" s="14">
        <v>0</v>
      </c>
      <c r="AI147" s="13">
        <v>0</v>
      </c>
      <c r="AJ147" s="14">
        <v>0</v>
      </c>
      <c r="AK147" s="13">
        <v>0</v>
      </c>
      <c r="AL147" s="14">
        <v>0</v>
      </c>
      <c r="AM147" s="13">
        <v>0</v>
      </c>
      <c r="AN147" s="14">
        <v>0</v>
      </c>
      <c r="AO147" s="13">
        <v>0</v>
      </c>
      <c r="AP147" s="14">
        <v>0</v>
      </c>
      <c r="AQ147" s="13">
        <v>0</v>
      </c>
      <c r="AR147" s="14">
        <v>0</v>
      </c>
      <c r="AS147" s="13">
        <v>0</v>
      </c>
      <c r="AT147" s="14">
        <v>0</v>
      </c>
      <c r="AU147" s="13">
        <v>9920000.1999999993</v>
      </c>
      <c r="AV147" s="14">
        <v>0</v>
      </c>
      <c r="AW147" s="13">
        <v>10319999.800000001</v>
      </c>
      <c r="AX147" s="14">
        <v>9920000</v>
      </c>
      <c r="AY147" s="13">
        <v>10143999.800000001</v>
      </c>
      <c r="AZ147" s="15">
        <v>10320000</v>
      </c>
      <c r="BA147" s="20">
        <v>9872000</v>
      </c>
      <c r="BB147" s="21">
        <v>10144000</v>
      </c>
      <c r="BC147" s="20">
        <v>10368000</v>
      </c>
      <c r="BD147" s="21">
        <v>9872000</v>
      </c>
    </row>
    <row r="148" spans="1:56" ht="12" customHeight="1">
      <c r="A148" s="7" t="s">
        <v>346</v>
      </c>
      <c r="B148" s="8">
        <v>10032163</v>
      </c>
      <c r="C148" s="24" t="s">
        <v>347</v>
      </c>
      <c r="D148" s="19">
        <v>380117430</v>
      </c>
      <c r="E148" s="10">
        <f t="shared" si="8"/>
        <v>10558817.5</v>
      </c>
      <c r="F148" s="8" t="s">
        <v>31</v>
      </c>
      <c r="G148" s="8">
        <v>30</v>
      </c>
      <c r="H148" s="35" t="s">
        <v>348</v>
      </c>
      <c r="I148" s="11" t="s">
        <v>448</v>
      </c>
      <c r="J148" s="9">
        <f t="shared" si="10"/>
        <v>18044999.800000001</v>
      </c>
      <c r="K148" s="9">
        <f t="shared" si="11"/>
        <v>6555000</v>
      </c>
      <c r="L148" s="12">
        <f t="shared" si="9"/>
        <v>0.36325852439189277</v>
      </c>
      <c r="M148" s="13">
        <v>0</v>
      </c>
      <c r="N148" s="14">
        <v>0</v>
      </c>
      <c r="O148" s="13">
        <v>0</v>
      </c>
      <c r="P148" s="14">
        <v>0</v>
      </c>
      <c r="Q148" s="13">
        <v>0</v>
      </c>
      <c r="R148" s="14">
        <v>0</v>
      </c>
      <c r="S148" s="13">
        <v>0</v>
      </c>
      <c r="T148" s="14">
        <v>0</v>
      </c>
      <c r="U148" s="13">
        <v>0</v>
      </c>
      <c r="V148" s="14">
        <v>0</v>
      </c>
      <c r="W148" s="13">
        <v>0</v>
      </c>
      <c r="X148" s="14">
        <v>0</v>
      </c>
      <c r="Y148" s="13">
        <v>0</v>
      </c>
      <c r="Z148" s="14">
        <v>0</v>
      </c>
      <c r="AA148" s="13">
        <v>0</v>
      </c>
      <c r="AB148" s="14">
        <v>0</v>
      </c>
      <c r="AC148" s="13">
        <v>0</v>
      </c>
      <c r="AD148" s="14">
        <v>0</v>
      </c>
      <c r="AE148" s="13">
        <v>0</v>
      </c>
      <c r="AF148" s="14">
        <v>0</v>
      </c>
      <c r="AG148" s="13">
        <v>0</v>
      </c>
      <c r="AH148" s="14">
        <v>0</v>
      </c>
      <c r="AI148" s="13">
        <v>0</v>
      </c>
      <c r="AJ148" s="14">
        <v>0</v>
      </c>
      <c r="AK148" s="13">
        <v>0</v>
      </c>
      <c r="AL148" s="14">
        <v>0</v>
      </c>
      <c r="AM148" s="13">
        <v>0</v>
      </c>
      <c r="AN148" s="14">
        <v>0</v>
      </c>
      <c r="AO148" s="13">
        <v>0</v>
      </c>
      <c r="AP148" s="14">
        <v>0</v>
      </c>
      <c r="AQ148" s="13">
        <v>0</v>
      </c>
      <c r="AR148" s="14">
        <v>0</v>
      </c>
      <c r="AS148" s="13">
        <v>0</v>
      </c>
      <c r="AT148" s="14">
        <v>0</v>
      </c>
      <c r="AU148" s="13">
        <v>2838999.9</v>
      </c>
      <c r="AV148" s="14">
        <v>0</v>
      </c>
      <c r="AW148" s="13">
        <v>3716000.2</v>
      </c>
      <c r="AX148" s="14">
        <v>0</v>
      </c>
      <c r="AY148" s="13">
        <v>3148999.7</v>
      </c>
      <c r="AZ148" s="15">
        <v>2839000</v>
      </c>
      <c r="BA148" s="20">
        <v>4988000</v>
      </c>
      <c r="BB148" s="21">
        <v>0</v>
      </c>
      <c r="BC148" s="20">
        <v>3353000</v>
      </c>
      <c r="BD148" s="21">
        <v>3716000</v>
      </c>
    </row>
    <row r="149" spans="1:56" ht="12" customHeight="1">
      <c r="A149" s="7" t="s">
        <v>349</v>
      </c>
      <c r="B149" s="8">
        <v>10032900</v>
      </c>
      <c r="C149" s="24" t="s">
        <v>350</v>
      </c>
      <c r="D149" s="19">
        <v>976920919</v>
      </c>
      <c r="E149" s="10">
        <f t="shared" si="8"/>
        <v>27136692.194444444</v>
      </c>
      <c r="F149" s="8" t="s">
        <v>31</v>
      </c>
      <c r="G149" s="8">
        <v>100</v>
      </c>
      <c r="H149" s="35" t="s">
        <v>251</v>
      </c>
      <c r="I149" s="11" t="s">
        <v>448</v>
      </c>
      <c r="J149" s="9">
        <f t="shared" si="10"/>
        <v>94106999.599999994</v>
      </c>
      <c r="K149" s="9">
        <f t="shared" si="11"/>
        <v>68748000</v>
      </c>
      <c r="L149" s="12">
        <f t="shared" si="9"/>
        <v>0.73053014432733021</v>
      </c>
      <c r="M149" s="13">
        <v>0</v>
      </c>
      <c r="N149" s="14">
        <v>0</v>
      </c>
      <c r="O149" s="13">
        <v>0</v>
      </c>
      <c r="P149" s="14">
        <v>0</v>
      </c>
      <c r="Q149" s="13">
        <v>0</v>
      </c>
      <c r="R149" s="14">
        <v>0</v>
      </c>
      <c r="S149" s="13">
        <v>0</v>
      </c>
      <c r="T149" s="14">
        <v>0</v>
      </c>
      <c r="U149" s="13">
        <v>0</v>
      </c>
      <c r="V149" s="14">
        <v>0</v>
      </c>
      <c r="W149" s="13">
        <v>0</v>
      </c>
      <c r="X149" s="14">
        <v>0</v>
      </c>
      <c r="Y149" s="13">
        <v>0</v>
      </c>
      <c r="Z149" s="14">
        <v>0</v>
      </c>
      <c r="AA149" s="13">
        <v>0</v>
      </c>
      <c r="AB149" s="14">
        <v>0</v>
      </c>
      <c r="AC149" s="13">
        <v>0</v>
      </c>
      <c r="AD149" s="14">
        <v>0</v>
      </c>
      <c r="AE149" s="13">
        <v>0</v>
      </c>
      <c r="AF149" s="14">
        <v>0</v>
      </c>
      <c r="AG149" s="13">
        <v>0</v>
      </c>
      <c r="AH149" s="14">
        <v>0</v>
      </c>
      <c r="AI149" s="13">
        <v>0</v>
      </c>
      <c r="AJ149" s="14">
        <v>0</v>
      </c>
      <c r="AK149" s="13">
        <v>0</v>
      </c>
      <c r="AL149" s="14">
        <v>0</v>
      </c>
      <c r="AM149" s="13">
        <v>0</v>
      </c>
      <c r="AN149" s="14">
        <v>0</v>
      </c>
      <c r="AO149" s="13">
        <v>0</v>
      </c>
      <c r="AP149" s="14">
        <v>0</v>
      </c>
      <c r="AQ149" s="13">
        <v>0</v>
      </c>
      <c r="AR149" s="14">
        <v>0</v>
      </c>
      <c r="AS149" s="13">
        <v>0</v>
      </c>
      <c r="AT149" s="14">
        <v>0</v>
      </c>
      <c r="AU149" s="13">
        <v>19516999.699999999</v>
      </c>
      <c r="AV149" s="14">
        <v>0</v>
      </c>
      <c r="AW149" s="13">
        <v>12515000.300000001</v>
      </c>
      <c r="AX149" s="14">
        <v>19517000</v>
      </c>
      <c r="AY149" s="13">
        <v>18835999.600000001</v>
      </c>
      <c r="AZ149" s="15">
        <v>12515000</v>
      </c>
      <c r="BA149" s="20">
        <v>17880000</v>
      </c>
      <c r="BB149" s="21">
        <v>18836000</v>
      </c>
      <c r="BC149" s="20">
        <v>25359000</v>
      </c>
      <c r="BD149" s="21">
        <v>17880000</v>
      </c>
    </row>
    <row r="150" spans="1:56" ht="12" customHeight="1">
      <c r="A150" s="7" t="s">
        <v>351</v>
      </c>
      <c r="B150" s="8">
        <v>10033272</v>
      </c>
      <c r="C150" s="24" t="s">
        <v>352</v>
      </c>
      <c r="D150" s="19">
        <v>1151846000</v>
      </c>
      <c r="E150" s="10">
        <f t="shared" si="8"/>
        <v>31995722.222222224</v>
      </c>
      <c r="F150" s="8" t="s">
        <v>31</v>
      </c>
      <c r="G150" s="8">
        <v>192</v>
      </c>
      <c r="H150" s="35" t="s">
        <v>287</v>
      </c>
      <c r="I150" s="11" t="s">
        <v>448</v>
      </c>
      <c r="J150" s="9">
        <f t="shared" si="10"/>
        <v>114768000.40000001</v>
      </c>
      <c r="K150" s="9">
        <f t="shared" si="11"/>
        <v>93151000</v>
      </c>
      <c r="L150" s="12">
        <f t="shared" si="9"/>
        <v>0.81164610061464482</v>
      </c>
      <c r="M150" s="13">
        <v>0</v>
      </c>
      <c r="N150" s="14">
        <v>0</v>
      </c>
      <c r="O150" s="13">
        <v>0</v>
      </c>
      <c r="P150" s="14">
        <v>0</v>
      </c>
      <c r="Q150" s="13">
        <v>0</v>
      </c>
      <c r="R150" s="14">
        <v>0</v>
      </c>
      <c r="S150" s="13">
        <v>0</v>
      </c>
      <c r="T150" s="14">
        <v>0</v>
      </c>
      <c r="U150" s="13">
        <v>0</v>
      </c>
      <c r="V150" s="14">
        <v>0</v>
      </c>
      <c r="W150" s="13">
        <v>0</v>
      </c>
      <c r="X150" s="14">
        <v>0</v>
      </c>
      <c r="Y150" s="13">
        <v>0</v>
      </c>
      <c r="Z150" s="14">
        <v>0</v>
      </c>
      <c r="AA150" s="13">
        <v>0</v>
      </c>
      <c r="AB150" s="14">
        <v>0</v>
      </c>
      <c r="AC150" s="13">
        <v>0</v>
      </c>
      <c r="AD150" s="14">
        <v>0</v>
      </c>
      <c r="AE150" s="13">
        <v>0</v>
      </c>
      <c r="AF150" s="14">
        <v>0</v>
      </c>
      <c r="AG150" s="13">
        <v>0</v>
      </c>
      <c r="AH150" s="14">
        <v>0</v>
      </c>
      <c r="AI150" s="13">
        <v>0</v>
      </c>
      <c r="AJ150" s="14">
        <v>0</v>
      </c>
      <c r="AK150" s="13">
        <v>0</v>
      </c>
      <c r="AL150" s="14">
        <v>0</v>
      </c>
      <c r="AM150" s="13">
        <v>0</v>
      </c>
      <c r="AN150" s="14">
        <v>0</v>
      </c>
      <c r="AO150" s="13">
        <v>0</v>
      </c>
      <c r="AP150" s="14">
        <v>0</v>
      </c>
      <c r="AQ150" s="13">
        <v>0</v>
      </c>
      <c r="AR150" s="14">
        <v>0</v>
      </c>
      <c r="AS150" s="13">
        <v>0</v>
      </c>
      <c r="AT150" s="14">
        <v>0</v>
      </c>
      <c r="AU150" s="13">
        <v>24794000</v>
      </c>
      <c r="AV150" s="14">
        <v>0</v>
      </c>
      <c r="AW150" s="13">
        <v>23052000.399999999</v>
      </c>
      <c r="AX150" s="14">
        <v>24794000</v>
      </c>
      <c r="AY150" s="13">
        <v>22319000</v>
      </c>
      <c r="AZ150" s="15">
        <v>21652000</v>
      </c>
      <c r="BA150" s="20">
        <v>22986000</v>
      </c>
      <c r="BB150" s="21">
        <v>23719000</v>
      </c>
      <c r="BC150" s="20">
        <v>21617000</v>
      </c>
      <c r="BD150" s="21">
        <v>22986000</v>
      </c>
    </row>
    <row r="151" spans="1:56" ht="12" customHeight="1">
      <c r="A151" s="7" t="s">
        <v>353</v>
      </c>
      <c r="B151" s="8">
        <v>10033479</v>
      </c>
      <c r="C151" s="24" t="s">
        <v>354</v>
      </c>
      <c r="D151" s="19">
        <v>291461099</v>
      </c>
      <c r="E151" s="10">
        <f t="shared" si="8"/>
        <v>8096141.638888889</v>
      </c>
      <c r="F151" s="8" t="s">
        <v>31</v>
      </c>
      <c r="G151" s="8">
        <v>30</v>
      </c>
      <c r="H151" s="35">
        <v>45476</v>
      </c>
      <c r="I151" s="11" t="s">
        <v>355</v>
      </c>
      <c r="J151" s="9">
        <f t="shared" si="10"/>
        <v>15023999.6</v>
      </c>
      <c r="K151" s="9">
        <f t="shared" si="11"/>
        <v>10880000</v>
      </c>
      <c r="L151" s="12">
        <f t="shared" si="9"/>
        <v>0.72417467316758988</v>
      </c>
      <c r="M151" s="13">
        <v>0</v>
      </c>
      <c r="N151" s="14">
        <v>0</v>
      </c>
      <c r="O151" s="13">
        <v>0</v>
      </c>
      <c r="P151" s="14">
        <v>0</v>
      </c>
      <c r="Q151" s="13">
        <v>0</v>
      </c>
      <c r="R151" s="14">
        <v>0</v>
      </c>
      <c r="S151" s="13">
        <v>0</v>
      </c>
      <c r="T151" s="14">
        <v>0</v>
      </c>
      <c r="U151" s="13">
        <v>0</v>
      </c>
      <c r="V151" s="14">
        <v>0</v>
      </c>
      <c r="W151" s="13">
        <v>0</v>
      </c>
      <c r="X151" s="14">
        <v>0</v>
      </c>
      <c r="Y151" s="13">
        <v>0</v>
      </c>
      <c r="Z151" s="14">
        <v>0</v>
      </c>
      <c r="AA151" s="13">
        <v>0</v>
      </c>
      <c r="AB151" s="14">
        <v>0</v>
      </c>
      <c r="AC151" s="13">
        <v>0</v>
      </c>
      <c r="AD151" s="14">
        <v>0</v>
      </c>
      <c r="AE151" s="13">
        <v>0</v>
      </c>
      <c r="AF151" s="14">
        <v>0</v>
      </c>
      <c r="AG151" s="13">
        <v>0</v>
      </c>
      <c r="AH151" s="14">
        <v>0</v>
      </c>
      <c r="AI151" s="13">
        <v>0</v>
      </c>
      <c r="AJ151" s="14">
        <v>0</v>
      </c>
      <c r="AK151" s="13">
        <v>0</v>
      </c>
      <c r="AL151" s="14">
        <v>0</v>
      </c>
      <c r="AM151" s="13">
        <v>0</v>
      </c>
      <c r="AN151" s="14">
        <v>0</v>
      </c>
      <c r="AO151" s="13">
        <v>0</v>
      </c>
      <c r="AP151" s="14">
        <v>0</v>
      </c>
      <c r="AQ151" s="13">
        <v>0</v>
      </c>
      <c r="AR151" s="14">
        <v>0</v>
      </c>
      <c r="AS151" s="13">
        <v>0</v>
      </c>
      <c r="AT151" s="14">
        <v>0</v>
      </c>
      <c r="AU151" s="13">
        <v>1968000.1</v>
      </c>
      <c r="AV151" s="14">
        <v>0</v>
      </c>
      <c r="AW151" s="13">
        <v>2479999.5</v>
      </c>
      <c r="AX151" s="14">
        <v>1968000</v>
      </c>
      <c r="AY151" s="13">
        <v>2640000</v>
      </c>
      <c r="AZ151" s="15">
        <v>2480000</v>
      </c>
      <c r="BA151" s="20">
        <v>3792000</v>
      </c>
      <c r="BB151" s="21">
        <v>2640000</v>
      </c>
      <c r="BC151" s="20">
        <v>4144000</v>
      </c>
      <c r="BD151" s="21">
        <v>3792000</v>
      </c>
    </row>
    <row r="152" spans="1:56" ht="12" customHeight="1">
      <c r="A152" s="7" t="s">
        <v>356</v>
      </c>
      <c r="B152" s="8">
        <v>10034707</v>
      </c>
      <c r="C152" s="24" t="s">
        <v>357</v>
      </c>
      <c r="D152" s="19">
        <v>419812248</v>
      </c>
      <c r="E152" s="10">
        <f t="shared" si="8"/>
        <v>11661451.333333334</v>
      </c>
      <c r="F152" s="8" t="s">
        <v>31</v>
      </c>
      <c r="G152" s="8">
        <v>50</v>
      </c>
      <c r="H152" s="35" t="s">
        <v>358</v>
      </c>
      <c r="I152" s="11" t="s">
        <v>359</v>
      </c>
      <c r="J152" s="9">
        <f t="shared" si="10"/>
        <v>58706000.5</v>
      </c>
      <c r="K152" s="9">
        <f t="shared" si="11"/>
        <v>47890000</v>
      </c>
      <c r="L152" s="12">
        <f t="shared" si="9"/>
        <v>0.81575988130889621</v>
      </c>
      <c r="M152" s="13">
        <v>0</v>
      </c>
      <c r="N152" s="14">
        <v>0</v>
      </c>
      <c r="O152" s="13">
        <v>0</v>
      </c>
      <c r="P152" s="14">
        <v>0</v>
      </c>
      <c r="Q152" s="13">
        <v>0</v>
      </c>
      <c r="R152" s="14">
        <v>0</v>
      </c>
      <c r="S152" s="13">
        <v>0</v>
      </c>
      <c r="T152" s="14">
        <v>0</v>
      </c>
      <c r="U152" s="13">
        <v>0</v>
      </c>
      <c r="V152" s="14">
        <v>0</v>
      </c>
      <c r="W152" s="13">
        <v>0</v>
      </c>
      <c r="X152" s="14">
        <v>0</v>
      </c>
      <c r="Y152" s="13">
        <v>0</v>
      </c>
      <c r="Z152" s="14">
        <v>0</v>
      </c>
      <c r="AA152" s="13">
        <v>0</v>
      </c>
      <c r="AB152" s="14">
        <v>0</v>
      </c>
      <c r="AC152" s="13">
        <v>0</v>
      </c>
      <c r="AD152" s="14">
        <v>0</v>
      </c>
      <c r="AE152" s="13">
        <v>0</v>
      </c>
      <c r="AF152" s="14">
        <v>0</v>
      </c>
      <c r="AG152" s="13">
        <v>0</v>
      </c>
      <c r="AH152" s="14">
        <v>0</v>
      </c>
      <c r="AI152" s="13">
        <v>0</v>
      </c>
      <c r="AJ152" s="14">
        <v>0</v>
      </c>
      <c r="AK152" s="13">
        <v>0</v>
      </c>
      <c r="AL152" s="14">
        <v>0</v>
      </c>
      <c r="AM152" s="13">
        <v>0</v>
      </c>
      <c r="AN152" s="14">
        <v>0</v>
      </c>
      <c r="AO152" s="13">
        <v>0</v>
      </c>
      <c r="AP152" s="14">
        <v>0</v>
      </c>
      <c r="AQ152" s="13">
        <v>0</v>
      </c>
      <c r="AR152" s="14">
        <v>0</v>
      </c>
      <c r="AS152" s="13">
        <v>0</v>
      </c>
      <c r="AT152" s="14">
        <v>0</v>
      </c>
      <c r="AU152" s="13">
        <v>13442000</v>
      </c>
      <c r="AV152" s="14">
        <v>0</v>
      </c>
      <c r="AW152" s="13">
        <v>16544000</v>
      </c>
      <c r="AX152" s="14">
        <v>13442000</v>
      </c>
      <c r="AY152" s="13">
        <v>5264000.5</v>
      </c>
      <c r="AZ152" s="15">
        <v>10272000</v>
      </c>
      <c r="BA152" s="20">
        <v>12640000</v>
      </c>
      <c r="BB152" s="21">
        <v>1264000</v>
      </c>
      <c r="BC152" s="20">
        <v>10816000</v>
      </c>
      <c r="BD152" s="21">
        <v>22912000</v>
      </c>
    </row>
    <row r="153" spans="1:56" ht="12" customHeight="1">
      <c r="A153" s="7" t="s">
        <v>360</v>
      </c>
      <c r="B153" s="8">
        <v>10036166</v>
      </c>
      <c r="C153" s="24" t="s">
        <v>361</v>
      </c>
      <c r="D153" s="19">
        <v>414142925</v>
      </c>
      <c r="E153" s="10">
        <f t="shared" si="8"/>
        <v>11503970.138888888</v>
      </c>
      <c r="F153" s="8" t="s">
        <v>31</v>
      </c>
      <c r="G153" s="8">
        <v>40</v>
      </c>
      <c r="H153" s="35" t="s">
        <v>362</v>
      </c>
      <c r="I153" s="11" t="s">
        <v>448</v>
      </c>
      <c r="J153" s="9">
        <f t="shared" si="10"/>
        <v>52386999.399999999</v>
      </c>
      <c r="K153" s="9">
        <f t="shared" si="11"/>
        <v>41987000</v>
      </c>
      <c r="L153" s="12">
        <f t="shared" si="9"/>
        <v>0.80147747496299626</v>
      </c>
      <c r="M153" s="13">
        <v>0</v>
      </c>
      <c r="N153" s="14">
        <v>0</v>
      </c>
      <c r="O153" s="13">
        <v>0</v>
      </c>
      <c r="P153" s="14">
        <v>0</v>
      </c>
      <c r="Q153" s="13">
        <v>0</v>
      </c>
      <c r="R153" s="14">
        <v>0</v>
      </c>
      <c r="S153" s="13">
        <v>0</v>
      </c>
      <c r="T153" s="14">
        <v>0</v>
      </c>
      <c r="U153" s="13">
        <v>0</v>
      </c>
      <c r="V153" s="14">
        <v>0</v>
      </c>
      <c r="W153" s="13">
        <v>0</v>
      </c>
      <c r="X153" s="14">
        <v>0</v>
      </c>
      <c r="Y153" s="13">
        <v>0</v>
      </c>
      <c r="Z153" s="14">
        <v>0</v>
      </c>
      <c r="AA153" s="13">
        <v>0</v>
      </c>
      <c r="AB153" s="14">
        <v>0</v>
      </c>
      <c r="AC153" s="13">
        <v>0</v>
      </c>
      <c r="AD153" s="14">
        <v>0</v>
      </c>
      <c r="AE153" s="13">
        <v>0</v>
      </c>
      <c r="AF153" s="14">
        <v>0</v>
      </c>
      <c r="AG153" s="13">
        <v>0</v>
      </c>
      <c r="AH153" s="14">
        <v>0</v>
      </c>
      <c r="AI153" s="13">
        <v>0</v>
      </c>
      <c r="AJ153" s="14">
        <v>0</v>
      </c>
      <c r="AK153" s="13">
        <v>0</v>
      </c>
      <c r="AL153" s="14">
        <v>0</v>
      </c>
      <c r="AM153" s="13">
        <v>0</v>
      </c>
      <c r="AN153" s="14">
        <v>0</v>
      </c>
      <c r="AO153" s="13">
        <v>0</v>
      </c>
      <c r="AP153" s="14">
        <v>0</v>
      </c>
      <c r="AQ153" s="13">
        <v>0</v>
      </c>
      <c r="AR153" s="14">
        <v>0</v>
      </c>
      <c r="AS153" s="13">
        <v>0</v>
      </c>
      <c r="AT153" s="14">
        <v>0</v>
      </c>
      <c r="AU153" s="13">
        <v>10399999.5</v>
      </c>
      <c r="AV153" s="14">
        <v>0</v>
      </c>
      <c r="AW153" s="13">
        <v>10787000.4</v>
      </c>
      <c r="AX153" s="14">
        <v>0</v>
      </c>
      <c r="AY153" s="13">
        <v>10399999.5</v>
      </c>
      <c r="AZ153" s="15">
        <v>21187000</v>
      </c>
      <c r="BA153" s="20">
        <v>10400000</v>
      </c>
      <c r="BB153" s="21">
        <v>10400000</v>
      </c>
      <c r="BC153" s="20">
        <v>10400000</v>
      </c>
      <c r="BD153" s="21">
        <v>10400000</v>
      </c>
    </row>
    <row r="154" spans="1:56" ht="12" customHeight="1">
      <c r="A154" s="7" t="s">
        <v>363</v>
      </c>
      <c r="B154" s="8">
        <v>10037919</v>
      </c>
      <c r="C154" s="24" t="s">
        <v>364</v>
      </c>
      <c r="D154" s="19">
        <v>1413898200</v>
      </c>
      <c r="E154" s="10">
        <f t="shared" si="8"/>
        <v>39274950</v>
      </c>
      <c r="F154" s="8" t="s">
        <v>31</v>
      </c>
      <c r="G154" s="8">
        <v>341</v>
      </c>
      <c r="H154" s="35" t="s">
        <v>365</v>
      </c>
      <c r="I154" s="11" t="s">
        <v>523</v>
      </c>
      <c r="J154" s="9">
        <f t="shared" si="10"/>
        <v>45142866.100000001</v>
      </c>
      <c r="K154" s="9">
        <f t="shared" si="11"/>
        <v>33496377</v>
      </c>
      <c r="L154" s="12">
        <f t="shared" si="9"/>
        <v>0.74200820403824552</v>
      </c>
      <c r="M154" s="13">
        <v>0</v>
      </c>
      <c r="N154" s="14">
        <v>0</v>
      </c>
      <c r="O154" s="13">
        <v>0</v>
      </c>
      <c r="P154" s="14">
        <v>0</v>
      </c>
      <c r="Q154" s="13">
        <v>0</v>
      </c>
      <c r="R154" s="14">
        <v>0</v>
      </c>
      <c r="S154" s="13">
        <v>0</v>
      </c>
      <c r="T154" s="14">
        <v>0</v>
      </c>
      <c r="U154" s="13">
        <v>0</v>
      </c>
      <c r="V154" s="14">
        <v>0</v>
      </c>
      <c r="W154" s="13">
        <v>0</v>
      </c>
      <c r="X154" s="14">
        <v>0</v>
      </c>
      <c r="Y154" s="13">
        <v>0</v>
      </c>
      <c r="Z154" s="14">
        <v>0</v>
      </c>
      <c r="AA154" s="13">
        <v>0</v>
      </c>
      <c r="AB154" s="14">
        <v>0</v>
      </c>
      <c r="AC154" s="13">
        <v>0</v>
      </c>
      <c r="AD154" s="14">
        <v>0</v>
      </c>
      <c r="AE154" s="13">
        <v>0</v>
      </c>
      <c r="AF154" s="14">
        <v>0</v>
      </c>
      <c r="AG154" s="13">
        <v>0</v>
      </c>
      <c r="AH154" s="14">
        <v>0</v>
      </c>
      <c r="AI154" s="13">
        <v>0</v>
      </c>
      <c r="AJ154" s="14">
        <v>0</v>
      </c>
      <c r="AK154" s="13">
        <v>0</v>
      </c>
      <c r="AL154" s="14">
        <v>0</v>
      </c>
      <c r="AM154" s="13">
        <v>0</v>
      </c>
      <c r="AN154" s="14">
        <v>0</v>
      </c>
      <c r="AO154" s="13">
        <v>0</v>
      </c>
      <c r="AP154" s="14">
        <v>0</v>
      </c>
      <c r="AQ154" s="13">
        <v>0</v>
      </c>
      <c r="AR154" s="14">
        <v>0</v>
      </c>
      <c r="AS154" s="13">
        <v>0</v>
      </c>
      <c r="AT154" s="14">
        <v>0</v>
      </c>
      <c r="AU154" s="13">
        <v>5133068.5999999996</v>
      </c>
      <c r="AV154" s="14">
        <v>0</v>
      </c>
      <c r="AW154" s="13">
        <v>5812665.0999999996</v>
      </c>
      <c r="AX154" s="14">
        <v>5133069</v>
      </c>
      <c r="AY154" s="13">
        <v>11327892.4</v>
      </c>
      <c r="AZ154" s="15">
        <v>5812665</v>
      </c>
      <c r="BA154" s="20">
        <v>11222751</v>
      </c>
      <c r="BB154" s="21">
        <v>11327892</v>
      </c>
      <c r="BC154" s="20">
        <v>11646489</v>
      </c>
      <c r="BD154" s="21">
        <v>11222751</v>
      </c>
    </row>
    <row r="155" spans="1:56" ht="12" customHeight="1">
      <c r="A155" s="7" t="s">
        <v>366</v>
      </c>
      <c r="B155" s="8">
        <v>10039694</v>
      </c>
      <c r="C155" s="24" t="s">
        <v>367</v>
      </c>
      <c r="D155" s="19">
        <v>402038130</v>
      </c>
      <c r="E155" s="10">
        <f t="shared" si="8"/>
        <v>11167725.833333334</v>
      </c>
      <c r="F155" s="8" t="s">
        <v>31</v>
      </c>
      <c r="G155" s="8">
        <v>43</v>
      </c>
      <c r="H155" s="35" t="s">
        <v>329</v>
      </c>
      <c r="I155" s="11" t="s">
        <v>448</v>
      </c>
      <c r="J155" s="9">
        <f t="shared" si="10"/>
        <v>12480000.199999999</v>
      </c>
      <c r="K155" s="9">
        <f t="shared" si="11"/>
        <v>9891000</v>
      </c>
      <c r="L155" s="12">
        <f t="shared" si="9"/>
        <v>0.7925480642219862</v>
      </c>
      <c r="M155" s="13">
        <v>0</v>
      </c>
      <c r="N155" s="14">
        <v>0</v>
      </c>
      <c r="O155" s="13">
        <v>0</v>
      </c>
      <c r="P155" s="14">
        <v>0</v>
      </c>
      <c r="Q155" s="13">
        <v>0</v>
      </c>
      <c r="R155" s="14">
        <v>0</v>
      </c>
      <c r="S155" s="13">
        <v>0</v>
      </c>
      <c r="T155" s="14">
        <v>0</v>
      </c>
      <c r="U155" s="13">
        <v>0</v>
      </c>
      <c r="V155" s="14">
        <v>0</v>
      </c>
      <c r="W155" s="13">
        <v>0</v>
      </c>
      <c r="X155" s="14">
        <v>0</v>
      </c>
      <c r="Y155" s="13">
        <v>0</v>
      </c>
      <c r="Z155" s="14">
        <v>0</v>
      </c>
      <c r="AA155" s="13">
        <v>0</v>
      </c>
      <c r="AB155" s="14">
        <v>0</v>
      </c>
      <c r="AC155" s="13">
        <v>0</v>
      </c>
      <c r="AD155" s="14">
        <v>0</v>
      </c>
      <c r="AE155" s="13">
        <v>0</v>
      </c>
      <c r="AF155" s="14">
        <v>0</v>
      </c>
      <c r="AG155" s="13">
        <v>0</v>
      </c>
      <c r="AH155" s="14">
        <v>0</v>
      </c>
      <c r="AI155" s="13">
        <v>0</v>
      </c>
      <c r="AJ155" s="14">
        <v>0</v>
      </c>
      <c r="AK155" s="13">
        <v>0</v>
      </c>
      <c r="AL155" s="14">
        <v>0</v>
      </c>
      <c r="AM155" s="13">
        <v>0</v>
      </c>
      <c r="AN155" s="14">
        <v>0</v>
      </c>
      <c r="AO155" s="13">
        <v>0</v>
      </c>
      <c r="AP155" s="14">
        <v>0</v>
      </c>
      <c r="AQ155" s="13">
        <v>0</v>
      </c>
      <c r="AR155" s="14">
        <v>0</v>
      </c>
      <c r="AS155" s="13">
        <v>0</v>
      </c>
      <c r="AT155" s="14">
        <v>0</v>
      </c>
      <c r="AU155" s="13">
        <v>1088000.1000000001</v>
      </c>
      <c r="AV155" s="14">
        <v>0</v>
      </c>
      <c r="AW155" s="13">
        <v>1263000.2</v>
      </c>
      <c r="AX155" s="14">
        <v>0</v>
      </c>
      <c r="AY155" s="13">
        <v>3740999.9</v>
      </c>
      <c r="AZ155" s="15">
        <v>2351000</v>
      </c>
      <c r="BA155" s="20">
        <v>3799000</v>
      </c>
      <c r="BB155" s="21">
        <v>3741000</v>
      </c>
      <c r="BC155" s="20">
        <v>2589000</v>
      </c>
      <c r="BD155" s="21">
        <v>3799000</v>
      </c>
    </row>
    <row r="156" spans="1:56" ht="12" customHeight="1">
      <c r="A156" s="7" t="s">
        <v>368</v>
      </c>
      <c r="B156" s="8">
        <v>10041601</v>
      </c>
      <c r="C156" s="24" t="s">
        <v>369</v>
      </c>
      <c r="D156" s="19">
        <v>748709000</v>
      </c>
      <c r="E156" s="10">
        <f t="shared" si="8"/>
        <v>20797472.222222224</v>
      </c>
      <c r="F156" s="8" t="s">
        <v>31</v>
      </c>
      <c r="G156" s="8">
        <v>55</v>
      </c>
      <c r="H156" s="35" t="s">
        <v>370</v>
      </c>
      <c r="I156" s="11" t="s">
        <v>371</v>
      </c>
      <c r="J156" s="9">
        <f t="shared" si="10"/>
        <v>44324999.399999999</v>
      </c>
      <c r="K156" s="9">
        <f t="shared" si="11"/>
        <v>250000</v>
      </c>
      <c r="L156" s="12">
        <f t="shared" si="9"/>
        <v>5.6401580007692008E-3</v>
      </c>
      <c r="M156" s="13">
        <v>0</v>
      </c>
      <c r="N156" s="14">
        <v>0</v>
      </c>
      <c r="O156" s="13">
        <v>0</v>
      </c>
      <c r="P156" s="14">
        <v>0</v>
      </c>
      <c r="Q156" s="13">
        <v>0</v>
      </c>
      <c r="R156" s="14">
        <v>0</v>
      </c>
      <c r="S156" s="13">
        <v>0</v>
      </c>
      <c r="T156" s="14">
        <v>0</v>
      </c>
      <c r="U156" s="13">
        <v>0</v>
      </c>
      <c r="V156" s="14">
        <v>0</v>
      </c>
      <c r="W156" s="13">
        <v>0</v>
      </c>
      <c r="X156" s="14">
        <v>0</v>
      </c>
      <c r="Y156" s="13">
        <v>0</v>
      </c>
      <c r="Z156" s="14">
        <v>0</v>
      </c>
      <c r="AA156" s="13">
        <v>0</v>
      </c>
      <c r="AB156" s="14">
        <v>0</v>
      </c>
      <c r="AC156" s="13">
        <v>0</v>
      </c>
      <c r="AD156" s="14">
        <v>0</v>
      </c>
      <c r="AE156" s="13">
        <v>0</v>
      </c>
      <c r="AF156" s="14">
        <v>0</v>
      </c>
      <c r="AG156" s="13">
        <v>0</v>
      </c>
      <c r="AH156" s="14">
        <v>0</v>
      </c>
      <c r="AI156" s="13">
        <v>0</v>
      </c>
      <c r="AJ156" s="14">
        <v>0</v>
      </c>
      <c r="AK156" s="13">
        <v>0</v>
      </c>
      <c r="AL156" s="14">
        <v>0</v>
      </c>
      <c r="AM156" s="13">
        <v>0</v>
      </c>
      <c r="AN156" s="14">
        <v>0</v>
      </c>
      <c r="AO156" s="13">
        <v>0</v>
      </c>
      <c r="AP156" s="14">
        <v>0</v>
      </c>
      <c r="AQ156" s="13">
        <v>0</v>
      </c>
      <c r="AR156" s="14">
        <v>0</v>
      </c>
      <c r="AS156" s="13">
        <v>0</v>
      </c>
      <c r="AT156" s="14">
        <v>0</v>
      </c>
      <c r="AU156" s="13">
        <v>250000.3</v>
      </c>
      <c r="AV156" s="14">
        <v>0</v>
      </c>
      <c r="AW156" s="13">
        <v>13842999.5</v>
      </c>
      <c r="AX156" s="14">
        <v>250000</v>
      </c>
      <c r="AY156" s="13">
        <v>15161999.6</v>
      </c>
      <c r="AZ156" s="15">
        <v>0</v>
      </c>
      <c r="BA156" s="20">
        <v>8378000</v>
      </c>
      <c r="BB156" s="21">
        <v>0</v>
      </c>
      <c r="BC156" s="20">
        <v>6692000</v>
      </c>
      <c r="BD156" s="21">
        <v>0</v>
      </c>
    </row>
    <row r="157" spans="1:56" ht="12" customHeight="1">
      <c r="A157" s="7" t="s">
        <v>372</v>
      </c>
      <c r="B157" s="8">
        <v>10041832</v>
      </c>
      <c r="C157" s="24" t="s">
        <v>373</v>
      </c>
      <c r="D157" s="19">
        <v>526336206</v>
      </c>
      <c r="E157" s="10">
        <f t="shared" si="8"/>
        <v>14620450.166666666</v>
      </c>
      <c r="F157" s="8" t="s">
        <v>31</v>
      </c>
      <c r="G157" s="8">
        <v>50</v>
      </c>
      <c r="H157" s="35" t="s">
        <v>374</v>
      </c>
      <c r="I157" s="11" t="s">
        <v>448</v>
      </c>
      <c r="J157" s="9">
        <f t="shared" si="10"/>
        <v>99695999.599999994</v>
      </c>
      <c r="K157" s="9">
        <f t="shared" si="11"/>
        <v>79952000</v>
      </c>
      <c r="L157" s="12">
        <f t="shared" si="9"/>
        <v>0.80195795539222425</v>
      </c>
      <c r="M157" s="13">
        <v>0</v>
      </c>
      <c r="N157" s="14">
        <v>0</v>
      </c>
      <c r="O157" s="13">
        <v>0</v>
      </c>
      <c r="P157" s="14">
        <v>0</v>
      </c>
      <c r="Q157" s="13">
        <v>0</v>
      </c>
      <c r="R157" s="14">
        <v>0</v>
      </c>
      <c r="S157" s="13">
        <v>0</v>
      </c>
      <c r="T157" s="14">
        <v>0</v>
      </c>
      <c r="U157" s="13">
        <v>0</v>
      </c>
      <c r="V157" s="14">
        <v>0</v>
      </c>
      <c r="W157" s="13">
        <v>0</v>
      </c>
      <c r="X157" s="14">
        <v>0</v>
      </c>
      <c r="Y157" s="13">
        <v>0</v>
      </c>
      <c r="Z157" s="14">
        <v>0</v>
      </c>
      <c r="AA157" s="13">
        <v>0</v>
      </c>
      <c r="AB157" s="14">
        <v>0</v>
      </c>
      <c r="AC157" s="13">
        <v>0</v>
      </c>
      <c r="AD157" s="14">
        <v>0</v>
      </c>
      <c r="AE157" s="13">
        <v>0</v>
      </c>
      <c r="AF157" s="14">
        <v>0</v>
      </c>
      <c r="AG157" s="13">
        <v>0</v>
      </c>
      <c r="AH157" s="14">
        <v>0</v>
      </c>
      <c r="AI157" s="13">
        <v>0</v>
      </c>
      <c r="AJ157" s="14">
        <v>0</v>
      </c>
      <c r="AK157" s="13">
        <v>0</v>
      </c>
      <c r="AL157" s="14">
        <v>0</v>
      </c>
      <c r="AM157" s="13">
        <v>0</v>
      </c>
      <c r="AN157" s="14">
        <v>0</v>
      </c>
      <c r="AO157" s="13">
        <v>0</v>
      </c>
      <c r="AP157" s="14">
        <v>0</v>
      </c>
      <c r="AQ157" s="13">
        <v>0</v>
      </c>
      <c r="AR157" s="14">
        <v>0</v>
      </c>
      <c r="AS157" s="13">
        <v>0</v>
      </c>
      <c r="AT157" s="14">
        <v>0</v>
      </c>
      <c r="AU157" s="13">
        <v>14112000.1</v>
      </c>
      <c r="AV157" s="14">
        <v>0</v>
      </c>
      <c r="AW157" s="13">
        <v>22639999.800000001</v>
      </c>
      <c r="AX157" s="14">
        <v>14112000</v>
      </c>
      <c r="AY157" s="13">
        <v>21199999.699999999</v>
      </c>
      <c r="AZ157" s="15">
        <v>22640000</v>
      </c>
      <c r="BA157" s="20">
        <v>22000000</v>
      </c>
      <c r="BB157" s="21">
        <v>21200000</v>
      </c>
      <c r="BC157" s="20">
        <v>19744000</v>
      </c>
      <c r="BD157" s="21">
        <v>22000000</v>
      </c>
    </row>
    <row r="158" spans="1:56" ht="12" customHeight="1">
      <c r="A158" s="7" t="s">
        <v>375</v>
      </c>
      <c r="B158" s="8">
        <v>10042527</v>
      </c>
      <c r="C158" s="24" t="s">
        <v>524</v>
      </c>
      <c r="D158" s="19">
        <v>514039097</v>
      </c>
      <c r="E158" s="10">
        <f t="shared" si="8"/>
        <v>14278863.805555556</v>
      </c>
      <c r="F158" s="8" t="s">
        <v>31</v>
      </c>
      <c r="G158" s="8">
        <v>40</v>
      </c>
      <c r="H158" s="35" t="s">
        <v>187</v>
      </c>
      <c r="I158" s="11" t="s">
        <v>448</v>
      </c>
      <c r="J158" s="9">
        <f t="shared" si="10"/>
        <v>43456000.800000004</v>
      </c>
      <c r="K158" s="9">
        <f t="shared" si="11"/>
        <v>36816000</v>
      </c>
      <c r="L158" s="12">
        <f t="shared" si="9"/>
        <v>0.84720175170836232</v>
      </c>
      <c r="M158" s="13">
        <v>0</v>
      </c>
      <c r="N158" s="14">
        <v>0</v>
      </c>
      <c r="O158" s="13">
        <v>0</v>
      </c>
      <c r="P158" s="14">
        <v>0</v>
      </c>
      <c r="Q158" s="13">
        <v>0</v>
      </c>
      <c r="R158" s="14">
        <v>0</v>
      </c>
      <c r="S158" s="13">
        <v>0</v>
      </c>
      <c r="T158" s="14">
        <v>0</v>
      </c>
      <c r="U158" s="13">
        <v>0</v>
      </c>
      <c r="V158" s="14">
        <v>0</v>
      </c>
      <c r="W158" s="13">
        <v>0</v>
      </c>
      <c r="X158" s="14">
        <v>0</v>
      </c>
      <c r="Y158" s="13">
        <v>0</v>
      </c>
      <c r="Z158" s="14">
        <v>0</v>
      </c>
      <c r="AA158" s="13">
        <v>0</v>
      </c>
      <c r="AB158" s="14">
        <v>0</v>
      </c>
      <c r="AC158" s="13">
        <v>0</v>
      </c>
      <c r="AD158" s="14">
        <v>0</v>
      </c>
      <c r="AE158" s="13">
        <v>0</v>
      </c>
      <c r="AF158" s="14">
        <v>0</v>
      </c>
      <c r="AG158" s="13">
        <v>0</v>
      </c>
      <c r="AH158" s="14">
        <v>0</v>
      </c>
      <c r="AI158" s="13">
        <v>0</v>
      </c>
      <c r="AJ158" s="14">
        <v>0</v>
      </c>
      <c r="AK158" s="13">
        <v>0</v>
      </c>
      <c r="AL158" s="14">
        <v>0</v>
      </c>
      <c r="AM158" s="13">
        <v>0</v>
      </c>
      <c r="AN158" s="14">
        <v>0</v>
      </c>
      <c r="AO158" s="13">
        <v>0</v>
      </c>
      <c r="AP158" s="14">
        <v>0</v>
      </c>
      <c r="AQ158" s="13">
        <v>0</v>
      </c>
      <c r="AR158" s="14">
        <v>0</v>
      </c>
      <c r="AS158" s="13">
        <v>0</v>
      </c>
      <c r="AT158" s="14">
        <v>0</v>
      </c>
      <c r="AU158" s="13">
        <v>12624000.4</v>
      </c>
      <c r="AV158" s="14">
        <v>0</v>
      </c>
      <c r="AW158" s="13">
        <v>9600000.3000000007</v>
      </c>
      <c r="AX158" s="14">
        <v>12624000</v>
      </c>
      <c r="AY158" s="13">
        <v>7930000.0999999996</v>
      </c>
      <c r="AZ158" s="15">
        <v>9600000</v>
      </c>
      <c r="BA158" s="20">
        <v>6662000</v>
      </c>
      <c r="BB158" s="21">
        <v>7930000</v>
      </c>
      <c r="BC158" s="20">
        <v>6640000</v>
      </c>
      <c r="BD158" s="21">
        <v>6662000</v>
      </c>
    </row>
    <row r="159" spans="1:56" ht="12" customHeight="1">
      <c r="A159" s="7" t="s">
        <v>376</v>
      </c>
      <c r="B159" s="8">
        <v>10042934</v>
      </c>
      <c r="C159" s="24" t="s">
        <v>377</v>
      </c>
      <c r="D159" s="19">
        <v>261797614</v>
      </c>
      <c r="E159" s="10">
        <f t="shared" si="8"/>
        <v>7272155.944444444</v>
      </c>
      <c r="F159" s="8" t="s">
        <v>31</v>
      </c>
      <c r="G159" s="8">
        <v>30</v>
      </c>
      <c r="H159" s="35" t="s">
        <v>378</v>
      </c>
      <c r="I159" s="11" t="s">
        <v>495</v>
      </c>
      <c r="J159" s="9">
        <f t="shared" si="10"/>
        <v>3871999.7</v>
      </c>
      <c r="K159" s="9">
        <f t="shared" si="11"/>
        <v>2825000</v>
      </c>
      <c r="L159" s="12">
        <f t="shared" si="9"/>
        <v>0.72959716396672236</v>
      </c>
      <c r="M159" s="13">
        <v>0</v>
      </c>
      <c r="N159" s="14">
        <v>0</v>
      </c>
      <c r="O159" s="13">
        <v>0</v>
      </c>
      <c r="P159" s="14">
        <v>0</v>
      </c>
      <c r="Q159" s="13">
        <v>0</v>
      </c>
      <c r="R159" s="14">
        <v>0</v>
      </c>
      <c r="S159" s="13">
        <v>0</v>
      </c>
      <c r="T159" s="14">
        <v>0</v>
      </c>
      <c r="U159" s="13">
        <v>0</v>
      </c>
      <c r="V159" s="14">
        <v>0</v>
      </c>
      <c r="W159" s="13">
        <v>0</v>
      </c>
      <c r="X159" s="14">
        <v>0</v>
      </c>
      <c r="Y159" s="13">
        <v>0</v>
      </c>
      <c r="Z159" s="14">
        <v>0</v>
      </c>
      <c r="AA159" s="13">
        <v>0</v>
      </c>
      <c r="AB159" s="14">
        <v>0</v>
      </c>
      <c r="AC159" s="13">
        <v>0</v>
      </c>
      <c r="AD159" s="14">
        <v>0</v>
      </c>
      <c r="AE159" s="13">
        <v>0</v>
      </c>
      <c r="AF159" s="14">
        <v>0</v>
      </c>
      <c r="AG159" s="13">
        <v>0</v>
      </c>
      <c r="AH159" s="14">
        <v>0</v>
      </c>
      <c r="AI159" s="13">
        <v>0</v>
      </c>
      <c r="AJ159" s="14">
        <v>0</v>
      </c>
      <c r="AK159" s="13">
        <v>0</v>
      </c>
      <c r="AL159" s="14">
        <v>0</v>
      </c>
      <c r="AM159" s="13">
        <v>0</v>
      </c>
      <c r="AN159" s="14">
        <v>0</v>
      </c>
      <c r="AO159" s="13">
        <v>0</v>
      </c>
      <c r="AP159" s="14">
        <v>0</v>
      </c>
      <c r="AQ159" s="13">
        <v>0</v>
      </c>
      <c r="AR159" s="14">
        <v>0</v>
      </c>
      <c r="AS159" s="13">
        <v>0</v>
      </c>
      <c r="AT159" s="14">
        <v>0</v>
      </c>
      <c r="AU159" s="13">
        <v>134999.70000000001</v>
      </c>
      <c r="AV159" s="14">
        <v>0</v>
      </c>
      <c r="AW159" s="13">
        <v>435000.5</v>
      </c>
      <c r="AX159" s="14">
        <v>135000</v>
      </c>
      <c r="AY159" s="13">
        <v>1071999.5</v>
      </c>
      <c r="AZ159" s="15">
        <v>435000</v>
      </c>
      <c r="BA159" s="20">
        <v>1183000</v>
      </c>
      <c r="BB159" s="21">
        <v>1072000</v>
      </c>
      <c r="BC159" s="20">
        <v>1047000</v>
      </c>
      <c r="BD159" s="21">
        <v>1183000</v>
      </c>
    </row>
    <row r="160" spans="1:56" ht="12" customHeight="1">
      <c r="A160" s="7" t="s">
        <v>379</v>
      </c>
      <c r="B160" s="8">
        <v>10046609</v>
      </c>
      <c r="C160" s="24" t="s">
        <v>380</v>
      </c>
      <c r="D160" s="19">
        <v>406783100</v>
      </c>
      <c r="E160" s="10">
        <f t="shared" si="8"/>
        <v>11299530.555555556</v>
      </c>
      <c r="F160" s="8" t="s">
        <v>31</v>
      </c>
      <c r="G160" s="8">
        <v>40</v>
      </c>
      <c r="H160" s="35" t="s">
        <v>362</v>
      </c>
      <c r="I160" s="11" t="s">
        <v>448</v>
      </c>
      <c r="J160" s="9">
        <f t="shared" si="10"/>
        <v>51999998.5</v>
      </c>
      <c r="K160" s="9">
        <f t="shared" si="11"/>
        <v>41600000</v>
      </c>
      <c r="L160" s="12">
        <f t="shared" si="9"/>
        <v>0.80000002307692375</v>
      </c>
      <c r="M160" s="13">
        <v>0</v>
      </c>
      <c r="N160" s="14">
        <v>0</v>
      </c>
      <c r="O160" s="13">
        <v>0</v>
      </c>
      <c r="P160" s="14">
        <v>0</v>
      </c>
      <c r="Q160" s="13">
        <v>0</v>
      </c>
      <c r="R160" s="14">
        <v>0</v>
      </c>
      <c r="S160" s="13">
        <v>0</v>
      </c>
      <c r="T160" s="14">
        <v>0</v>
      </c>
      <c r="U160" s="13">
        <v>0</v>
      </c>
      <c r="V160" s="14">
        <v>0</v>
      </c>
      <c r="W160" s="13">
        <v>0</v>
      </c>
      <c r="X160" s="14">
        <v>0</v>
      </c>
      <c r="Y160" s="13">
        <v>0</v>
      </c>
      <c r="Z160" s="14">
        <v>0</v>
      </c>
      <c r="AA160" s="13">
        <v>0</v>
      </c>
      <c r="AB160" s="14">
        <v>0</v>
      </c>
      <c r="AC160" s="13">
        <v>0</v>
      </c>
      <c r="AD160" s="14">
        <v>0</v>
      </c>
      <c r="AE160" s="13">
        <v>0</v>
      </c>
      <c r="AF160" s="14">
        <v>0</v>
      </c>
      <c r="AG160" s="13">
        <v>0</v>
      </c>
      <c r="AH160" s="14">
        <v>0</v>
      </c>
      <c r="AI160" s="13">
        <v>0</v>
      </c>
      <c r="AJ160" s="14">
        <v>0</v>
      </c>
      <c r="AK160" s="13">
        <v>0</v>
      </c>
      <c r="AL160" s="14">
        <v>0</v>
      </c>
      <c r="AM160" s="13">
        <v>0</v>
      </c>
      <c r="AN160" s="14">
        <v>0</v>
      </c>
      <c r="AO160" s="13">
        <v>0</v>
      </c>
      <c r="AP160" s="14">
        <v>0</v>
      </c>
      <c r="AQ160" s="13">
        <v>0</v>
      </c>
      <c r="AR160" s="14">
        <v>0</v>
      </c>
      <c r="AS160" s="13">
        <v>0</v>
      </c>
      <c r="AT160" s="14">
        <v>0</v>
      </c>
      <c r="AU160" s="13">
        <v>10399999.5</v>
      </c>
      <c r="AV160" s="14">
        <v>0</v>
      </c>
      <c r="AW160" s="13">
        <v>10399999.5</v>
      </c>
      <c r="AX160" s="14">
        <v>10400000</v>
      </c>
      <c r="AY160" s="13">
        <v>10399999.5</v>
      </c>
      <c r="AZ160" s="15">
        <v>10400000</v>
      </c>
      <c r="BA160" s="20">
        <v>10400000</v>
      </c>
      <c r="BB160" s="21">
        <v>10400000</v>
      </c>
      <c r="BC160" s="20">
        <v>10400000</v>
      </c>
      <c r="BD160" s="21">
        <v>10400000</v>
      </c>
    </row>
    <row r="161" spans="1:56" ht="12" customHeight="1">
      <c r="A161" s="7" t="s">
        <v>381</v>
      </c>
      <c r="B161" s="8">
        <v>10050868</v>
      </c>
      <c r="C161" s="24" t="s">
        <v>382</v>
      </c>
      <c r="D161" s="19">
        <v>337457952</v>
      </c>
      <c r="E161" s="10">
        <f t="shared" si="8"/>
        <v>9373832</v>
      </c>
      <c r="F161" s="8" t="s">
        <v>31</v>
      </c>
      <c r="G161" s="8">
        <v>30</v>
      </c>
      <c r="H161" s="35" t="s">
        <v>383</v>
      </c>
      <c r="I161" s="11" t="s">
        <v>448</v>
      </c>
      <c r="J161" s="9">
        <f t="shared" si="10"/>
        <v>34421999.799999997</v>
      </c>
      <c r="K161" s="9">
        <f t="shared" si="11"/>
        <v>24230000</v>
      </c>
      <c r="L161" s="12">
        <f t="shared" si="9"/>
        <v>0.70391029402074434</v>
      </c>
      <c r="M161" s="13">
        <v>0</v>
      </c>
      <c r="N161" s="14">
        <v>0</v>
      </c>
      <c r="O161" s="13">
        <v>0</v>
      </c>
      <c r="P161" s="14">
        <v>0</v>
      </c>
      <c r="Q161" s="13">
        <v>0</v>
      </c>
      <c r="R161" s="14">
        <v>0</v>
      </c>
      <c r="S161" s="13">
        <v>0</v>
      </c>
      <c r="T161" s="14">
        <v>0</v>
      </c>
      <c r="U161" s="13">
        <v>0</v>
      </c>
      <c r="V161" s="14">
        <v>0</v>
      </c>
      <c r="W161" s="13">
        <v>0</v>
      </c>
      <c r="X161" s="14">
        <v>0</v>
      </c>
      <c r="Y161" s="13">
        <v>0</v>
      </c>
      <c r="Z161" s="14">
        <v>0</v>
      </c>
      <c r="AA161" s="13">
        <v>0</v>
      </c>
      <c r="AB161" s="14">
        <v>0</v>
      </c>
      <c r="AC161" s="13">
        <v>0</v>
      </c>
      <c r="AD161" s="14">
        <v>0</v>
      </c>
      <c r="AE161" s="13">
        <v>0</v>
      </c>
      <c r="AF161" s="14">
        <v>0</v>
      </c>
      <c r="AG161" s="13">
        <v>0</v>
      </c>
      <c r="AH161" s="14">
        <v>0</v>
      </c>
      <c r="AI161" s="13">
        <v>0</v>
      </c>
      <c r="AJ161" s="14">
        <v>0</v>
      </c>
      <c r="AK161" s="13">
        <v>0</v>
      </c>
      <c r="AL161" s="14">
        <v>0</v>
      </c>
      <c r="AM161" s="13">
        <v>0</v>
      </c>
      <c r="AN161" s="14">
        <v>0</v>
      </c>
      <c r="AO161" s="13">
        <v>0</v>
      </c>
      <c r="AP161" s="14">
        <v>0</v>
      </c>
      <c r="AQ161" s="13">
        <v>0</v>
      </c>
      <c r="AR161" s="14">
        <v>0</v>
      </c>
      <c r="AS161" s="13">
        <v>0</v>
      </c>
      <c r="AT161" s="14">
        <v>0</v>
      </c>
      <c r="AU161" s="13">
        <v>3501999.6</v>
      </c>
      <c r="AV161" s="14">
        <v>0</v>
      </c>
      <c r="AW161" s="13">
        <v>6403999.7999999998</v>
      </c>
      <c r="AX161" s="14">
        <v>0</v>
      </c>
      <c r="AY161" s="13">
        <v>6244000.4000000004</v>
      </c>
      <c r="AZ161" s="15">
        <v>9906000</v>
      </c>
      <c r="BA161" s="20">
        <v>8080000</v>
      </c>
      <c r="BB161" s="21">
        <v>6244000</v>
      </c>
      <c r="BC161" s="20">
        <v>10192000</v>
      </c>
      <c r="BD161" s="21">
        <v>8080000</v>
      </c>
    </row>
    <row r="162" spans="1:56" ht="12" customHeight="1">
      <c r="A162" s="7" t="s">
        <v>384</v>
      </c>
      <c r="B162" s="8">
        <v>10084743</v>
      </c>
      <c r="C162" s="24" t="s">
        <v>385</v>
      </c>
      <c r="D162" s="19">
        <v>334023532</v>
      </c>
      <c r="E162" s="10">
        <f t="shared" si="8"/>
        <v>9278431.444444444</v>
      </c>
      <c r="F162" s="8" t="s">
        <v>31</v>
      </c>
      <c r="G162" s="8">
        <v>30</v>
      </c>
      <c r="H162" s="35">
        <v>46036</v>
      </c>
      <c r="I162" s="11" t="s">
        <v>448</v>
      </c>
      <c r="J162" s="9">
        <f t="shared" si="10"/>
        <v>58260999.200000003</v>
      </c>
      <c r="K162" s="9">
        <f t="shared" si="11"/>
        <v>47762000</v>
      </c>
      <c r="L162" s="12">
        <f t="shared" si="9"/>
        <v>0.81979369828590232</v>
      </c>
      <c r="M162" s="13">
        <v>0</v>
      </c>
      <c r="N162" s="14">
        <v>0</v>
      </c>
      <c r="O162" s="13">
        <v>0</v>
      </c>
      <c r="P162" s="14">
        <v>0</v>
      </c>
      <c r="Q162" s="13">
        <v>0</v>
      </c>
      <c r="R162" s="14">
        <v>0</v>
      </c>
      <c r="S162" s="13">
        <v>0</v>
      </c>
      <c r="T162" s="14">
        <v>0</v>
      </c>
      <c r="U162" s="13">
        <v>0</v>
      </c>
      <c r="V162" s="14">
        <v>0</v>
      </c>
      <c r="W162" s="13">
        <v>0</v>
      </c>
      <c r="X162" s="14">
        <v>0</v>
      </c>
      <c r="Y162" s="13">
        <v>0</v>
      </c>
      <c r="Z162" s="14">
        <v>0</v>
      </c>
      <c r="AA162" s="13">
        <v>0</v>
      </c>
      <c r="AB162" s="14">
        <v>0</v>
      </c>
      <c r="AC162" s="13">
        <v>0</v>
      </c>
      <c r="AD162" s="14">
        <v>0</v>
      </c>
      <c r="AE162" s="13">
        <v>0</v>
      </c>
      <c r="AF162" s="14">
        <v>0</v>
      </c>
      <c r="AG162" s="13">
        <v>0</v>
      </c>
      <c r="AH162" s="14">
        <v>0</v>
      </c>
      <c r="AI162" s="13">
        <v>0</v>
      </c>
      <c r="AJ162" s="14">
        <v>0</v>
      </c>
      <c r="AK162" s="13">
        <v>0</v>
      </c>
      <c r="AL162" s="14">
        <v>0</v>
      </c>
      <c r="AM162" s="13">
        <v>0</v>
      </c>
      <c r="AN162" s="14">
        <v>0</v>
      </c>
      <c r="AO162" s="13">
        <v>0</v>
      </c>
      <c r="AP162" s="14">
        <v>0</v>
      </c>
      <c r="AQ162" s="13">
        <v>0</v>
      </c>
      <c r="AR162" s="14">
        <v>0</v>
      </c>
      <c r="AS162" s="13">
        <v>0</v>
      </c>
      <c r="AT162" s="14">
        <v>0</v>
      </c>
      <c r="AU162" s="13">
        <v>13013000</v>
      </c>
      <c r="AV162" s="14">
        <v>0</v>
      </c>
      <c r="AW162" s="13">
        <v>11486999.699999999</v>
      </c>
      <c r="AX162" s="14">
        <v>13013000</v>
      </c>
      <c r="AY162" s="13">
        <v>10982999.5</v>
      </c>
      <c r="AZ162" s="15">
        <v>11487000</v>
      </c>
      <c r="BA162" s="20">
        <v>12279000</v>
      </c>
      <c r="BB162" s="21">
        <v>10983000</v>
      </c>
      <c r="BC162" s="20">
        <v>10499000</v>
      </c>
      <c r="BD162" s="21">
        <v>12279000</v>
      </c>
    </row>
    <row r="163" spans="1:56" ht="12" customHeight="1">
      <c r="A163" s="7" t="s">
        <v>386</v>
      </c>
      <c r="B163" s="8">
        <v>10087161</v>
      </c>
      <c r="C163" s="24" t="s">
        <v>387</v>
      </c>
      <c r="D163" s="19">
        <v>239135897</v>
      </c>
      <c r="E163" s="10">
        <f t="shared" si="8"/>
        <v>6642663.805555556</v>
      </c>
      <c r="F163" s="8" t="s">
        <v>31</v>
      </c>
      <c r="G163" s="8">
        <v>15</v>
      </c>
      <c r="H163" s="35" t="s">
        <v>314</v>
      </c>
      <c r="I163" s="11" t="s">
        <v>448</v>
      </c>
      <c r="J163" s="9">
        <f t="shared" si="10"/>
        <v>9461000.6999999993</v>
      </c>
      <c r="K163" s="9">
        <f t="shared" si="11"/>
        <v>6907000</v>
      </c>
      <c r="L163" s="12">
        <f t="shared" si="9"/>
        <v>0.73004962360905445</v>
      </c>
      <c r="M163" s="13">
        <v>0</v>
      </c>
      <c r="N163" s="14">
        <v>0</v>
      </c>
      <c r="O163" s="13">
        <v>0</v>
      </c>
      <c r="P163" s="14">
        <v>0</v>
      </c>
      <c r="Q163" s="13">
        <v>0</v>
      </c>
      <c r="R163" s="14">
        <v>0</v>
      </c>
      <c r="S163" s="13">
        <v>0</v>
      </c>
      <c r="T163" s="14">
        <v>0</v>
      </c>
      <c r="U163" s="13">
        <v>0</v>
      </c>
      <c r="V163" s="14">
        <v>0</v>
      </c>
      <c r="W163" s="13">
        <v>0</v>
      </c>
      <c r="X163" s="14">
        <v>0</v>
      </c>
      <c r="Y163" s="13">
        <v>0</v>
      </c>
      <c r="Z163" s="14">
        <v>0</v>
      </c>
      <c r="AA163" s="13">
        <v>0</v>
      </c>
      <c r="AB163" s="14">
        <v>0</v>
      </c>
      <c r="AC163" s="13">
        <v>0</v>
      </c>
      <c r="AD163" s="14">
        <v>0</v>
      </c>
      <c r="AE163" s="13">
        <v>0</v>
      </c>
      <c r="AF163" s="14">
        <v>0</v>
      </c>
      <c r="AG163" s="13">
        <v>0</v>
      </c>
      <c r="AH163" s="14">
        <v>0</v>
      </c>
      <c r="AI163" s="13">
        <v>0</v>
      </c>
      <c r="AJ163" s="14">
        <v>0</v>
      </c>
      <c r="AK163" s="13">
        <v>0</v>
      </c>
      <c r="AL163" s="14">
        <v>0</v>
      </c>
      <c r="AM163" s="13">
        <v>0</v>
      </c>
      <c r="AN163" s="14">
        <v>0</v>
      </c>
      <c r="AO163" s="13">
        <v>0</v>
      </c>
      <c r="AP163" s="14">
        <v>0</v>
      </c>
      <c r="AQ163" s="13">
        <v>0</v>
      </c>
      <c r="AR163" s="14">
        <v>0</v>
      </c>
      <c r="AS163" s="13">
        <v>0</v>
      </c>
      <c r="AT163" s="14">
        <v>0</v>
      </c>
      <c r="AU163" s="13">
        <v>1003999.7</v>
      </c>
      <c r="AV163" s="14">
        <v>0</v>
      </c>
      <c r="AW163" s="13">
        <v>1469000.5</v>
      </c>
      <c r="AX163" s="14">
        <v>1004000</v>
      </c>
      <c r="AY163" s="13">
        <v>1865000.5</v>
      </c>
      <c r="AZ163" s="15">
        <v>1469000</v>
      </c>
      <c r="BA163" s="20">
        <v>2569000</v>
      </c>
      <c r="BB163" s="21">
        <v>0</v>
      </c>
      <c r="BC163" s="20">
        <v>2554000</v>
      </c>
      <c r="BD163" s="21">
        <v>4434000</v>
      </c>
    </row>
    <row r="164" spans="1:56" ht="12" customHeight="1">
      <c r="A164" s="7" t="s">
        <v>388</v>
      </c>
      <c r="B164" s="8">
        <v>10111228</v>
      </c>
      <c r="C164" s="24" t="s">
        <v>389</v>
      </c>
      <c r="D164" s="19">
        <v>839239544</v>
      </c>
      <c r="E164" s="10">
        <f t="shared" si="8"/>
        <v>23312209.555555556</v>
      </c>
      <c r="F164" s="8" t="s">
        <v>31</v>
      </c>
      <c r="G164" s="8">
        <v>90</v>
      </c>
      <c r="H164" s="35" t="s">
        <v>390</v>
      </c>
      <c r="I164" s="11" t="s">
        <v>448</v>
      </c>
      <c r="J164" s="9">
        <f t="shared" si="10"/>
        <v>79266000.599999994</v>
      </c>
      <c r="K164" s="9">
        <f t="shared" si="11"/>
        <v>57173000</v>
      </c>
      <c r="L164" s="12">
        <f t="shared" si="9"/>
        <v>0.72128024079973585</v>
      </c>
      <c r="M164" s="13">
        <v>0</v>
      </c>
      <c r="N164" s="14">
        <v>0</v>
      </c>
      <c r="O164" s="13">
        <v>0</v>
      </c>
      <c r="P164" s="14">
        <v>0</v>
      </c>
      <c r="Q164" s="13">
        <v>0</v>
      </c>
      <c r="R164" s="14">
        <v>0</v>
      </c>
      <c r="S164" s="13">
        <v>0</v>
      </c>
      <c r="T164" s="14">
        <v>0</v>
      </c>
      <c r="U164" s="13">
        <v>0</v>
      </c>
      <c r="V164" s="14">
        <v>0</v>
      </c>
      <c r="W164" s="13">
        <v>0</v>
      </c>
      <c r="X164" s="14">
        <v>0</v>
      </c>
      <c r="Y164" s="13">
        <v>0</v>
      </c>
      <c r="Z164" s="14">
        <v>0</v>
      </c>
      <c r="AA164" s="13">
        <v>0</v>
      </c>
      <c r="AB164" s="14">
        <v>0</v>
      </c>
      <c r="AC164" s="13">
        <v>0</v>
      </c>
      <c r="AD164" s="14">
        <v>0</v>
      </c>
      <c r="AE164" s="13">
        <v>0</v>
      </c>
      <c r="AF164" s="14">
        <v>0</v>
      </c>
      <c r="AG164" s="13">
        <v>0</v>
      </c>
      <c r="AH164" s="14">
        <v>0</v>
      </c>
      <c r="AI164" s="13">
        <v>0</v>
      </c>
      <c r="AJ164" s="14">
        <v>0</v>
      </c>
      <c r="AK164" s="13">
        <v>0</v>
      </c>
      <c r="AL164" s="14">
        <v>0</v>
      </c>
      <c r="AM164" s="13">
        <v>0</v>
      </c>
      <c r="AN164" s="14">
        <v>0</v>
      </c>
      <c r="AO164" s="13">
        <v>0</v>
      </c>
      <c r="AP164" s="14">
        <v>0</v>
      </c>
      <c r="AQ164" s="13">
        <v>0</v>
      </c>
      <c r="AR164" s="14">
        <v>0</v>
      </c>
      <c r="AS164" s="13">
        <v>0</v>
      </c>
      <c r="AT164" s="14">
        <v>0</v>
      </c>
      <c r="AU164" s="13">
        <v>4560000.5</v>
      </c>
      <c r="AV164" s="14">
        <v>0</v>
      </c>
      <c r="AW164" s="13">
        <v>16640000.300000001</v>
      </c>
      <c r="AX164" s="14">
        <v>0</v>
      </c>
      <c r="AY164" s="13">
        <v>19922999.800000001</v>
      </c>
      <c r="AZ164" s="15">
        <v>21200000</v>
      </c>
      <c r="BA164" s="20">
        <v>16050000</v>
      </c>
      <c r="BB164" s="21">
        <v>19923000</v>
      </c>
      <c r="BC164" s="20">
        <v>22093000</v>
      </c>
      <c r="BD164" s="21">
        <v>16050000</v>
      </c>
    </row>
    <row r="165" spans="1:56" ht="12" customHeight="1">
      <c r="A165" s="7" t="s">
        <v>391</v>
      </c>
      <c r="B165" s="8">
        <v>10032148</v>
      </c>
      <c r="C165" s="24" t="s">
        <v>392</v>
      </c>
      <c r="D165" s="19">
        <v>452221777</v>
      </c>
      <c r="E165" s="10">
        <f t="shared" si="8"/>
        <v>12561716.027777778</v>
      </c>
      <c r="F165" s="8" t="s">
        <v>31</v>
      </c>
      <c r="G165" s="8">
        <v>50</v>
      </c>
      <c r="H165" s="35" t="s">
        <v>393</v>
      </c>
      <c r="I165" s="11" t="s">
        <v>448</v>
      </c>
      <c r="J165" s="9">
        <f t="shared" si="10"/>
        <v>37115000.700000003</v>
      </c>
      <c r="K165" s="9">
        <f t="shared" si="11"/>
        <v>19331000</v>
      </c>
      <c r="L165" s="12">
        <f t="shared" si="9"/>
        <v>0.52084062064964476</v>
      </c>
      <c r="M165" s="13">
        <v>0</v>
      </c>
      <c r="N165" s="14">
        <v>0</v>
      </c>
      <c r="O165" s="13">
        <v>0</v>
      </c>
      <c r="P165" s="14">
        <v>0</v>
      </c>
      <c r="Q165" s="13">
        <v>0</v>
      </c>
      <c r="R165" s="14">
        <v>0</v>
      </c>
      <c r="S165" s="13">
        <v>0</v>
      </c>
      <c r="T165" s="14">
        <v>0</v>
      </c>
      <c r="U165" s="13">
        <v>0</v>
      </c>
      <c r="V165" s="14">
        <v>0</v>
      </c>
      <c r="W165" s="13">
        <v>0</v>
      </c>
      <c r="X165" s="14">
        <v>0</v>
      </c>
      <c r="Y165" s="13">
        <v>0</v>
      </c>
      <c r="Z165" s="14">
        <v>0</v>
      </c>
      <c r="AA165" s="13">
        <v>0</v>
      </c>
      <c r="AB165" s="14">
        <v>0</v>
      </c>
      <c r="AC165" s="13">
        <v>0</v>
      </c>
      <c r="AD165" s="14">
        <v>0</v>
      </c>
      <c r="AE165" s="13">
        <v>0</v>
      </c>
      <c r="AF165" s="14">
        <v>0</v>
      </c>
      <c r="AG165" s="13">
        <v>0</v>
      </c>
      <c r="AH165" s="14">
        <v>0</v>
      </c>
      <c r="AI165" s="13">
        <v>0</v>
      </c>
      <c r="AJ165" s="14">
        <v>0</v>
      </c>
      <c r="AK165" s="13">
        <v>0</v>
      </c>
      <c r="AL165" s="14">
        <v>0</v>
      </c>
      <c r="AM165" s="13">
        <v>0</v>
      </c>
      <c r="AN165" s="14">
        <v>0</v>
      </c>
      <c r="AO165" s="13">
        <v>0</v>
      </c>
      <c r="AP165" s="14">
        <v>0</v>
      </c>
      <c r="AQ165" s="13">
        <v>0</v>
      </c>
      <c r="AR165" s="14">
        <v>0</v>
      </c>
      <c r="AS165" s="13">
        <v>0</v>
      </c>
      <c r="AT165" s="14">
        <v>0</v>
      </c>
      <c r="AU165" s="13">
        <v>0</v>
      </c>
      <c r="AV165" s="14">
        <v>0</v>
      </c>
      <c r="AW165" s="13">
        <v>7189000.5</v>
      </c>
      <c r="AX165" s="14">
        <v>0</v>
      </c>
      <c r="AY165" s="13">
        <v>12142000.199999999</v>
      </c>
      <c r="AZ165" s="15">
        <v>0</v>
      </c>
      <c r="BA165" s="20">
        <v>9542000</v>
      </c>
      <c r="BB165" s="21">
        <v>7189000</v>
      </c>
      <c r="BC165" s="20">
        <v>8242000</v>
      </c>
      <c r="BD165" s="21">
        <v>12142000</v>
      </c>
    </row>
    <row r="166" spans="1:56" ht="12" customHeight="1">
      <c r="A166" s="7" t="s">
        <v>394</v>
      </c>
      <c r="B166" s="8">
        <v>10033027</v>
      </c>
      <c r="C166" s="24" t="s">
        <v>395</v>
      </c>
      <c r="D166" s="19">
        <v>395959520</v>
      </c>
      <c r="E166" s="10">
        <f t="shared" si="8"/>
        <v>10998875.555555556</v>
      </c>
      <c r="F166" s="8" t="s">
        <v>31</v>
      </c>
      <c r="G166" s="8">
        <v>45</v>
      </c>
      <c r="H166" s="35">
        <v>46021</v>
      </c>
      <c r="I166" s="11" t="s">
        <v>448</v>
      </c>
      <c r="J166" s="9">
        <f t="shared" si="10"/>
        <v>27784000.100000001</v>
      </c>
      <c r="K166" s="9">
        <f t="shared" si="11"/>
        <v>0</v>
      </c>
      <c r="L166" s="12">
        <f t="shared" si="9"/>
        <v>0</v>
      </c>
      <c r="M166" s="13">
        <v>0</v>
      </c>
      <c r="N166" s="14">
        <v>0</v>
      </c>
      <c r="O166" s="13">
        <v>0</v>
      </c>
      <c r="P166" s="14">
        <v>0</v>
      </c>
      <c r="Q166" s="13">
        <v>0</v>
      </c>
      <c r="R166" s="14">
        <v>0</v>
      </c>
      <c r="S166" s="13">
        <v>0</v>
      </c>
      <c r="T166" s="14">
        <v>0</v>
      </c>
      <c r="U166" s="13">
        <v>0</v>
      </c>
      <c r="V166" s="14">
        <v>0</v>
      </c>
      <c r="W166" s="13">
        <v>0</v>
      </c>
      <c r="X166" s="14">
        <v>0</v>
      </c>
      <c r="Y166" s="13">
        <v>0</v>
      </c>
      <c r="Z166" s="14">
        <v>0</v>
      </c>
      <c r="AA166" s="13">
        <v>0</v>
      </c>
      <c r="AB166" s="14">
        <v>0</v>
      </c>
      <c r="AC166" s="13">
        <v>0</v>
      </c>
      <c r="AD166" s="14">
        <v>0</v>
      </c>
      <c r="AE166" s="13">
        <v>0</v>
      </c>
      <c r="AF166" s="14">
        <v>0</v>
      </c>
      <c r="AG166" s="13">
        <v>0</v>
      </c>
      <c r="AH166" s="14">
        <v>0</v>
      </c>
      <c r="AI166" s="13">
        <v>0</v>
      </c>
      <c r="AJ166" s="14">
        <v>0</v>
      </c>
      <c r="AK166" s="13">
        <v>0</v>
      </c>
      <c r="AL166" s="14">
        <v>0</v>
      </c>
      <c r="AM166" s="13">
        <v>0</v>
      </c>
      <c r="AN166" s="14">
        <v>0</v>
      </c>
      <c r="AO166" s="13">
        <v>0</v>
      </c>
      <c r="AP166" s="14">
        <v>0</v>
      </c>
      <c r="AQ166" s="13">
        <v>0</v>
      </c>
      <c r="AR166" s="14">
        <v>0</v>
      </c>
      <c r="AS166" s="13">
        <v>0</v>
      </c>
      <c r="AT166" s="14">
        <v>0</v>
      </c>
      <c r="AU166" s="13">
        <v>0</v>
      </c>
      <c r="AV166" s="14">
        <v>0</v>
      </c>
      <c r="AW166" s="13">
        <v>3616000.3</v>
      </c>
      <c r="AX166" s="14">
        <v>0</v>
      </c>
      <c r="AY166" s="13">
        <v>3862999.8</v>
      </c>
      <c r="AZ166" s="15">
        <v>0</v>
      </c>
      <c r="BA166" s="20">
        <v>10543000</v>
      </c>
      <c r="BB166" s="21">
        <v>0</v>
      </c>
      <c r="BC166" s="20">
        <v>9762000</v>
      </c>
      <c r="BD166" s="21">
        <v>0</v>
      </c>
    </row>
    <row r="167" spans="1:56" ht="12" customHeight="1">
      <c r="A167" s="7" t="s">
        <v>396</v>
      </c>
      <c r="B167" s="8">
        <v>10034681</v>
      </c>
      <c r="C167" s="43" t="s">
        <v>531</v>
      </c>
      <c r="D167" s="19">
        <v>1068606726</v>
      </c>
      <c r="E167" s="10">
        <f t="shared" si="8"/>
        <v>29683520.166666668</v>
      </c>
      <c r="F167" s="8" t="s">
        <v>31</v>
      </c>
      <c r="G167" s="8">
        <v>124</v>
      </c>
      <c r="H167" s="35">
        <v>46051</v>
      </c>
      <c r="I167" s="11" t="s">
        <v>448</v>
      </c>
      <c r="J167" s="9">
        <f t="shared" si="10"/>
        <v>33530999.799999997</v>
      </c>
      <c r="K167" s="9">
        <f t="shared" si="11"/>
        <v>0</v>
      </c>
      <c r="L167" s="12">
        <f t="shared" si="9"/>
        <v>0</v>
      </c>
      <c r="M167" s="13">
        <v>0</v>
      </c>
      <c r="N167" s="14">
        <v>0</v>
      </c>
      <c r="O167" s="13">
        <v>0</v>
      </c>
      <c r="P167" s="14">
        <v>0</v>
      </c>
      <c r="Q167" s="13">
        <v>0</v>
      </c>
      <c r="R167" s="14">
        <v>0</v>
      </c>
      <c r="S167" s="13">
        <v>0</v>
      </c>
      <c r="T167" s="14">
        <v>0</v>
      </c>
      <c r="U167" s="13">
        <v>0</v>
      </c>
      <c r="V167" s="14">
        <v>0</v>
      </c>
      <c r="W167" s="13">
        <v>0</v>
      </c>
      <c r="X167" s="14">
        <v>0</v>
      </c>
      <c r="Y167" s="13">
        <v>0</v>
      </c>
      <c r="Z167" s="14">
        <v>0</v>
      </c>
      <c r="AA167" s="13">
        <v>0</v>
      </c>
      <c r="AB167" s="14">
        <v>0</v>
      </c>
      <c r="AC167" s="13">
        <v>0</v>
      </c>
      <c r="AD167" s="14">
        <v>0</v>
      </c>
      <c r="AE167" s="13">
        <v>0</v>
      </c>
      <c r="AF167" s="14">
        <v>0</v>
      </c>
      <c r="AG167" s="13">
        <v>0</v>
      </c>
      <c r="AH167" s="14">
        <v>0</v>
      </c>
      <c r="AI167" s="13">
        <v>0</v>
      </c>
      <c r="AJ167" s="14">
        <v>0</v>
      </c>
      <c r="AK167" s="13">
        <v>0</v>
      </c>
      <c r="AL167" s="14">
        <v>0</v>
      </c>
      <c r="AM167" s="13">
        <v>0</v>
      </c>
      <c r="AN167" s="14">
        <v>0</v>
      </c>
      <c r="AO167" s="13">
        <v>0</v>
      </c>
      <c r="AP167" s="14">
        <v>0</v>
      </c>
      <c r="AQ167" s="13">
        <v>0</v>
      </c>
      <c r="AR167" s="14">
        <v>0</v>
      </c>
      <c r="AS167" s="13">
        <v>0</v>
      </c>
      <c r="AT167" s="14">
        <v>0</v>
      </c>
      <c r="AU167" s="13">
        <v>0</v>
      </c>
      <c r="AV167" s="14">
        <v>0</v>
      </c>
      <c r="AW167" s="13">
        <v>5070000.0999999996</v>
      </c>
      <c r="AX167" s="14">
        <v>0</v>
      </c>
      <c r="AY167" s="13">
        <v>9924999.6999999993</v>
      </c>
      <c r="AZ167" s="15">
        <v>0</v>
      </c>
      <c r="BA167" s="20">
        <v>10323000</v>
      </c>
      <c r="BB167" s="21">
        <v>0</v>
      </c>
      <c r="BC167" s="20">
        <v>8213000</v>
      </c>
      <c r="BD167" s="21">
        <v>0</v>
      </c>
    </row>
    <row r="168" spans="1:56" ht="12" customHeight="1">
      <c r="A168" s="7" t="s">
        <v>397</v>
      </c>
      <c r="B168" s="8">
        <v>10037916</v>
      </c>
      <c r="C168" s="24" t="s">
        <v>398</v>
      </c>
      <c r="D168" s="19">
        <v>1857889757</v>
      </c>
      <c r="E168" s="10">
        <f t="shared" si="8"/>
        <v>51608048.805555552</v>
      </c>
      <c r="F168" s="8" t="s">
        <v>31</v>
      </c>
      <c r="G168" s="8">
        <v>217</v>
      </c>
      <c r="H168" s="35" t="s">
        <v>399</v>
      </c>
      <c r="I168" s="11" t="s">
        <v>448</v>
      </c>
      <c r="J168" s="9">
        <f t="shared" si="10"/>
        <v>40018845.299999997</v>
      </c>
      <c r="K168" s="9">
        <f t="shared" si="11"/>
        <v>27701770</v>
      </c>
      <c r="L168" s="12">
        <f t="shared" si="9"/>
        <v>0.69221812354490908</v>
      </c>
      <c r="M168" s="13">
        <v>0</v>
      </c>
      <c r="N168" s="14">
        <v>0</v>
      </c>
      <c r="O168" s="13">
        <v>0</v>
      </c>
      <c r="P168" s="14">
        <v>0</v>
      </c>
      <c r="Q168" s="13">
        <v>0</v>
      </c>
      <c r="R168" s="14">
        <v>0</v>
      </c>
      <c r="S168" s="13">
        <v>0</v>
      </c>
      <c r="T168" s="14">
        <v>0</v>
      </c>
      <c r="U168" s="13">
        <v>0</v>
      </c>
      <c r="V168" s="14">
        <v>0</v>
      </c>
      <c r="W168" s="13">
        <v>0</v>
      </c>
      <c r="X168" s="14">
        <v>0</v>
      </c>
      <c r="Y168" s="13">
        <v>0</v>
      </c>
      <c r="Z168" s="14">
        <v>0</v>
      </c>
      <c r="AA168" s="13">
        <v>0</v>
      </c>
      <c r="AB168" s="14">
        <v>0</v>
      </c>
      <c r="AC168" s="13">
        <v>0</v>
      </c>
      <c r="AD168" s="14">
        <v>0</v>
      </c>
      <c r="AE168" s="13">
        <v>0</v>
      </c>
      <c r="AF168" s="14">
        <v>0</v>
      </c>
      <c r="AG168" s="13">
        <v>0</v>
      </c>
      <c r="AH168" s="14">
        <v>0</v>
      </c>
      <c r="AI168" s="13">
        <v>0</v>
      </c>
      <c r="AJ168" s="14">
        <v>0</v>
      </c>
      <c r="AK168" s="13">
        <v>0</v>
      </c>
      <c r="AL168" s="14">
        <v>0</v>
      </c>
      <c r="AM168" s="13">
        <v>0</v>
      </c>
      <c r="AN168" s="14">
        <v>0</v>
      </c>
      <c r="AO168" s="13">
        <v>0</v>
      </c>
      <c r="AP168" s="14">
        <v>0</v>
      </c>
      <c r="AQ168" s="13">
        <v>0</v>
      </c>
      <c r="AR168" s="14">
        <v>0</v>
      </c>
      <c r="AS168" s="13">
        <v>0</v>
      </c>
      <c r="AT168" s="14">
        <v>0</v>
      </c>
      <c r="AU168" s="13">
        <v>0</v>
      </c>
      <c r="AV168" s="14">
        <v>0</v>
      </c>
      <c r="AW168" s="13">
        <v>4283386.8</v>
      </c>
      <c r="AX168" s="14">
        <v>0</v>
      </c>
      <c r="AY168" s="13">
        <v>11846477.5</v>
      </c>
      <c r="AZ168" s="15">
        <v>4283387</v>
      </c>
      <c r="BA168" s="20">
        <v>11571905</v>
      </c>
      <c r="BB168" s="21">
        <v>11846478</v>
      </c>
      <c r="BC168" s="20">
        <v>12317076</v>
      </c>
      <c r="BD168" s="21">
        <v>11571905</v>
      </c>
    </row>
    <row r="169" spans="1:56" ht="12" customHeight="1">
      <c r="A169" s="7" t="s">
        <v>400</v>
      </c>
      <c r="B169" s="8">
        <v>10040523</v>
      </c>
      <c r="C169" s="24" t="s">
        <v>401</v>
      </c>
      <c r="D169" s="19">
        <v>2188512469</v>
      </c>
      <c r="E169" s="10">
        <f t="shared" si="8"/>
        <v>60792013.027777776</v>
      </c>
      <c r="F169" s="8" t="s">
        <v>31</v>
      </c>
      <c r="G169" s="8">
        <v>257</v>
      </c>
      <c r="H169" s="35" t="s">
        <v>402</v>
      </c>
      <c r="I169" s="11" t="s">
        <v>371</v>
      </c>
      <c r="J169" s="9">
        <f t="shared" si="10"/>
        <v>46596000.100000001</v>
      </c>
      <c r="K169" s="9">
        <f t="shared" si="11"/>
        <v>9335000</v>
      </c>
      <c r="L169" s="12">
        <f t="shared" si="9"/>
        <v>0.20033908447004231</v>
      </c>
      <c r="M169" s="13">
        <v>0</v>
      </c>
      <c r="N169" s="14">
        <v>0</v>
      </c>
      <c r="O169" s="13">
        <v>0</v>
      </c>
      <c r="P169" s="14">
        <v>0</v>
      </c>
      <c r="Q169" s="13">
        <v>0</v>
      </c>
      <c r="R169" s="14">
        <v>0</v>
      </c>
      <c r="S169" s="13">
        <v>0</v>
      </c>
      <c r="T169" s="14">
        <v>0</v>
      </c>
      <c r="U169" s="13">
        <v>0</v>
      </c>
      <c r="V169" s="14">
        <v>0</v>
      </c>
      <c r="W169" s="13">
        <v>0</v>
      </c>
      <c r="X169" s="14">
        <v>0</v>
      </c>
      <c r="Y169" s="13">
        <v>0</v>
      </c>
      <c r="Z169" s="14">
        <v>0</v>
      </c>
      <c r="AA169" s="13">
        <v>0</v>
      </c>
      <c r="AB169" s="14">
        <v>0</v>
      </c>
      <c r="AC169" s="13">
        <v>0</v>
      </c>
      <c r="AD169" s="14">
        <v>0</v>
      </c>
      <c r="AE169" s="13">
        <v>0</v>
      </c>
      <c r="AF169" s="14">
        <v>0</v>
      </c>
      <c r="AG169" s="13">
        <v>0</v>
      </c>
      <c r="AH169" s="14">
        <v>0</v>
      </c>
      <c r="AI169" s="13">
        <v>0</v>
      </c>
      <c r="AJ169" s="14">
        <v>0</v>
      </c>
      <c r="AK169" s="13">
        <v>0</v>
      </c>
      <c r="AL169" s="14">
        <v>0</v>
      </c>
      <c r="AM169" s="13">
        <v>0</v>
      </c>
      <c r="AN169" s="14">
        <v>0</v>
      </c>
      <c r="AO169" s="13">
        <v>0</v>
      </c>
      <c r="AP169" s="14">
        <v>0</v>
      </c>
      <c r="AQ169" s="13">
        <v>0</v>
      </c>
      <c r="AR169" s="14">
        <v>0</v>
      </c>
      <c r="AS169" s="13">
        <v>0</v>
      </c>
      <c r="AT169" s="14">
        <v>0</v>
      </c>
      <c r="AU169" s="13">
        <v>0</v>
      </c>
      <c r="AV169" s="14">
        <v>0</v>
      </c>
      <c r="AW169" s="13">
        <v>9335000.4000000004</v>
      </c>
      <c r="AX169" s="14">
        <v>0</v>
      </c>
      <c r="AY169" s="13">
        <v>7823999.7000000002</v>
      </c>
      <c r="AZ169" s="15">
        <v>0</v>
      </c>
      <c r="BA169" s="20">
        <v>12727000</v>
      </c>
      <c r="BB169" s="21">
        <v>0</v>
      </c>
      <c r="BC169" s="20">
        <v>16710000</v>
      </c>
      <c r="BD169" s="21">
        <v>9335000</v>
      </c>
    </row>
    <row r="170" spans="1:56" ht="12" customHeight="1">
      <c r="A170" s="7" t="s">
        <v>403</v>
      </c>
      <c r="B170" s="8">
        <v>10040635</v>
      </c>
      <c r="C170" s="24" t="s">
        <v>404</v>
      </c>
      <c r="D170" s="19">
        <v>812930000</v>
      </c>
      <c r="E170" s="10">
        <f t="shared" si="8"/>
        <v>22581388.888888888</v>
      </c>
      <c r="F170" s="8" t="s">
        <v>31</v>
      </c>
      <c r="G170" s="8">
        <v>58</v>
      </c>
      <c r="H170" s="35" t="s">
        <v>405</v>
      </c>
      <c r="I170" s="11" t="s">
        <v>371</v>
      </c>
      <c r="J170" s="9">
        <f t="shared" si="10"/>
        <v>45939000.600000001</v>
      </c>
      <c r="K170" s="9">
        <f t="shared" si="11"/>
        <v>0</v>
      </c>
      <c r="L170" s="12">
        <f t="shared" si="9"/>
        <v>0</v>
      </c>
      <c r="M170" s="13">
        <v>0</v>
      </c>
      <c r="N170" s="14">
        <v>0</v>
      </c>
      <c r="O170" s="13">
        <v>0</v>
      </c>
      <c r="P170" s="14">
        <v>0</v>
      </c>
      <c r="Q170" s="13">
        <v>0</v>
      </c>
      <c r="R170" s="14">
        <v>0</v>
      </c>
      <c r="S170" s="13">
        <v>0</v>
      </c>
      <c r="T170" s="14">
        <v>0</v>
      </c>
      <c r="U170" s="13">
        <v>0</v>
      </c>
      <c r="V170" s="14">
        <v>0</v>
      </c>
      <c r="W170" s="13">
        <v>0</v>
      </c>
      <c r="X170" s="14">
        <v>0</v>
      </c>
      <c r="Y170" s="13">
        <v>0</v>
      </c>
      <c r="Z170" s="14">
        <v>0</v>
      </c>
      <c r="AA170" s="13">
        <v>0</v>
      </c>
      <c r="AB170" s="14">
        <v>0</v>
      </c>
      <c r="AC170" s="13">
        <v>0</v>
      </c>
      <c r="AD170" s="14">
        <v>0</v>
      </c>
      <c r="AE170" s="13">
        <v>0</v>
      </c>
      <c r="AF170" s="14">
        <v>0</v>
      </c>
      <c r="AG170" s="13">
        <v>0</v>
      </c>
      <c r="AH170" s="14">
        <v>0</v>
      </c>
      <c r="AI170" s="13">
        <v>0</v>
      </c>
      <c r="AJ170" s="14">
        <v>0</v>
      </c>
      <c r="AK170" s="13">
        <v>0</v>
      </c>
      <c r="AL170" s="14">
        <v>0</v>
      </c>
      <c r="AM170" s="13">
        <v>0</v>
      </c>
      <c r="AN170" s="14">
        <v>0</v>
      </c>
      <c r="AO170" s="13">
        <v>0</v>
      </c>
      <c r="AP170" s="14">
        <v>0</v>
      </c>
      <c r="AQ170" s="13">
        <v>0</v>
      </c>
      <c r="AR170" s="14">
        <v>0</v>
      </c>
      <c r="AS170" s="13">
        <v>0</v>
      </c>
      <c r="AT170" s="14">
        <v>0</v>
      </c>
      <c r="AU170" s="13">
        <v>0</v>
      </c>
      <c r="AV170" s="14">
        <v>0</v>
      </c>
      <c r="AW170" s="13">
        <v>12814000.1</v>
      </c>
      <c r="AX170" s="14">
        <v>0</v>
      </c>
      <c r="AY170" s="13">
        <v>10819000.5</v>
      </c>
      <c r="AZ170" s="15">
        <v>0</v>
      </c>
      <c r="BA170" s="20">
        <v>11181000</v>
      </c>
      <c r="BB170" s="21">
        <v>0</v>
      </c>
      <c r="BC170" s="20">
        <v>11125000</v>
      </c>
      <c r="BD170" s="21">
        <v>0</v>
      </c>
    </row>
    <row r="171" spans="1:56" ht="12" customHeight="1">
      <c r="A171" s="7" t="s">
        <v>406</v>
      </c>
      <c r="B171" s="8">
        <v>10040724</v>
      </c>
      <c r="C171" s="24" t="s">
        <v>407</v>
      </c>
      <c r="D171" s="19">
        <v>417891900</v>
      </c>
      <c r="E171" s="10">
        <f t="shared" si="8"/>
        <v>11608108.333333334</v>
      </c>
      <c r="F171" s="8" t="s">
        <v>49</v>
      </c>
      <c r="G171" s="8">
        <v>50</v>
      </c>
      <c r="H171" s="35" t="s">
        <v>408</v>
      </c>
      <c r="I171" s="11" t="s">
        <v>448</v>
      </c>
      <c r="J171" s="9">
        <f t="shared" si="10"/>
        <v>417891899.69999999</v>
      </c>
      <c r="K171" s="9">
        <f t="shared" si="11"/>
        <v>417891900</v>
      </c>
      <c r="L171" s="12">
        <f t="shared" si="9"/>
        <v>1.0000000007178891</v>
      </c>
      <c r="M171" s="13">
        <v>0</v>
      </c>
      <c r="N171" s="14">
        <v>0</v>
      </c>
      <c r="O171" s="13">
        <v>0</v>
      </c>
      <c r="P171" s="14">
        <v>0</v>
      </c>
      <c r="Q171" s="13">
        <v>0</v>
      </c>
      <c r="R171" s="14">
        <v>0</v>
      </c>
      <c r="S171" s="13">
        <v>0</v>
      </c>
      <c r="T171" s="14">
        <v>0</v>
      </c>
      <c r="U171" s="13">
        <v>0</v>
      </c>
      <c r="V171" s="14">
        <v>0</v>
      </c>
      <c r="W171" s="13">
        <v>0</v>
      </c>
      <c r="X171" s="14">
        <v>0</v>
      </c>
      <c r="Y171" s="13">
        <v>0</v>
      </c>
      <c r="Z171" s="14">
        <v>0</v>
      </c>
      <c r="AA171" s="13">
        <v>0</v>
      </c>
      <c r="AB171" s="14">
        <v>0</v>
      </c>
      <c r="AC171" s="13">
        <v>0</v>
      </c>
      <c r="AD171" s="14">
        <v>0</v>
      </c>
      <c r="AE171" s="13">
        <v>0</v>
      </c>
      <c r="AF171" s="14">
        <v>0</v>
      </c>
      <c r="AG171" s="13">
        <v>0</v>
      </c>
      <c r="AH171" s="14">
        <v>0</v>
      </c>
      <c r="AI171" s="13">
        <v>0</v>
      </c>
      <c r="AJ171" s="14">
        <v>0</v>
      </c>
      <c r="AK171" s="13">
        <v>0</v>
      </c>
      <c r="AL171" s="14">
        <v>0</v>
      </c>
      <c r="AM171" s="13">
        <v>0</v>
      </c>
      <c r="AN171" s="14">
        <v>0</v>
      </c>
      <c r="AO171" s="13">
        <v>0</v>
      </c>
      <c r="AP171" s="14">
        <v>0</v>
      </c>
      <c r="AQ171" s="13">
        <v>0</v>
      </c>
      <c r="AR171" s="14">
        <v>0</v>
      </c>
      <c r="AS171" s="13">
        <v>0</v>
      </c>
      <c r="AT171" s="14">
        <v>0</v>
      </c>
      <c r="AU171" s="13">
        <v>0</v>
      </c>
      <c r="AV171" s="14">
        <v>0</v>
      </c>
      <c r="AW171" s="13">
        <v>417891899.69999999</v>
      </c>
      <c r="AX171" s="14">
        <v>0</v>
      </c>
      <c r="AY171" s="13">
        <v>0</v>
      </c>
      <c r="AZ171" s="15">
        <v>139297300</v>
      </c>
      <c r="BA171" s="20">
        <v>0</v>
      </c>
      <c r="BB171" s="21">
        <v>139297300</v>
      </c>
      <c r="BC171" s="20">
        <v>0</v>
      </c>
      <c r="BD171" s="21">
        <v>139297300</v>
      </c>
    </row>
    <row r="172" spans="1:56" ht="12" customHeight="1">
      <c r="A172" s="7" t="s">
        <v>409</v>
      </c>
      <c r="B172" s="8">
        <v>10041416</v>
      </c>
      <c r="C172" s="24" t="s">
        <v>410</v>
      </c>
      <c r="D172" s="19">
        <v>994806350</v>
      </c>
      <c r="E172" s="10">
        <f t="shared" si="8"/>
        <v>27633509.722222224</v>
      </c>
      <c r="F172" s="8" t="s">
        <v>31</v>
      </c>
      <c r="G172" s="8">
        <v>120</v>
      </c>
      <c r="H172" s="35" t="s">
        <v>411</v>
      </c>
      <c r="I172" s="11" t="s">
        <v>448</v>
      </c>
      <c r="J172" s="9">
        <f t="shared" si="10"/>
        <v>58767000.200000003</v>
      </c>
      <c r="K172" s="9">
        <f t="shared" si="11"/>
        <v>44958000</v>
      </c>
      <c r="L172" s="12">
        <f t="shared" si="9"/>
        <v>0.76502118275555608</v>
      </c>
      <c r="M172" s="13">
        <v>0</v>
      </c>
      <c r="N172" s="14">
        <v>0</v>
      </c>
      <c r="O172" s="13">
        <v>0</v>
      </c>
      <c r="P172" s="14">
        <v>0</v>
      </c>
      <c r="Q172" s="13">
        <v>0</v>
      </c>
      <c r="R172" s="14">
        <v>0</v>
      </c>
      <c r="S172" s="13">
        <v>0</v>
      </c>
      <c r="T172" s="14">
        <v>0</v>
      </c>
      <c r="U172" s="13">
        <v>0</v>
      </c>
      <c r="V172" s="14">
        <v>0</v>
      </c>
      <c r="W172" s="13">
        <v>0</v>
      </c>
      <c r="X172" s="14">
        <v>0</v>
      </c>
      <c r="Y172" s="13">
        <v>0</v>
      </c>
      <c r="Z172" s="14">
        <v>0</v>
      </c>
      <c r="AA172" s="13">
        <v>0</v>
      </c>
      <c r="AB172" s="14">
        <v>0</v>
      </c>
      <c r="AC172" s="13">
        <v>0</v>
      </c>
      <c r="AD172" s="14">
        <v>0</v>
      </c>
      <c r="AE172" s="13">
        <v>0</v>
      </c>
      <c r="AF172" s="14">
        <v>0</v>
      </c>
      <c r="AG172" s="13">
        <v>0</v>
      </c>
      <c r="AH172" s="14">
        <v>0</v>
      </c>
      <c r="AI172" s="13">
        <v>0</v>
      </c>
      <c r="AJ172" s="14">
        <v>0</v>
      </c>
      <c r="AK172" s="13">
        <v>0</v>
      </c>
      <c r="AL172" s="14">
        <v>0</v>
      </c>
      <c r="AM172" s="13">
        <v>0</v>
      </c>
      <c r="AN172" s="14">
        <v>0</v>
      </c>
      <c r="AO172" s="13">
        <v>0</v>
      </c>
      <c r="AP172" s="14">
        <v>0</v>
      </c>
      <c r="AQ172" s="13">
        <v>0</v>
      </c>
      <c r="AR172" s="14">
        <v>0</v>
      </c>
      <c r="AS172" s="13">
        <v>0</v>
      </c>
      <c r="AT172" s="14">
        <v>0</v>
      </c>
      <c r="AU172" s="13">
        <v>0</v>
      </c>
      <c r="AV172" s="14">
        <v>0</v>
      </c>
      <c r="AW172" s="13">
        <v>14059999.800000001</v>
      </c>
      <c r="AX172" s="14">
        <v>0</v>
      </c>
      <c r="AY172" s="13">
        <v>17563000.399999999</v>
      </c>
      <c r="AZ172" s="15">
        <v>14060000</v>
      </c>
      <c r="BA172" s="20">
        <v>13335000</v>
      </c>
      <c r="BB172" s="21">
        <v>17563000</v>
      </c>
      <c r="BC172" s="20">
        <v>13809000</v>
      </c>
      <c r="BD172" s="21">
        <v>13335000</v>
      </c>
    </row>
    <row r="173" spans="1:56" ht="12" customHeight="1">
      <c r="A173" s="7" t="s">
        <v>412</v>
      </c>
      <c r="B173" s="8">
        <v>10045059</v>
      </c>
      <c r="C173" s="24" t="s">
        <v>413</v>
      </c>
      <c r="D173" s="19">
        <v>346398880</v>
      </c>
      <c r="E173" s="10">
        <f t="shared" si="8"/>
        <v>9622191.1111111119</v>
      </c>
      <c r="F173" s="8" t="s">
        <v>31</v>
      </c>
      <c r="G173" s="8">
        <v>45</v>
      </c>
      <c r="H173" s="35" t="s">
        <v>414</v>
      </c>
      <c r="I173" s="11" t="s">
        <v>448</v>
      </c>
      <c r="J173" s="9">
        <f t="shared" si="10"/>
        <v>43968000.700000003</v>
      </c>
      <c r="K173" s="9">
        <f t="shared" si="11"/>
        <v>16416000</v>
      </c>
      <c r="L173" s="12">
        <f t="shared" si="9"/>
        <v>0.37336243947066711</v>
      </c>
      <c r="M173" s="13">
        <v>0</v>
      </c>
      <c r="N173" s="14">
        <v>0</v>
      </c>
      <c r="O173" s="13">
        <v>0</v>
      </c>
      <c r="P173" s="14">
        <v>0</v>
      </c>
      <c r="Q173" s="13">
        <v>0</v>
      </c>
      <c r="R173" s="14">
        <v>0</v>
      </c>
      <c r="S173" s="13">
        <v>0</v>
      </c>
      <c r="T173" s="14">
        <v>0</v>
      </c>
      <c r="U173" s="13">
        <v>0</v>
      </c>
      <c r="V173" s="14">
        <v>0</v>
      </c>
      <c r="W173" s="13">
        <v>0</v>
      </c>
      <c r="X173" s="14">
        <v>0</v>
      </c>
      <c r="Y173" s="13">
        <v>0</v>
      </c>
      <c r="Z173" s="14">
        <v>0</v>
      </c>
      <c r="AA173" s="13">
        <v>0</v>
      </c>
      <c r="AB173" s="14">
        <v>0</v>
      </c>
      <c r="AC173" s="13">
        <v>0</v>
      </c>
      <c r="AD173" s="14">
        <v>0</v>
      </c>
      <c r="AE173" s="13">
        <v>0</v>
      </c>
      <c r="AF173" s="14">
        <v>0</v>
      </c>
      <c r="AG173" s="13">
        <v>0</v>
      </c>
      <c r="AH173" s="14">
        <v>0</v>
      </c>
      <c r="AI173" s="13">
        <v>0</v>
      </c>
      <c r="AJ173" s="14">
        <v>0</v>
      </c>
      <c r="AK173" s="13">
        <v>0</v>
      </c>
      <c r="AL173" s="14">
        <v>0</v>
      </c>
      <c r="AM173" s="13">
        <v>0</v>
      </c>
      <c r="AN173" s="14">
        <v>0</v>
      </c>
      <c r="AO173" s="13">
        <v>0</v>
      </c>
      <c r="AP173" s="14">
        <v>0</v>
      </c>
      <c r="AQ173" s="13">
        <v>0</v>
      </c>
      <c r="AR173" s="14">
        <v>0</v>
      </c>
      <c r="AS173" s="13">
        <v>0</v>
      </c>
      <c r="AT173" s="14">
        <v>0</v>
      </c>
      <c r="AU173" s="13">
        <v>0</v>
      </c>
      <c r="AV173" s="14">
        <v>0</v>
      </c>
      <c r="AW173" s="13">
        <v>1744000.5</v>
      </c>
      <c r="AX173" s="14">
        <v>0</v>
      </c>
      <c r="AY173" s="13">
        <v>14672000.199999999</v>
      </c>
      <c r="AZ173" s="15">
        <v>1744000</v>
      </c>
      <c r="BA173" s="20">
        <v>14080000</v>
      </c>
      <c r="BB173" s="21">
        <v>14672000</v>
      </c>
      <c r="BC173" s="20">
        <v>13472000</v>
      </c>
      <c r="BD173" s="21">
        <v>0</v>
      </c>
    </row>
    <row r="174" spans="1:56" ht="12" customHeight="1">
      <c r="A174" s="7" t="s">
        <v>415</v>
      </c>
      <c r="B174" s="8">
        <v>10061894</v>
      </c>
      <c r="C174" s="43" t="s">
        <v>532</v>
      </c>
      <c r="D174" s="19">
        <v>514237696</v>
      </c>
      <c r="E174" s="10">
        <f t="shared" si="8"/>
        <v>14284380.444444444</v>
      </c>
      <c r="F174" s="8" t="s">
        <v>31</v>
      </c>
      <c r="G174" s="8">
        <v>50</v>
      </c>
      <c r="H174" s="35" t="s">
        <v>416</v>
      </c>
      <c r="I174" s="11" t="s">
        <v>448</v>
      </c>
      <c r="J174" s="9">
        <f t="shared" si="10"/>
        <v>26624000.300000001</v>
      </c>
      <c r="K174" s="9">
        <f t="shared" si="11"/>
        <v>0</v>
      </c>
      <c r="L174" s="12">
        <f t="shared" si="9"/>
        <v>0</v>
      </c>
      <c r="M174" s="13">
        <v>0</v>
      </c>
      <c r="N174" s="14">
        <v>0</v>
      </c>
      <c r="O174" s="13">
        <v>0</v>
      </c>
      <c r="P174" s="14">
        <v>0</v>
      </c>
      <c r="Q174" s="13">
        <v>0</v>
      </c>
      <c r="R174" s="14">
        <v>0</v>
      </c>
      <c r="S174" s="13">
        <v>0</v>
      </c>
      <c r="T174" s="14">
        <v>0</v>
      </c>
      <c r="U174" s="13">
        <v>0</v>
      </c>
      <c r="V174" s="14">
        <v>0</v>
      </c>
      <c r="W174" s="13">
        <v>0</v>
      </c>
      <c r="X174" s="14">
        <v>0</v>
      </c>
      <c r="Y174" s="13">
        <v>0</v>
      </c>
      <c r="Z174" s="14">
        <v>0</v>
      </c>
      <c r="AA174" s="13">
        <v>0</v>
      </c>
      <c r="AB174" s="14">
        <v>0</v>
      </c>
      <c r="AC174" s="13">
        <v>0</v>
      </c>
      <c r="AD174" s="14">
        <v>0</v>
      </c>
      <c r="AE174" s="13">
        <v>0</v>
      </c>
      <c r="AF174" s="14">
        <v>0</v>
      </c>
      <c r="AG174" s="13">
        <v>0</v>
      </c>
      <c r="AH174" s="14">
        <v>0</v>
      </c>
      <c r="AI174" s="13">
        <v>0</v>
      </c>
      <c r="AJ174" s="14">
        <v>0</v>
      </c>
      <c r="AK174" s="13">
        <v>0</v>
      </c>
      <c r="AL174" s="14">
        <v>0</v>
      </c>
      <c r="AM174" s="13">
        <v>0</v>
      </c>
      <c r="AN174" s="14">
        <v>0</v>
      </c>
      <c r="AO174" s="13">
        <v>0</v>
      </c>
      <c r="AP174" s="14">
        <v>0</v>
      </c>
      <c r="AQ174" s="13">
        <v>0</v>
      </c>
      <c r="AR174" s="14">
        <v>0</v>
      </c>
      <c r="AS174" s="13">
        <v>0</v>
      </c>
      <c r="AT174" s="14">
        <v>0</v>
      </c>
      <c r="AU174" s="13">
        <v>0</v>
      </c>
      <c r="AV174" s="14">
        <v>0</v>
      </c>
      <c r="AW174" s="13">
        <v>864000.5</v>
      </c>
      <c r="AX174" s="14">
        <v>0</v>
      </c>
      <c r="AY174" s="13">
        <v>16479999.800000001</v>
      </c>
      <c r="AZ174" s="15">
        <v>0</v>
      </c>
      <c r="BA174" s="20">
        <v>9056000</v>
      </c>
      <c r="BB174" s="21">
        <v>0</v>
      </c>
      <c r="BC174" s="20">
        <v>224000</v>
      </c>
      <c r="BD174" s="21">
        <v>0</v>
      </c>
    </row>
    <row r="175" spans="1:56" ht="12" customHeight="1">
      <c r="A175" s="7" t="s">
        <v>417</v>
      </c>
      <c r="B175" s="8">
        <v>10077968</v>
      </c>
      <c r="C175" s="24" t="s">
        <v>418</v>
      </c>
      <c r="D175" s="19">
        <v>389626437</v>
      </c>
      <c r="E175" s="10">
        <f t="shared" si="8"/>
        <v>10822956.583333334</v>
      </c>
      <c r="F175" s="8" t="s">
        <v>31</v>
      </c>
      <c r="G175" s="8">
        <v>40</v>
      </c>
      <c r="H175" s="35" t="s">
        <v>419</v>
      </c>
      <c r="I175" s="11" t="s">
        <v>448</v>
      </c>
      <c r="J175" s="9">
        <f t="shared" si="10"/>
        <v>27374000.199999999</v>
      </c>
      <c r="K175" s="9">
        <f t="shared" si="11"/>
        <v>0</v>
      </c>
      <c r="L175" s="12">
        <f t="shared" si="9"/>
        <v>0</v>
      </c>
      <c r="M175" s="13">
        <v>0</v>
      </c>
      <c r="N175" s="14">
        <v>0</v>
      </c>
      <c r="O175" s="13">
        <v>0</v>
      </c>
      <c r="P175" s="14">
        <v>0</v>
      </c>
      <c r="Q175" s="13">
        <v>0</v>
      </c>
      <c r="R175" s="14">
        <v>0</v>
      </c>
      <c r="S175" s="13">
        <v>0</v>
      </c>
      <c r="T175" s="14">
        <v>0</v>
      </c>
      <c r="U175" s="13">
        <v>0</v>
      </c>
      <c r="V175" s="14">
        <v>0</v>
      </c>
      <c r="W175" s="13">
        <v>0</v>
      </c>
      <c r="X175" s="14">
        <v>0</v>
      </c>
      <c r="Y175" s="13">
        <v>0</v>
      </c>
      <c r="Z175" s="14">
        <v>0</v>
      </c>
      <c r="AA175" s="13">
        <v>0</v>
      </c>
      <c r="AB175" s="14">
        <v>0</v>
      </c>
      <c r="AC175" s="13">
        <v>0</v>
      </c>
      <c r="AD175" s="14">
        <v>0</v>
      </c>
      <c r="AE175" s="13">
        <v>0</v>
      </c>
      <c r="AF175" s="14">
        <v>0</v>
      </c>
      <c r="AG175" s="13">
        <v>0</v>
      </c>
      <c r="AH175" s="14">
        <v>0</v>
      </c>
      <c r="AI175" s="13">
        <v>0</v>
      </c>
      <c r="AJ175" s="14">
        <v>0</v>
      </c>
      <c r="AK175" s="13">
        <v>0</v>
      </c>
      <c r="AL175" s="14">
        <v>0</v>
      </c>
      <c r="AM175" s="13">
        <v>0</v>
      </c>
      <c r="AN175" s="14">
        <v>0</v>
      </c>
      <c r="AO175" s="13">
        <v>0</v>
      </c>
      <c r="AP175" s="14">
        <v>0</v>
      </c>
      <c r="AQ175" s="13">
        <v>0</v>
      </c>
      <c r="AR175" s="14">
        <v>0</v>
      </c>
      <c r="AS175" s="13">
        <v>0</v>
      </c>
      <c r="AT175" s="14">
        <v>0</v>
      </c>
      <c r="AU175" s="13">
        <v>0</v>
      </c>
      <c r="AV175" s="14">
        <v>0</v>
      </c>
      <c r="AW175" s="13">
        <v>61000.5</v>
      </c>
      <c r="AX175" s="14">
        <v>0</v>
      </c>
      <c r="AY175" s="13">
        <v>6525999.7000000002</v>
      </c>
      <c r="AZ175" s="15">
        <v>0</v>
      </c>
      <c r="BA175" s="20">
        <v>16640000</v>
      </c>
      <c r="BB175" s="21">
        <v>0</v>
      </c>
      <c r="BC175" s="20">
        <v>4147000</v>
      </c>
      <c r="BD175" s="21">
        <v>0</v>
      </c>
    </row>
    <row r="176" spans="1:56" ht="12" customHeight="1">
      <c r="A176" s="7" t="s">
        <v>420</v>
      </c>
      <c r="B176" s="8">
        <v>10083322</v>
      </c>
      <c r="C176" s="24" t="s">
        <v>421</v>
      </c>
      <c r="D176" s="19">
        <v>529155312</v>
      </c>
      <c r="E176" s="10">
        <f t="shared" si="8"/>
        <v>14698758.666666666</v>
      </c>
      <c r="F176" s="8" t="s">
        <v>31</v>
      </c>
      <c r="G176" s="8">
        <v>35</v>
      </c>
      <c r="H176" s="35" t="s">
        <v>416</v>
      </c>
      <c r="I176" s="11" t="s">
        <v>448</v>
      </c>
      <c r="J176" s="9">
        <f t="shared" si="10"/>
        <v>66264000.399999999</v>
      </c>
      <c r="K176" s="9">
        <f t="shared" si="11"/>
        <v>28290000</v>
      </c>
      <c r="L176" s="12">
        <f t="shared" si="9"/>
        <v>0.42692864646306505</v>
      </c>
      <c r="M176" s="13">
        <v>0</v>
      </c>
      <c r="N176" s="14">
        <v>0</v>
      </c>
      <c r="O176" s="13">
        <v>0</v>
      </c>
      <c r="P176" s="14">
        <v>0</v>
      </c>
      <c r="Q176" s="13">
        <v>0</v>
      </c>
      <c r="R176" s="14">
        <v>0</v>
      </c>
      <c r="S176" s="13">
        <v>0</v>
      </c>
      <c r="T176" s="14">
        <v>0</v>
      </c>
      <c r="U176" s="13">
        <v>0</v>
      </c>
      <c r="V176" s="14">
        <v>0</v>
      </c>
      <c r="W176" s="13">
        <v>0</v>
      </c>
      <c r="X176" s="14">
        <v>0</v>
      </c>
      <c r="Y176" s="13">
        <v>0</v>
      </c>
      <c r="Z176" s="14">
        <v>0</v>
      </c>
      <c r="AA176" s="13">
        <v>0</v>
      </c>
      <c r="AB176" s="14">
        <v>0</v>
      </c>
      <c r="AC176" s="13">
        <v>0</v>
      </c>
      <c r="AD176" s="14">
        <v>0</v>
      </c>
      <c r="AE176" s="13">
        <v>0</v>
      </c>
      <c r="AF176" s="14">
        <v>0</v>
      </c>
      <c r="AG176" s="13">
        <v>0</v>
      </c>
      <c r="AH176" s="14">
        <v>0</v>
      </c>
      <c r="AI176" s="13">
        <v>0</v>
      </c>
      <c r="AJ176" s="14">
        <v>0</v>
      </c>
      <c r="AK176" s="13">
        <v>0</v>
      </c>
      <c r="AL176" s="14">
        <v>0</v>
      </c>
      <c r="AM176" s="13">
        <v>0</v>
      </c>
      <c r="AN176" s="14">
        <v>0</v>
      </c>
      <c r="AO176" s="13">
        <v>0</v>
      </c>
      <c r="AP176" s="14">
        <v>0</v>
      </c>
      <c r="AQ176" s="13">
        <v>0</v>
      </c>
      <c r="AR176" s="14">
        <v>0</v>
      </c>
      <c r="AS176" s="13">
        <v>0</v>
      </c>
      <c r="AT176" s="14">
        <v>0</v>
      </c>
      <c r="AU176" s="13">
        <v>0</v>
      </c>
      <c r="AV176" s="14">
        <v>0</v>
      </c>
      <c r="AW176" s="13">
        <v>4706000.2</v>
      </c>
      <c r="AX176" s="14">
        <v>0</v>
      </c>
      <c r="AY176" s="13">
        <v>13539000.199999999</v>
      </c>
      <c r="AZ176" s="15">
        <v>4706000</v>
      </c>
      <c r="BA176" s="20">
        <v>37123000</v>
      </c>
      <c r="BB176" s="21">
        <v>10720000</v>
      </c>
      <c r="BC176" s="20">
        <v>10896000</v>
      </c>
      <c r="BD176" s="21">
        <v>12864000</v>
      </c>
    </row>
    <row r="177" spans="1:56" ht="12" customHeight="1">
      <c r="A177" s="7" t="s">
        <v>422</v>
      </c>
      <c r="B177" s="8">
        <v>10086968</v>
      </c>
      <c r="C177" s="24" t="s">
        <v>423</v>
      </c>
      <c r="D177" s="19">
        <v>483754007</v>
      </c>
      <c r="E177" s="10">
        <f t="shared" si="8"/>
        <v>13437611.305555556</v>
      </c>
      <c r="F177" s="8" t="s">
        <v>31</v>
      </c>
      <c r="G177" s="8">
        <v>51</v>
      </c>
      <c r="H177" s="35" t="s">
        <v>292</v>
      </c>
      <c r="I177" s="11" t="s">
        <v>448</v>
      </c>
      <c r="J177" s="9">
        <f t="shared" si="10"/>
        <v>14613999.699999999</v>
      </c>
      <c r="K177" s="9">
        <f t="shared" si="11"/>
        <v>10797000</v>
      </c>
      <c r="L177" s="12">
        <f t="shared" si="9"/>
        <v>0.73881211315475803</v>
      </c>
      <c r="M177" s="13">
        <v>0</v>
      </c>
      <c r="N177" s="14">
        <v>0</v>
      </c>
      <c r="O177" s="13">
        <v>0</v>
      </c>
      <c r="P177" s="14">
        <v>0</v>
      </c>
      <c r="Q177" s="13">
        <v>0</v>
      </c>
      <c r="R177" s="14">
        <v>0</v>
      </c>
      <c r="S177" s="13">
        <v>0</v>
      </c>
      <c r="T177" s="14">
        <v>0</v>
      </c>
      <c r="U177" s="13">
        <v>0</v>
      </c>
      <c r="V177" s="14">
        <v>0</v>
      </c>
      <c r="W177" s="13">
        <v>0</v>
      </c>
      <c r="X177" s="14">
        <v>0</v>
      </c>
      <c r="Y177" s="13">
        <v>0</v>
      </c>
      <c r="Z177" s="14">
        <v>0</v>
      </c>
      <c r="AA177" s="13">
        <v>0</v>
      </c>
      <c r="AB177" s="14">
        <v>0</v>
      </c>
      <c r="AC177" s="13">
        <v>0</v>
      </c>
      <c r="AD177" s="14">
        <v>0</v>
      </c>
      <c r="AE177" s="13">
        <v>0</v>
      </c>
      <c r="AF177" s="14">
        <v>0</v>
      </c>
      <c r="AG177" s="13">
        <v>0</v>
      </c>
      <c r="AH177" s="14">
        <v>0</v>
      </c>
      <c r="AI177" s="13">
        <v>0</v>
      </c>
      <c r="AJ177" s="14">
        <v>0</v>
      </c>
      <c r="AK177" s="13">
        <v>0</v>
      </c>
      <c r="AL177" s="14">
        <v>0</v>
      </c>
      <c r="AM177" s="13">
        <v>0</v>
      </c>
      <c r="AN177" s="14">
        <v>0</v>
      </c>
      <c r="AO177" s="13">
        <v>0</v>
      </c>
      <c r="AP177" s="14">
        <v>0</v>
      </c>
      <c r="AQ177" s="13">
        <v>0</v>
      </c>
      <c r="AR177" s="14">
        <v>0</v>
      </c>
      <c r="AS177" s="13">
        <v>0</v>
      </c>
      <c r="AT177" s="14">
        <v>0</v>
      </c>
      <c r="AU177" s="13">
        <v>0</v>
      </c>
      <c r="AV177" s="14">
        <v>0</v>
      </c>
      <c r="AW177" s="13">
        <v>2687999.6</v>
      </c>
      <c r="AX177" s="14">
        <v>0</v>
      </c>
      <c r="AY177" s="13">
        <v>3794000.1</v>
      </c>
      <c r="AZ177" s="15">
        <v>2688000</v>
      </c>
      <c r="BA177" s="20">
        <v>4315000</v>
      </c>
      <c r="BB177" s="21">
        <v>3794000</v>
      </c>
      <c r="BC177" s="20">
        <v>3817000</v>
      </c>
      <c r="BD177" s="21">
        <v>4315000</v>
      </c>
    </row>
    <row r="178" spans="1:56" ht="12" customHeight="1">
      <c r="A178" s="7" t="s">
        <v>424</v>
      </c>
      <c r="B178" s="8">
        <v>10112263</v>
      </c>
      <c r="C178" s="24" t="s">
        <v>525</v>
      </c>
      <c r="D178" s="19">
        <v>423794336</v>
      </c>
      <c r="E178" s="10">
        <f t="shared" si="8"/>
        <v>11772064.888888888</v>
      </c>
      <c r="F178" s="8" t="s">
        <v>31</v>
      </c>
      <c r="G178" s="8">
        <v>60</v>
      </c>
      <c r="H178" s="35" t="s">
        <v>425</v>
      </c>
      <c r="I178" s="11" t="s">
        <v>448</v>
      </c>
      <c r="J178" s="9">
        <f t="shared" si="10"/>
        <v>33719999.600000001</v>
      </c>
      <c r="K178" s="9">
        <f t="shared" si="11"/>
        <v>25080000</v>
      </c>
      <c r="L178" s="12">
        <f t="shared" si="9"/>
        <v>0.74377225081580367</v>
      </c>
      <c r="M178" s="13">
        <v>0</v>
      </c>
      <c r="N178" s="14">
        <v>0</v>
      </c>
      <c r="O178" s="13">
        <v>0</v>
      </c>
      <c r="P178" s="14">
        <v>0</v>
      </c>
      <c r="Q178" s="13">
        <v>0</v>
      </c>
      <c r="R178" s="14">
        <v>0</v>
      </c>
      <c r="S178" s="13">
        <v>0</v>
      </c>
      <c r="T178" s="14">
        <v>0</v>
      </c>
      <c r="U178" s="13">
        <v>0</v>
      </c>
      <c r="V178" s="14">
        <v>0</v>
      </c>
      <c r="W178" s="13">
        <v>0</v>
      </c>
      <c r="X178" s="14">
        <v>0</v>
      </c>
      <c r="Y178" s="13">
        <v>0</v>
      </c>
      <c r="Z178" s="14">
        <v>0</v>
      </c>
      <c r="AA178" s="13">
        <v>0</v>
      </c>
      <c r="AB178" s="14">
        <v>0</v>
      </c>
      <c r="AC178" s="13">
        <v>0</v>
      </c>
      <c r="AD178" s="14">
        <v>0</v>
      </c>
      <c r="AE178" s="13">
        <v>0</v>
      </c>
      <c r="AF178" s="14">
        <v>0</v>
      </c>
      <c r="AG178" s="13">
        <v>0</v>
      </c>
      <c r="AH178" s="14">
        <v>0</v>
      </c>
      <c r="AI178" s="13">
        <v>0</v>
      </c>
      <c r="AJ178" s="14">
        <v>0</v>
      </c>
      <c r="AK178" s="13">
        <v>0</v>
      </c>
      <c r="AL178" s="14">
        <v>0</v>
      </c>
      <c r="AM178" s="13">
        <v>0</v>
      </c>
      <c r="AN178" s="14">
        <v>0</v>
      </c>
      <c r="AO178" s="13">
        <v>0</v>
      </c>
      <c r="AP178" s="14">
        <v>0</v>
      </c>
      <c r="AQ178" s="13">
        <v>0</v>
      </c>
      <c r="AR178" s="14">
        <v>0</v>
      </c>
      <c r="AS178" s="13">
        <v>0</v>
      </c>
      <c r="AT178" s="14">
        <v>0</v>
      </c>
      <c r="AU178" s="13">
        <v>0</v>
      </c>
      <c r="AV178" s="14">
        <v>0</v>
      </c>
      <c r="AW178" s="13">
        <v>7799999.9000000004</v>
      </c>
      <c r="AX178" s="14">
        <v>0</v>
      </c>
      <c r="AY178" s="13">
        <v>9099999.6999999993</v>
      </c>
      <c r="AZ178" s="15">
        <v>0</v>
      </c>
      <c r="BA178" s="20">
        <v>8640000</v>
      </c>
      <c r="BB178" s="21">
        <v>16440000.000000002</v>
      </c>
      <c r="BC178" s="20">
        <v>8180000</v>
      </c>
      <c r="BD178" s="21">
        <v>8640000</v>
      </c>
    </row>
    <row r="179" spans="1:56" ht="12" customHeight="1">
      <c r="A179" s="7" t="s">
        <v>426</v>
      </c>
      <c r="B179" s="8">
        <v>10006922</v>
      </c>
      <c r="C179" s="24" t="s">
        <v>427</v>
      </c>
      <c r="D179" s="19">
        <v>340188186</v>
      </c>
      <c r="E179" s="10">
        <f t="shared" si="8"/>
        <v>9449671.833333334</v>
      </c>
      <c r="F179" s="8" t="s">
        <v>31</v>
      </c>
      <c r="G179" s="8">
        <v>20</v>
      </c>
      <c r="H179" s="35" t="s">
        <v>428</v>
      </c>
      <c r="I179" s="11" t="s">
        <v>448</v>
      </c>
      <c r="J179" s="9">
        <f t="shared" si="10"/>
        <v>4767999.8</v>
      </c>
      <c r="K179" s="9">
        <f t="shared" si="11"/>
        <v>464000</v>
      </c>
      <c r="L179" s="12">
        <f t="shared" si="9"/>
        <v>9.7315440323634247E-2</v>
      </c>
      <c r="M179" s="13">
        <v>0</v>
      </c>
      <c r="N179" s="14">
        <v>0</v>
      </c>
      <c r="O179" s="13">
        <v>0</v>
      </c>
      <c r="P179" s="14">
        <v>0</v>
      </c>
      <c r="Q179" s="13">
        <v>0</v>
      </c>
      <c r="R179" s="14">
        <v>0</v>
      </c>
      <c r="S179" s="13">
        <v>0</v>
      </c>
      <c r="T179" s="14">
        <v>0</v>
      </c>
      <c r="U179" s="13">
        <v>0</v>
      </c>
      <c r="V179" s="14">
        <v>0</v>
      </c>
      <c r="W179" s="13">
        <v>0</v>
      </c>
      <c r="X179" s="14">
        <v>0</v>
      </c>
      <c r="Y179" s="13">
        <v>0</v>
      </c>
      <c r="Z179" s="14">
        <v>0</v>
      </c>
      <c r="AA179" s="13">
        <v>0</v>
      </c>
      <c r="AB179" s="14">
        <v>0</v>
      </c>
      <c r="AC179" s="13">
        <v>0</v>
      </c>
      <c r="AD179" s="14">
        <v>0</v>
      </c>
      <c r="AE179" s="13">
        <v>0</v>
      </c>
      <c r="AF179" s="14">
        <v>0</v>
      </c>
      <c r="AG179" s="13">
        <v>0</v>
      </c>
      <c r="AH179" s="14">
        <v>0</v>
      </c>
      <c r="AI179" s="13">
        <v>0</v>
      </c>
      <c r="AJ179" s="14">
        <v>0</v>
      </c>
      <c r="AK179" s="13">
        <v>0</v>
      </c>
      <c r="AL179" s="14">
        <v>0</v>
      </c>
      <c r="AM179" s="13">
        <v>0</v>
      </c>
      <c r="AN179" s="14">
        <v>0</v>
      </c>
      <c r="AO179" s="13">
        <v>0</v>
      </c>
      <c r="AP179" s="14"/>
      <c r="AQ179" s="13">
        <v>0</v>
      </c>
      <c r="AR179" s="14">
        <v>0</v>
      </c>
      <c r="AS179" s="13">
        <v>0</v>
      </c>
      <c r="AT179" s="14">
        <v>0</v>
      </c>
      <c r="AU179" s="13">
        <v>0</v>
      </c>
      <c r="AV179" s="14">
        <v>0</v>
      </c>
      <c r="AW179" s="13">
        <v>0</v>
      </c>
      <c r="AX179" s="14">
        <v>0</v>
      </c>
      <c r="AY179" s="13">
        <v>463999.8</v>
      </c>
      <c r="AZ179" s="15">
        <v>0</v>
      </c>
      <c r="BA179" s="20">
        <v>2400000</v>
      </c>
      <c r="BB179" s="21">
        <v>464000</v>
      </c>
      <c r="BC179" s="20">
        <v>1904000</v>
      </c>
      <c r="BD179" s="21">
        <v>0</v>
      </c>
    </row>
    <row r="180" spans="1:56" ht="12" customHeight="1">
      <c r="A180" s="7" t="s">
        <v>429</v>
      </c>
      <c r="B180" s="8">
        <v>10034735</v>
      </c>
      <c r="C180" s="24" t="s">
        <v>430</v>
      </c>
      <c r="D180" s="19">
        <v>2683228240</v>
      </c>
      <c r="E180" s="10">
        <f t="shared" si="8"/>
        <v>74534117.777777776</v>
      </c>
      <c r="F180" s="8" t="s">
        <v>31</v>
      </c>
      <c r="G180" s="8">
        <v>370</v>
      </c>
      <c r="H180" s="35" t="s">
        <v>431</v>
      </c>
      <c r="I180" s="11" t="s">
        <v>448</v>
      </c>
      <c r="J180" s="9">
        <f t="shared" si="10"/>
        <v>30509999.800000001</v>
      </c>
      <c r="K180" s="9">
        <f t="shared" si="11"/>
        <v>16283000</v>
      </c>
      <c r="L180" s="12">
        <f t="shared" si="9"/>
        <v>0.53369387436049731</v>
      </c>
      <c r="M180" s="13">
        <v>0</v>
      </c>
      <c r="N180" s="14">
        <v>0</v>
      </c>
      <c r="O180" s="13">
        <v>0</v>
      </c>
      <c r="P180" s="14">
        <v>0</v>
      </c>
      <c r="Q180" s="13">
        <v>0</v>
      </c>
      <c r="R180" s="14">
        <v>0</v>
      </c>
      <c r="S180" s="13">
        <v>0</v>
      </c>
      <c r="T180" s="14">
        <v>0</v>
      </c>
      <c r="U180" s="13">
        <v>0</v>
      </c>
      <c r="V180" s="14">
        <v>0</v>
      </c>
      <c r="W180" s="13">
        <v>0</v>
      </c>
      <c r="X180" s="14">
        <v>0</v>
      </c>
      <c r="Y180" s="13">
        <v>0</v>
      </c>
      <c r="Z180" s="14">
        <v>0</v>
      </c>
      <c r="AA180" s="13">
        <v>0</v>
      </c>
      <c r="AB180" s="14">
        <v>0</v>
      </c>
      <c r="AC180" s="13">
        <v>0</v>
      </c>
      <c r="AD180" s="14">
        <v>0</v>
      </c>
      <c r="AE180" s="13">
        <v>0</v>
      </c>
      <c r="AF180" s="14">
        <v>0</v>
      </c>
      <c r="AG180" s="13">
        <v>0</v>
      </c>
      <c r="AH180" s="14">
        <v>0</v>
      </c>
      <c r="AI180" s="13">
        <v>0</v>
      </c>
      <c r="AJ180" s="14">
        <v>0</v>
      </c>
      <c r="AK180" s="13">
        <v>0</v>
      </c>
      <c r="AL180" s="14">
        <v>0</v>
      </c>
      <c r="AM180" s="13">
        <v>0</v>
      </c>
      <c r="AN180" s="14">
        <v>0</v>
      </c>
      <c r="AO180" s="13">
        <v>0</v>
      </c>
      <c r="AP180" s="14"/>
      <c r="AQ180" s="13">
        <v>0</v>
      </c>
      <c r="AR180" s="14">
        <v>0</v>
      </c>
      <c r="AS180" s="13">
        <v>0</v>
      </c>
      <c r="AT180" s="14">
        <v>0</v>
      </c>
      <c r="AU180" s="13">
        <v>0</v>
      </c>
      <c r="AV180" s="14">
        <v>0</v>
      </c>
      <c r="AW180" s="13">
        <v>0</v>
      </c>
      <c r="AX180" s="14">
        <v>0</v>
      </c>
      <c r="AY180" s="13">
        <v>3851999.8</v>
      </c>
      <c r="AZ180" s="15">
        <v>0</v>
      </c>
      <c r="BA180" s="20">
        <v>12431000</v>
      </c>
      <c r="BB180" s="21">
        <v>3852000</v>
      </c>
      <c r="BC180" s="20">
        <v>14227000</v>
      </c>
      <c r="BD180" s="21">
        <v>12431000</v>
      </c>
    </row>
    <row r="181" spans="1:56" ht="12" customHeight="1">
      <c r="A181" s="7" t="s">
        <v>432</v>
      </c>
      <c r="B181" s="8">
        <v>10038241</v>
      </c>
      <c r="C181" s="24" t="s">
        <v>526</v>
      </c>
      <c r="D181" s="19">
        <v>165407424</v>
      </c>
      <c r="E181" s="10">
        <f t="shared" si="8"/>
        <v>4594650.666666667</v>
      </c>
      <c r="F181" s="8" t="s">
        <v>31</v>
      </c>
      <c r="G181" s="8">
        <v>15</v>
      </c>
      <c r="H181" s="35" t="s">
        <v>433</v>
      </c>
      <c r="I181" s="11" t="s">
        <v>448</v>
      </c>
      <c r="J181" s="9">
        <f t="shared" si="10"/>
        <v>15480999.699999999</v>
      </c>
      <c r="K181" s="9">
        <f t="shared" si="11"/>
        <v>9397000</v>
      </c>
      <c r="L181" s="12">
        <f t="shared" si="9"/>
        <v>0.60700214340809011</v>
      </c>
      <c r="M181" s="13">
        <v>0</v>
      </c>
      <c r="N181" s="14">
        <v>0</v>
      </c>
      <c r="O181" s="13">
        <v>0</v>
      </c>
      <c r="P181" s="14">
        <v>0</v>
      </c>
      <c r="Q181" s="13">
        <v>0</v>
      </c>
      <c r="R181" s="14">
        <v>0</v>
      </c>
      <c r="S181" s="13">
        <v>0</v>
      </c>
      <c r="T181" s="14">
        <v>0</v>
      </c>
      <c r="U181" s="13">
        <v>0</v>
      </c>
      <c r="V181" s="14">
        <v>0</v>
      </c>
      <c r="W181" s="13">
        <v>0</v>
      </c>
      <c r="X181" s="14">
        <v>0</v>
      </c>
      <c r="Y181" s="13">
        <v>0</v>
      </c>
      <c r="Z181" s="14">
        <v>0</v>
      </c>
      <c r="AA181" s="13">
        <v>0</v>
      </c>
      <c r="AB181" s="14">
        <v>0</v>
      </c>
      <c r="AC181" s="13">
        <v>0</v>
      </c>
      <c r="AD181" s="14">
        <v>0</v>
      </c>
      <c r="AE181" s="13">
        <v>0</v>
      </c>
      <c r="AF181" s="14">
        <v>0</v>
      </c>
      <c r="AG181" s="13">
        <v>0</v>
      </c>
      <c r="AH181" s="14">
        <v>0</v>
      </c>
      <c r="AI181" s="13">
        <v>0</v>
      </c>
      <c r="AJ181" s="14">
        <v>0</v>
      </c>
      <c r="AK181" s="13">
        <v>0</v>
      </c>
      <c r="AL181" s="14">
        <v>0</v>
      </c>
      <c r="AM181" s="13">
        <v>0</v>
      </c>
      <c r="AN181" s="14">
        <v>0</v>
      </c>
      <c r="AO181" s="13">
        <v>0</v>
      </c>
      <c r="AP181" s="14"/>
      <c r="AQ181" s="13">
        <v>0</v>
      </c>
      <c r="AR181" s="14">
        <v>0</v>
      </c>
      <c r="AS181" s="13">
        <v>0</v>
      </c>
      <c r="AT181" s="14">
        <v>0</v>
      </c>
      <c r="AU181" s="13">
        <v>0</v>
      </c>
      <c r="AV181" s="14">
        <v>0</v>
      </c>
      <c r="AW181" s="13">
        <v>0</v>
      </c>
      <c r="AX181" s="14">
        <v>0</v>
      </c>
      <c r="AY181" s="13">
        <v>3676999.7</v>
      </c>
      <c r="AZ181" s="15">
        <v>0</v>
      </c>
      <c r="BA181" s="20">
        <v>5720000</v>
      </c>
      <c r="BB181" s="21">
        <v>0</v>
      </c>
      <c r="BC181" s="20">
        <v>6084000</v>
      </c>
      <c r="BD181" s="21">
        <v>9397000</v>
      </c>
    </row>
    <row r="182" spans="1:56" ht="12" customHeight="1">
      <c r="A182" s="7" t="s">
        <v>434</v>
      </c>
      <c r="B182" s="8">
        <v>10039976</v>
      </c>
      <c r="C182" s="24" t="s">
        <v>435</v>
      </c>
      <c r="D182" s="19">
        <v>897377545</v>
      </c>
      <c r="E182" s="10">
        <f t="shared" si="8"/>
        <v>24927154.027777776</v>
      </c>
      <c r="F182" s="8" t="s">
        <v>31</v>
      </c>
      <c r="G182" s="8">
        <v>100</v>
      </c>
      <c r="H182" s="35" t="s">
        <v>436</v>
      </c>
      <c r="I182" s="11" t="s">
        <v>448</v>
      </c>
      <c r="J182" s="9">
        <f t="shared" si="10"/>
        <v>38948000</v>
      </c>
      <c r="K182" s="9">
        <f t="shared" si="11"/>
        <v>23284000</v>
      </c>
      <c r="L182" s="12">
        <f t="shared" si="9"/>
        <v>0.59782273800965391</v>
      </c>
      <c r="M182" s="13">
        <v>0</v>
      </c>
      <c r="N182" s="14">
        <v>0</v>
      </c>
      <c r="O182" s="13">
        <v>0</v>
      </c>
      <c r="P182" s="14">
        <v>0</v>
      </c>
      <c r="Q182" s="13">
        <v>0</v>
      </c>
      <c r="R182" s="14">
        <v>0</v>
      </c>
      <c r="S182" s="13">
        <v>0</v>
      </c>
      <c r="T182" s="14">
        <v>0</v>
      </c>
      <c r="U182" s="13">
        <v>0</v>
      </c>
      <c r="V182" s="14">
        <v>0</v>
      </c>
      <c r="W182" s="13">
        <v>0</v>
      </c>
      <c r="X182" s="14">
        <v>0</v>
      </c>
      <c r="Y182" s="13">
        <v>0</v>
      </c>
      <c r="Z182" s="14">
        <v>0</v>
      </c>
      <c r="AA182" s="13">
        <v>0</v>
      </c>
      <c r="AB182" s="14">
        <v>0</v>
      </c>
      <c r="AC182" s="13">
        <v>0</v>
      </c>
      <c r="AD182" s="14">
        <v>0</v>
      </c>
      <c r="AE182" s="13">
        <v>0</v>
      </c>
      <c r="AF182" s="14">
        <v>0</v>
      </c>
      <c r="AG182" s="13">
        <v>0</v>
      </c>
      <c r="AH182" s="14">
        <v>0</v>
      </c>
      <c r="AI182" s="13">
        <v>0</v>
      </c>
      <c r="AJ182" s="14">
        <v>0</v>
      </c>
      <c r="AK182" s="13">
        <v>0</v>
      </c>
      <c r="AL182" s="14">
        <v>0</v>
      </c>
      <c r="AM182" s="13">
        <v>0</v>
      </c>
      <c r="AN182" s="14">
        <v>0</v>
      </c>
      <c r="AO182" s="13">
        <v>0</v>
      </c>
      <c r="AP182" s="14"/>
      <c r="AQ182" s="13">
        <v>0</v>
      </c>
      <c r="AR182" s="14">
        <v>0</v>
      </c>
      <c r="AS182" s="13">
        <v>0</v>
      </c>
      <c r="AT182" s="14">
        <v>0</v>
      </c>
      <c r="AU182" s="13">
        <v>0</v>
      </c>
      <c r="AV182" s="14">
        <v>0</v>
      </c>
      <c r="AW182" s="13">
        <v>0</v>
      </c>
      <c r="AX182" s="14">
        <v>0</v>
      </c>
      <c r="AY182" s="13">
        <v>6160000</v>
      </c>
      <c r="AZ182" s="15">
        <v>0</v>
      </c>
      <c r="BA182" s="20">
        <v>17124000</v>
      </c>
      <c r="BB182" s="21">
        <v>6160000</v>
      </c>
      <c r="BC182" s="20">
        <v>15664000</v>
      </c>
      <c r="BD182" s="21">
        <v>17124000</v>
      </c>
    </row>
    <row r="183" spans="1:56" ht="12" customHeight="1">
      <c r="A183" s="7" t="s">
        <v>437</v>
      </c>
      <c r="B183" s="8">
        <v>10040113</v>
      </c>
      <c r="C183" s="24" t="s">
        <v>438</v>
      </c>
      <c r="D183" s="19">
        <v>192881400</v>
      </c>
      <c r="E183" s="10">
        <f t="shared" si="8"/>
        <v>5357816.666666667</v>
      </c>
      <c r="F183" s="8" t="s">
        <v>67</v>
      </c>
      <c r="G183" s="8">
        <v>20</v>
      </c>
      <c r="H183" s="35" t="s">
        <v>439</v>
      </c>
      <c r="I183" s="11" t="s">
        <v>448</v>
      </c>
      <c r="J183" s="9">
        <f t="shared" si="10"/>
        <v>192881399.69999999</v>
      </c>
      <c r="K183" s="9">
        <f t="shared" si="11"/>
        <v>192881400</v>
      </c>
      <c r="L183" s="12">
        <f t="shared" si="9"/>
        <v>1.0000000015553601</v>
      </c>
      <c r="M183" s="13">
        <v>0</v>
      </c>
      <c r="N183" s="14">
        <v>0</v>
      </c>
      <c r="O183" s="13">
        <v>0</v>
      </c>
      <c r="P183" s="14">
        <v>0</v>
      </c>
      <c r="Q183" s="13">
        <v>0</v>
      </c>
      <c r="R183" s="14">
        <v>0</v>
      </c>
      <c r="S183" s="13">
        <v>0</v>
      </c>
      <c r="T183" s="14">
        <v>0</v>
      </c>
      <c r="U183" s="13">
        <v>0</v>
      </c>
      <c r="V183" s="14">
        <v>0</v>
      </c>
      <c r="W183" s="13">
        <v>0</v>
      </c>
      <c r="X183" s="14">
        <v>0</v>
      </c>
      <c r="Y183" s="13">
        <v>0</v>
      </c>
      <c r="Z183" s="14">
        <v>0</v>
      </c>
      <c r="AA183" s="13">
        <v>0</v>
      </c>
      <c r="AB183" s="14">
        <v>0</v>
      </c>
      <c r="AC183" s="13">
        <v>0</v>
      </c>
      <c r="AD183" s="14">
        <v>0</v>
      </c>
      <c r="AE183" s="13">
        <v>0</v>
      </c>
      <c r="AF183" s="14">
        <v>0</v>
      </c>
      <c r="AG183" s="13">
        <v>0</v>
      </c>
      <c r="AH183" s="14">
        <v>0</v>
      </c>
      <c r="AI183" s="13">
        <v>0</v>
      </c>
      <c r="AJ183" s="14">
        <v>0</v>
      </c>
      <c r="AK183" s="13">
        <v>0</v>
      </c>
      <c r="AL183" s="14">
        <v>0</v>
      </c>
      <c r="AM183" s="13">
        <v>0</v>
      </c>
      <c r="AN183" s="14">
        <v>0</v>
      </c>
      <c r="AO183" s="13">
        <v>0</v>
      </c>
      <c r="AP183" s="14"/>
      <c r="AQ183" s="13">
        <v>0</v>
      </c>
      <c r="AR183" s="14">
        <v>0</v>
      </c>
      <c r="AS183" s="13">
        <v>0</v>
      </c>
      <c r="AT183" s="14">
        <v>0</v>
      </c>
      <c r="AU183" s="13">
        <v>0</v>
      </c>
      <c r="AV183" s="14">
        <v>0</v>
      </c>
      <c r="AW183" s="13">
        <v>0</v>
      </c>
      <c r="AX183" s="14">
        <v>0</v>
      </c>
      <c r="AY183" s="13">
        <v>192881399.69999999</v>
      </c>
      <c r="AZ183" s="15">
        <v>0</v>
      </c>
      <c r="BA183" s="20">
        <v>0</v>
      </c>
      <c r="BB183" s="21">
        <v>150000000</v>
      </c>
      <c r="BC183" s="20">
        <v>0</v>
      </c>
      <c r="BD183" s="21">
        <v>42881400</v>
      </c>
    </row>
    <row r="184" spans="1:56" ht="12" customHeight="1">
      <c r="A184" s="7" t="s">
        <v>440</v>
      </c>
      <c r="B184" s="8">
        <v>10072686</v>
      </c>
      <c r="C184" s="24" t="s">
        <v>441</v>
      </c>
      <c r="D184" s="19">
        <v>388743010</v>
      </c>
      <c r="E184" s="10">
        <f t="shared" si="8"/>
        <v>10798416.944444444</v>
      </c>
      <c r="F184" s="8" t="s">
        <v>31</v>
      </c>
      <c r="G184" s="8">
        <v>30</v>
      </c>
      <c r="H184" s="35" t="s">
        <v>428</v>
      </c>
      <c r="I184" s="11" t="s">
        <v>448</v>
      </c>
      <c r="J184" s="9">
        <f t="shared" si="10"/>
        <v>16368000.1</v>
      </c>
      <c r="K184" s="9">
        <f t="shared" si="11"/>
        <v>9216000</v>
      </c>
      <c r="L184" s="12">
        <f t="shared" si="9"/>
        <v>0.56304984993249119</v>
      </c>
      <c r="M184" s="13">
        <v>0</v>
      </c>
      <c r="N184" s="14">
        <v>0</v>
      </c>
      <c r="O184" s="13">
        <v>0</v>
      </c>
      <c r="P184" s="14">
        <v>0</v>
      </c>
      <c r="Q184" s="13">
        <v>0</v>
      </c>
      <c r="R184" s="14">
        <v>0</v>
      </c>
      <c r="S184" s="13">
        <v>0</v>
      </c>
      <c r="T184" s="14">
        <v>0</v>
      </c>
      <c r="U184" s="13">
        <v>0</v>
      </c>
      <c r="V184" s="14">
        <v>0</v>
      </c>
      <c r="W184" s="13">
        <v>0</v>
      </c>
      <c r="X184" s="14">
        <v>0</v>
      </c>
      <c r="Y184" s="13">
        <v>0</v>
      </c>
      <c r="Z184" s="14">
        <v>0</v>
      </c>
      <c r="AA184" s="13">
        <v>0</v>
      </c>
      <c r="AB184" s="14">
        <v>0</v>
      </c>
      <c r="AC184" s="13">
        <v>0</v>
      </c>
      <c r="AD184" s="14">
        <v>0</v>
      </c>
      <c r="AE184" s="13">
        <v>0</v>
      </c>
      <c r="AF184" s="14">
        <v>0</v>
      </c>
      <c r="AG184" s="13">
        <v>0</v>
      </c>
      <c r="AH184" s="14">
        <v>0</v>
      </c>
      <c r="AI184" s="13">
        <v>0</v>
      </c>
      <c r="AJ184" s="14">
        <v>0</v>
      </c>
      <c r="AK184" s="13">
        <v>0</v>
      </c>
      <c r="AL184" s="14">
        <v>0</v>
      </c>
      <c r="AM184" s="13">
        <v>0</v>
      </c>
      <c r="AN184" s="14">
        <v>0</v>
      </c>
      <c r="AO184" s="13">
        <v>0</v>
      </c>
      <c r="AP184" s="14"/>
      <c r="AQ184" s="13">
        <v>0</v>
      </c>
      <c r="AR184" s="14">
        <v>0</v>
      </c>
      <c r="AS184" s="13">
        <v>0</v>
      </c>
      <c r="AT184" s="14">
        <v>0</v>
      </c>
      <c r="AU184" s="13">
        <v>0</v>
      </c>
      <c r="AV184" s="14">
        <v>0</v>
      </c>
      <c r="AW184" s="13">
        <v>0</v>
      </c>
      <c r="AX184" s="14">
        <v>0</v>
      </c>
      <c r="AY184" s="13">
        <v>2848000.1</v>
      </c>
      <c r="AZ184" s="15">
        <v>0</v>
      </c>
      <c r="BA184" s="20">
        <v>6368000</v>
      </c>
      <c r="BB184" s="21">
        <v>2848000</v>
      </c>
      <c r="BC184" s="20">
        <v>7152000</v>
      </c>
      <c r="BD184" s="21">
        <v>6368000</v>
      </c>
    </row>
    <row r="185" spans="1:56" ht="12" customHeight="1">
      <c r="A185" s="7" t="s">
        <v>442</v>
      </c>
      <c r="B185" s="8">
        <v>10087386</v>
      </c>
      <c r="C185" s="24" t="s">
        <v>443</v>
      </c>
      <c r="D185" s="19">
        <v>253500540</v>
      </c>
      <c r="E185" s="10">
        <f t="shared" si="8"/>
        <v>7041681.666666667</v>
      </c>
      <c r="F185" s="8" t="s">
        <v>49</v>
      </c>
      <c r="G185" s="8">
        <v>30</v>
      </c>
      <c r="H185" s="35" t="s">
        <v>416</v>
      </c>
      <c r="I185" s="11" t="s">
        <v>448</v>
      </c>
      <c r="J185" s="9">
        <f t="shared" si="10"/>
        <v>253500539.59999999</v>
      </c>
      <c r="K185" s="9">
        <f t="shared" si="11"/>
        <v>253500540</v>
      </c>
      <c r="L185" s="12">
        <f t="shared" si="9"/>
        <v>1.000000001577906</v>
      </c>
      <c r="M185" s="13">
        <v>0</v>
      </c>
      <c r="N185" s="14">
        <v>0</v>
      </c>
      <c r="O185" s="13">
        <v>0</v>
      </c>
      <c r="P185" s="14">
        <v>0</v>
      </c>
      <c r="Q185" s="13">
        <v>0</v>
      </c>
      <c r="R185" s="14">
        <v>0</v>
      </c>
      <c r="S185" s="13">
        <v>0</v>
      </c>
      <c r="T185" s="14">
        <v>0</v>
      </c>
      <c r="U185" s="13">
        <v>0</v>
      </c>
      <c r="V185" s="14">
        <v>0</v>
      </c>
      <c r="W185" s="13">
        <v>0</v>
      </c>
      <c r="X185" s="14">
        <v>0</v>
      </c>
      <c r="Y185" s="13">
        <v>0</v>
      </c>
      <c r="Z185" s="14">
        <v>0</v>
      </c>
      <c r="AA185" s="13">
        <v>0</v>
      </c>
      <c r="AB185" s="14">
        <v>0</v>
      </c>
      <c r="AC185" s="13">
        <v>0</v>
      </c>
      <c r="AD185" s="14">
        <v>0</v>
      </c>
      <c r="AE185" s="13">
        <v>0</v>
      </c>
      <c r="AF185" s="14">
        <v>0</v>
      </c>
      <c r="AG185" s="13">
        <v>0</v>
      </c>
      <c r="AH185" s="14">
        <v>0</v>
      </c>
      <c r="AI185" s="13">
        <v>0</v>
      </c>
      <c r="AJ185" s="14">
        <v>0</v>
      </c>
      <c r="AK185" s="13">
        <v>0</v>
      </c>
      <c r="AL185" s="14">
        <v>0</v>
      </c>
      <c r="AM185" s="13">
        <v>0</v>
      </c>
      <c r="AN185" s="14">
        <v>0</v>
      </c>
      <c r="AO185" s="13">
        <v>0</v>
      </c>
      <c r="AP185" s="14"/>
      <c r="AQ185" s="13">
        <v>0</v>
      </c>
      <c r="AR185" s="14">
        <v>0</v>
      </c>
      <c r="AS185" s="13">
        <v>0</v>
      </c>
      <c r="AT185" s="14">
        <v>0</v>
      </c>
      <c r="AU185" s="13">
        <v>0</v>
      </c>
      <c r="AV185" s="14">
        <v>0</v>
      </c>
      <c r="AW185" s="13">
        <v>0</v>
      </c>
      <c r="AX185" s="14">
        <v>0</v>
      </c>
      <c r="AY185" s="13">
        <v>253500539.59999999</v>
      </c>
      <c r="AZ185" s="15">
        <v>253500540</v>
      </c>
      <c r="BA185" s="20">
        <v>0</v>
      </c>
      <c r="BB185" s="21">
        <v>0</v>
      </c>
      <c r="BC185" s="20">
        <v>0</v>
      </c>
      <c r="BD185" s="21">
        <v>0</v>
      </c>
    </row>
    <row r="186" spans="1:56" ht="12" customHeight="1">
      <c r="A186" s="7" t="s">
        <v>444</v>
      </c>
      <c r="B186" s="8">
        <v>10112509</v>
      </c>
      <c r="C186" s="24" t="s">
        <v>445</v>
      </c>
      <c r="D186" s="19">
        <v>619102418</v>
      </c>
      <c r="E186" s="10">
        <f t="shared" si="8"/>
        <v>17197289.388888888</v>
      </c>
      <c r="F186" s="8" t="s">
        <v>31</v>
      </c>
      <c r="G186" s="8">
        <v>60</v>
      </c>
      <c r="H186" s="35" t="s">
        <v>446</v>
      </c>
      <c r="I186" s="11" t="s">
        <v>448</v>
      </c>
      <c r="J186" s="9">
        <f t="shared" si="10"/>
        <v>13159999.9</v>
      </c>
      <c r="K186" s="9">
        <f t="shared" si="11"/>
        <v>4093000</v>
      </c>
      <c r="L186" s="12">
        <f t="shared" si="9"/>
        <v>0.31101823944542734</v>
      </c>
      <c r="M186" s="13">
        <v>0</v>
      </c>
      <c r="N186" s="14">
        <v>0</v>
      </c>
      <c r="O186" s="13">
        <v>0</v>
      </c>
      <c r="P186" s="14">
        <v>0</v>
      </c>
      <c r="Q186" s="13">
        <v>0</v>
      </c>
      <c r="R186" s="14">
        <v>0</v>
      </c>
      <c r="S186" s="13">
        <v>0</v>
      </c>
      <c r="T186" s="14">
        <v>0</v>
      </c>
      <c r="U186" s="13">
        <v>0</v>
      </c>
      <c r="V186" s="14">
        <v>0</v>
      </c>
      <c r="W186" s="13">
        <v>0</v>
      </c>
      <c r="X186" s="14">
        <v>0</v>
      </c>
      <c r="Y186" s="13">
        <v>0</v>
      </c>
      <c r="Z186" s="14">
        <v>0</v>
      </c>
      <c r="AA186" s="13">
        <v>0</v>
      </c>
      <c r="AB186" s="14">
        <v>0</v>
      </c>
      <c r="AC186" s="13">
        <v>0</v>
      </c>
      <c r="AD186" s="14">
        <v>0</v>
      </c>
      <c r="AE186" s="13">
        <v>0</v>
      </c>
      <c r="AF186" s="14">
        <v>0</v>
      </c>
      <c r="AG186" s="13">
        <v>0</v>
      </c>
      <c r="AH186" s="14">
        <v>0</v>
      </c>
      <c r="AI186" s="13">
        <v>0</v>
      </c>
      <c r="AJ186" s="14">
        <v>0</v>
      </c>
      <c r="AK186" s="13">
        <v>0</v>
      </c>
      <c r="AL186" s="14">
        <v>0</v>
      </c>
      <c r="AM186" s="13">
        <v>0</v>
      </c>
      <c r="AN186" s="14">
        <v>0</v>
      </c>
      <c r="AO186" s="13">
        <v>0</v>
      </c>
      <c r="AP186" s="14"/>
      <c r="AQ186" s="13">
        <v>0</v>
      </c>
      <c r="AR186" s="14">
        <v>0</v>
      </c>
      <c r="AS186" s="13">
        <v>0</v>
      </c>
      <c r="AT186" s="14">
        <v>0</v>
      </c>
      <c r="AU186" s="13">
        <v>0</v>
      </c>
      <c r="AV186" s="14">
        <v>0</v>
      </c>
      <c r="AW186" s="13">
        <v>0</v>
      </c>
      <c r="AX186" s="14">
        <v>0</v>
      </c>
      <c r="AY186" s="13">
        <v>4092999.9</v>
      </c>
      <c r="AZ186" s="15">
        <v>0</v>
      </c>
      <c r="BA186" s="20">
        <v>4784000</v>
      </c>
      <c r="BB186" s="21">
        <v>0</v>
      </c>
      <c r="BC186" s="20">
        <v>4283000</v>
      </c>
      <c r="BD186" s="21">
        <v>4093000</v>
      </c>
    </row>
    <row r="187" spans="1:56" ht="12" customHeight="1">
      <c r="A187" s="7" t="s">
        <v>447</v>
      </c>
      <c r="B187" s="8">
        <v>10114610</v>
      </c>
      <c r="C187" s="24" t="s">
        <v>527</v>
      </c>
      <c r="D187" s="19">
        <v>862137282</v>
      </c>
      <c r="E187" s="10">
        <f t="shared" si="8"/>
        <v>23948257.833333332</v>
      </c>
      <c r="F187" s="8" t="s">
        <v>31</v>
      </c>
      <c r="G187" s="8">
        <v>100</v>
      </c>
      <c r="H187" s="35" t="s">
        <v>282</v>
      </c>
      <c r="I187" s="11" t="s">
        <v>448</v>
      </c>
      <c r="J187" s="9">
        <f t="shared" si="10"/>
        <v>118351999.8</v>
      </c>
      <c r="K187" s="9">
        <f t="shared" si="11"/>
        <v>110236000</v>
      </c>
      <c r="L187" s="12">
        <f t="shared" si="9"/>
        <v>0.93142490356128316</v>
      </c>
      <c r="M187" s="13">
        <v>0</v>
      </c>
      <c r="N187" s="14">
        <v>0</v>
      </c>
      <c r="O187" s="13">
        <v>0</v>
      </c>
      <c r="P187" s="14">
        <v>0</v>
      </c>
      <c r="Q187" s="13">
        <v>0</v>
      </c>
      <c r="R187" s="14">
        <v>0</v>
      </c>
      <c r="S187" s="13">
        <v>0</v>
      </c>
      <c r="T187" s="14">
        <v>0</v>
      </c>
      <c r="U187" s="13">
        <v>0</v>
      </c>
      <c r="V187" s="14">
        <v>0</v>
      </c>
      <c r="W187" s="13">
        <v>0</v>
      </c>
      <c r="X187" s="14">
        <v>0</v>
      </c>
      <c r="Y187" s="13">
        <v>0</v>
      </c>
      <c r="Z187" s="14">
        <v>0</v>
      </c>
      <c r="AA187" s="13">
        <v>0</v>
      </c>
      <c r="AB187" s="14">
        <v>0</v>
      </c>
      <c r="AC187" s="13">
        <v>0</v>
      </c>
      <c r="AD187" s="14">
        <v>0</v>
      </c>
      <c r="AE187" s="13">
        <v>0</v>
      </c>
      <c r="AF187" s="14">
        <v>0</v>
      </c>
      <c r="AG187" s="13">
        <v>0</v>
      </c>
      <c r="AH187" s="14">
        <v>0</v>
      </c>
      <c r="AI187" s="13">
        <v>0</v>
      </c>
      <c r="AJ187" s="14">
        <v>0</v>
      </c>
      <c r="AK187" s="13">
        <v>0</v>
      </c>
      <c r="AL187" s="14">
        <v>0</v>
      </c>
      <c r="AM187" s="13">
        <v>0</v>
      </c>
      <c r="AN187" s="14">
        <v>0</v>
      </c>
      <c r="AO187" s="13">
        <v>0</v>
      </c>
      <c r="AP187" s="14"/>
      <c r="AQ187" s="13">
        <v>10703999.9</v>
      </c>
      <c r="AR187" s="14">
        <v>0</v>
      </c>
      <c r="AS187" s="13">
        <v>16735999.5</v>
      </c>
      <c r="AT187" s="14">
        <v>10704000</v>
      </c>
      <c r="AU187" s="13">
        <v>19375999.5</v>
      </c>
      <c r="AV187" s="14">
        <v>0</v>
      </c>
      <c r="AW187" s="13">
        <v>17408000.5</v>
      </c>
      <c r="AX187" s="14">
        <v>36112000</v>
      </c>
      <c r="AY187" s="13">
        <v>18608000.399999999</v>
      </c>
      <c r="AZ187" s="15">
        <v>17408000</v>
      </c>
      <c r="BA187" s="20">
        <v>17504000</v>
      </c>
      <c r="BB187" s="21">
        <v>18608000</v>
      </c>
      <c r="BC187" s="20">
        <v>18016000</v>
      </c>
      <c r="BD187" s="21">
        <v>27404000</v>
      </c>
    </row>
    <row r="188" spans="1:56" ht="12" customHeight="1">
      <c r="A188" s="7" t="s">
        <v>457</v>
      </c>
      <c r="B188" s="8">
        <v>10033319</v>
      </c>
      <c r="C188" s="24" t="s">
        <v>450</v>
      </c>
      <c r="D188" s="19">
        <v>402684575</v>
      </c>
      <c r="E188" s="10">
        <f t="shared" si="8"/>
        <v>11185682.638888888</v>
      </c>
      <c r="F188" s="8" t="s">
        <v>31</v>
      </c>
      <c r="G188" s="8">
        <v>55</v>
      </c>
      <c r="H188" s="35">
        <v>46148</v>
      </c>
      <c r="I188" s="11" t="s">
        <v>448</v>
      </c>
      <c r="J188" s="9">
        <f t="shared" si="10"/>
        <v>18436000</v>
      </c>
      <c r="K188" s="9">
        <f t="shared" si="11"/>
        <v>9728000</v>
      </c>
      <c r="L188" s="12">
        <f t="shared" si="9"/>
        <v>0.52766326752006942</v>
      </c>
      <c r="M188" s="13"/>
      <c r="N188" s="14"/>
      <c r="O188" s="13"/>
      <c r="P188" s="14"/>
      <c r="Q188" s="13"/>
      <c r="R188" s="14"/>
      <c r="S188" s="13"/>
      <c r="T188" s="14"/>
      <c r="U188" s="13"/>
      <c r="V188" s="14"/>
      <c r="W188" s="13"/>
      <c r="X188" s="14"/>
      <c r="Y188" s="13"/>
      <c r="Z188" s="14"/>
      <c r="AA188" s="13"/>
      <c r="AB188" s="14"/>
      <c r="AC188" s="13"/>
      <c r="AD188" s="14"/>
      <c r="AE188" s="13"/>
      <c r="AF188" s="14"/>
      <c r="AG188" s="13"/>
      <c r="AH188" s="14"/>
      <c r="AI188" s="13"/>
      <c r="AJ188" s="14"/>
      <c r="AK188" s="13"/>
      <c r="AL188" s="14"/>
      <c r="AM188" s="13"/>
      <c r="AN188" s="14"/>
      <c r="AO188" s="13"/>
      <c r="AP188" s="14"/>
      <c r="AQ188" s="13"/>
      <c r="AR188" s="14"/>
      <c r="AS188" s="13"/>
      <c r="AT188" s="14"/>
      <c r="AU188" s="13"/>
      <c r="AV188" s="14"/>
      <c r="AW188" s="13"/>
      <c r="AX188" s="14"/>
      <c r="AY188" s="13"/>
      <c r="AZ188" s="15"/>
      <c r="BA188" s="20">
        <v>9728000</v>
      </c>
      <c r="BB188" s="21">
        <v>0</v>
      </c>
      <c r="BC188" s="20">
        <v>8708000</v>
      </c>
      <c r="BD188" s="21">
        <v>9728000</v>
      </c>
    </row>
    <row r="189" spans="1:56" ht="12" customHeight="1">
      <c r="A189" s="7" t="s">
        <v>458</v>
      </c>
      <c r="B189" s="8">
        <v>10038511</v>
      </c>
      <c r="C189" s="24" t="s">
        <v>451</v>
      </c>
      <c r="D189" s="19">
        <v>378120160</v>
      </c>
      <c r="E189" s="10">
        <f t="shared" si="8"/>
        <v>10503337.777777778</v>
      </c>
      <c r="F189" s="8" t="s">
        <v>31</v>
      </c>
      <c r="G189" s="8">
        <v>30</v>
      </c>
      <c r="H189" s="35">
        <v>46184</v>
      </c>
      <c r="I189" s="11" t="s">
        <v>448</v>
      </c>
      <c r="J189" s="9">
        <f t="shared" si="10"/>
        <v>8997900</v>
      </c>
      <c r="K189" s="9">
        <f t="shared" si="11"/>
        <v>0</v>
      </c>
      <c r="L189" s="12">
        <f t="shared" si="9"/>
        <v>0</v>
      </c>
      <c r="M189" s="13"/>
      <c r="N189" s="14"/>
      <c r="O189" s="13"/>
      <c r="P189" s="14"/>
      <c r="Q189" s="13"/>
      <c r="R189" s="14"/>
      <c r="S189" s="13"/>
      <c r="T189" s="14"/>
      <c r="U189" s="13"/>
      <c r="V189" s="14"/>
      <c r="W189" s="13"/>
      <c r="X189" s="14"/>
      <c r="Y189" s="13"/>
      <c r="Z189" s="14"/>
      <c r="AA189" s="13"/>
      <c r="AB189" s="14"/>
      <c r="AC189" s="13"/>
      <c r="AD189" s="14"/>
      <c r="AE189" s="13"/>
      <c r="AF189" s="14"/>
      <c r="AG189" s="13"/>
      <c r="AH189" s="14"/>
      <c r="AI189" s="13"/>
      <c r="AJ189" s="14"/>
      <c r="AK189" s="13"/>
      <c r="AL189" s="14"/>
      <c r="AM189" s="13"/>
      <c r="AN189" s="14"/>
      <c r="AO189" s="13"/>
      <c r="AP189" s="14"/>
      <c r="AQ189" s="13"/>
      <c r="AR189" s="14"/>
      <c r="AS189" s="13"/>
      <c r="AT189" s="14"/>
      <c r="AU189" s="13"/>
      <c r="AV189" s="14"/>
      <c r="AW189" s="13"/>
      <c r="AX189" s="14"/>
      <c r="AY189" s="13"/>
      <c r="AZ189" s="15"/>
      <c r="BA189" s="20">
        <v>1308300</v>
      </c>
      <c r="BB189" s="21">
        <v>0</v>
      </c>
      <c r="BC189" s="20">
        <v>7689600</v>
      </c>
      <c r="BD189" s="21">
        <v>0</v>
      </c>
    </row>
    <row r="190" spans="1:56" ht="12" customHeight="1">
      <c r="A190" s="7" t="s">
        <v>459</v>
      </c>
      <c r="B190" s="8">
        <v>10039922</v>
      </c>
      <c r="C190" s="24" t="s">
        <v>452</v>
      </c>
      <c r="D190" s="19">
        <v>390773875</v>
      </c>
      <c r="E190" s="10">
        <f t="shared" si="8"/>
        <v>10854829.861111112</v>
      </c>
      <c r="F190" s="8" t="s">
        <v>31</v>
      </c>
      <c r="G190" s="8">
        <v>40</v>
      </c>
      <c r="H190" s="35">
        <v>46170</v>
      </c>
      <c r="I190" s="11" t="s">
        <v>448</v>
      </c>
      <c r="J190" s="9">
        <f t="shared" si="10"/>
        <v>16479000</v>
      </c>
      <c r="K190" s="9">
        <f t="shared" si="11"/>
        <v>0</v>
      </c>
      <c r="L190" s="12">
        <f t="shared" si="9"/>
        <v>0</v>
      </c>
      <c r="M190" s="13"/>
      <c r="N190" s="14"/>
      <c r="O190" s="13"/>
      <c r="P190" s="14"/>
      <c r="Q190" s="13"/>
      <c r="R190" s="14"/>
      <c r="S190" s="13"/>
      <c r="T190" s="14"/>
      <c r="U190" s="13"/>
      <c r="V190" s="14"/>
      <c r="W190" s="13"/>
      <c r="X190" s="14"/>
      <c r="Y190" s="13"/>
      <c r="Z190" s="14"/>
      <c r="AA190" s="13"/>
      <c r="AB190" s="14"/>
      <c r="AC190" s="13"/>
      <c r="AD190" s="14"/>
      <c r="AE190" s="13"/>
      <c r="AF190" s="14"/>
      <c r="AG190" s="13"/>
      <c r="AH190" s="14"/>
      <c r="AI190" s="13"/>
      <c r="AJ190" s="14"/>
      <c r="AK190" s="13"/>
      <c r="AL190" s="14"/>
      <c r="AM190" s="13"/>
      <c r="AN190" s="14"/>
      <c r="AO190" s="13"/>
      <c r="AP190" s="14"/>
      <c r="AQ190" s="13"/>
      <c r="AR190" s="14"/>
      <c r="AS190" s="13"/>
      <c r="AT190" s="14"/>
      <c r="AU190" s="13"/>
      <c r="AV190" s="14"/>
      <c r="AW190" s="13"/>
      <c r="AX190" s="14"/>
      <c r="AY190" s="13"/>
      <c r="AZ190" s="15"/>
      <c r="BA190" s="20">
        <v>6296000</v>
      </c>
      <c r="BB190" s="21">
        <v>0</v>
      </c>
      <c r="BC190" s="20">
        <v>10183000</v>
      </c>
      <c r="BD190" s="21">
        <v>0</v>
      </c>
    </row>
    <row r="191" spans="1:56" ht="12" customHeight="1">
      <c r="A191" s="7" t="s">
        <v>460</v>
      </c>
      <c r="B191" s="8">
        <v>10041314</v>
      </c>
      <c r="C191" s="24" t="s">
        <v>453</v>
      </c>
      <c r="D191" s="19">
        <v>240000000</v>
      </c>
      <c r="E191" s="10">
        <f t="shared" si="8"/>
        <v>6666666.666666667</v>
      </c>
      <c r="F191" s="8" t="s">
        <v>67</v>
      </c>
      <c r="G191" s="8">
        <v>40</v>
      </c>
      <c r="H191" s="35">
        <v>46238</v>
      </c>
      <c r="I191" s="11" t="s">
        <v>448</v>
      </c>
      <c r="J191" s="9">
        <f t="shared" si="10"/>
        <v>96000000</v>
      </c>
      <c r="K191" s="9">
        <f t="shared" si="11"/>
        <v>48000000</v>
      </c>
      <c r="L191" s="12">
        <f t="shared" si="9"/>
        <v>0.5</v>
      </c>
      <c r="M191" s="13"/>
      <c r="N191" s="14"/>
      <c r="O191" s="13"/>
      <c r="P191" s="14"/>
      <c r="Q191" s="13"/>
      <c r="R191" s="14"/>
      <c r="S191" s="13"/>
      <c r="T191" s="14"/>
      <c r="U191" s="13"/>
      <c r="V191" s="14"/>
      <c r="W191" s="13"/>
      <c r="X191" s="14"/>
      <c r="Y191" s="13"/>
      <c r="Z191" s="14"/>
      <c r="AA191" s="13"/>
      <c r="AB191" s="14"/>
      <c r="AC191" s="13"/>
      <c r="AD191" s="14"/>
      <c r="AE191" s="13"/>
      <c r="AF191" s="14"/>
      <c r="AG191" s="13"/>
      <c r="AH191" s="14"/>
      <c r="AI191" s="13"/>
      <c r="AJ191" s="14"/>
      <c r="AK191" s="13"/>
      <c r="AL191" s="14"/>
      <c r="AM191" s="13"/>
      <c r="AN191" s="14"/>
      <c r="AO191" s="13"/>
      <c r="AP191" s="14"/>
      <c r="AQ191" s="13"/>
      <c r="AR191" s="14"/>
      <c r="AS191" s="13"/>
      <c r="AT191" s="14"/>
      <c r="AU191" s="13"/>
      <c r="AV191" s="14"/>
      <c r="AW191" s="13"/>
      <c r="AX191" s="14"/>
      <c r="AY191" s="13"/>
      <c r="AZ191" s="15"/>
      <c r="BA191" s="20">
        <v>48000000</v>
      </c>
      <c r="BB191" s="21">
        <v>0</v>
      </c>
      <c r="BC191" s="20">
        <v>48000000</v>
      </c>
      <c r="BD191" s="21">
        <v>48000000</v>
      </c>
    </row>
    <row r="192" spans="1:56" ht="12" customHeight="1">
      <c r="A192" s="7" t="s">
        <v>461</v>
      </c>
      <c r="B192" s="8">
        <v>10042480</v>
      </c>
      <c r="C192" s="24" t="s">
        <v>454</v>
      </c>
      <c r="D192" s="19">
        <v>335334466</v>
      </c>
      <c r="E192" s="10">
        <f t="shared" si="8"/>
        <v>9314846.277777778</v>
      </c>
      <c r="F192" s="8" t="s">
        <v>31</v>
      </c>
      <c r="G192" s="8">
        <v>30</v>
      </c>
      <c r="H192" s="35">
        <v>46164</v>
      </c>
      <c r="I192" s="11" t="s">
        <v>448</v>
      </c>
      <c r="J192" s="9">
        <f t="shared" si="10"/>
        <v>5408000</v>
      </c>
      <c r="K192" s="9">
        <f t="shared" si="11"/>
        <v>2416000</v>
      </c>
      <c r="L192" s="12">
        <f t="shared" si="9"/>
        <v>0.44674556213017752</v>
      </c>
      <c r="M192" s="13"/>
      <c r="N192" s="14"/>
      <c r="O192" s="13"/>
      <c r="P192" s="14"/>
      <c r="Q192" s="13"/>
      <c r="R192" s="14"/>
      <c r="S192" s="13"/>
      <c r="T192" s="14"/>
      <c r="U192" s="13"/>
      <c r="V192" s="14"/>
      <c r="W192" s="13"/>
      <c r="X192" s="14"/>
      <c r="Y192" s="13"/>
      <c r="Z192" s="14"/>
      <c r="AA192" s="13"/>
      <c r="AB192" s="14"/>
      <c r="AC192" s="13"/>
      <c r="AD192" s="14"/>
      <c r="AE192" s="13"/>
      <c r="AF192" s="14"/>
      <c r="AG192" s="13"/>
      <c r="AH192" s="14"/>
      <c r="AI192" s="13"/>
      <c r="AJ192" s="14"/>
      <c r="AK192" s="13"/>
      <c r="AL192" s="14"/>
      <c r="AM192" s="13"/>
      <c r="AN192" s="14"/>
      <c r="AO192" s="13"/>
      <c r="AP192" s="14"/>
      <c r="AQ192" s="13"/>
      <c r="AR192" s="14"/>
      <c r="AS192" s="13"/>
      <c r="AT192" s="14"/>
      <c r="AU192" s="13"/>
      <c r="AV192" s="14"/>
      <c r="AW192" s="13"/>
      <c r="AX192" s="14"/>
      <c r="AY192" s="13"/>
      <c r="AZ192" s="15"/>
      <c r="BA192" s="20">
        <v>2416000</v>
      </c>
      <c r="BB192" s="21">
        <v>0</v>
      </c>
      <c r="BC192" s="20">
        <v>2992000</v>
      </c>
      <c r="BD192" s="21">
        <v>2416000</v>
      </c>
    </row>
    <row r="193" spans="1:56" ht="12" customHeight="1">
      <c r="A193" s="7" t="s">
        <v>462</v>
      </c>
      <c r="B193" s="8">
        <v>10048962</v>
      </c>
      <c r="C193" s="24" t="s">
        <v>455</v>
      </c>
      <c r="D193" s="19">
        <v>494587379</v>
      </c>
      <c r="E193" s="10">
        <f t="shared" si="8"/>
        <v>13738538.305555556</v>
      </c>
      <c r="F193" s="8" t="s">
        <v>31</v>
      </c>
      <c r="G193" s="8">
        <v>30</v>
      </c>
      <c r="H193" s="35">
        <v>46073</v>
      </c>
      <c r="I193" s="11" t="s">
        <v>448</v>
      </c>
      <c r="J193" s="9">
        <f t="shared" si="10"/>
        <v>2320000</v>
      </c>
      <c r="K193" s="9">
        <f t="shared" si="11"/>
        <v>2320000</v>
      </c>
      <c r="L193" s="12">
        <f t="shared" si="9"/>
        <v>1</v>
      </c>
      <c r="M193" s="13"/>
      <c r="N193" s="14"/>
      <c r="O193" s="13"/>
      <c r="P193" s="14"/>
      <c r="Q193" s="13"/>
      <c r="R193" s="14"/>
      <c r="S193" s="13"/>
      <c r="T193" s="14"/>
      <c r="U193" s="13"/>
      <c r="V193" s="14"/>
      <c r="W193" s="13"/>
      <c r="X193" s="14"/>
      <c r="Y193" s="13"/>
      <c r="Z193" s="14"/>
      <c r="AA193" s="13"/>
      <c r="AB193" s="14"/>
      <c r="AC193" s="13"/>
      <c r="AD193" s="14"/>
      <c r="AE193" s="13"/>
      <c r="AF193" s="14"/>
      <c r="AG193" s="13"/>
      <c r="AH193" s="14"/>
      <c r="AI193" s="13"/>
      <c r="AJ193" s="14"/>
      <c r="AK193" s="13"/>
      <c r="AL193" s="14"/>
      <c r="AM193" s="13"/>
      <c r="AN193" s="14"/>
      <c r="AO193" s="13"/>
      <c r="AP193" s="14"/>
      <c r="AQ193" s="13"/>
      <c r="AR193" s="14"/>
      <c r="AS193" s="13"/>
      <c r="AT193" s="14"/>
      <c r="AU193" s="13"/>
      <c r="AV193" s="14"/>
      <c r="AW193" s="13"/>
      <c r="AX193" s="14"/>
      <c r="AY193" s="13"/>
      <c r="AZ193" s="15"/>
      <c r="BA193" s="20">
        <v>1120000</v>
      </c>
      <c r="BB193" s="21">
        <v>0</v>
      </c>
      <c r="BC193" s="20">
        <v>1200000</v>
      </c>
      <c r="BD193" s="21">
        <v>2320000</v>
      </c>
    </row>
    <row r="194" spans="1:56" ht="12" customHeight="1">
      <c r="A194" s="7" t="s">
        <v>463</v>
      </c>
      <c r="B194" s="8">
        <v>10050630</v>
      </c>
      <c r="C194" s="24" t="s">
        <v>456</v>
      </c>
      <c r="D194" s="19">
        <v>520074735.00000006</v>
      </c>
      <c r="E194" s="10">
        <f t="shared" ref="E194:E201" si="12">D194/36</f>
        <v>14446520.416666668</v>
      </c>
      <c r="F194" s="8" t="s">
        <v>31</v>
      </c>
      <c r="G194" s="8">
        <v>64</v>
      </c>
      <c r="H194" s="35">
        <v>46140</v>
      </c>
      <c r="I194" s="11" t="s">
        <v>448</v>
      </c>
      <c r="J194" s="9">
        <f t="shared" si="10"/>
        <v>4570000</v>
      </c>
      <c r="K194" s="9">
        <f t="shared" si="11"/>
        <v>2089999.9999999998</v>
      </c>
      <c r="L194" s="12">
        <f t="shared" si="9"/>
        <v>0.45733041575492334</v>
      </c>
      <c r="M194" s="13"/>
      <c r="N194" s="14"/>
      <c r="O194" s="13"/>
      <c r="P194" s="14"/>
      <c r="Q194" s="13"/>
      <c r="R194" s="14"/>
      <c r="S194" s="13"/>
      <c r="T194" s="14"/>
      <c r="U194" s="13"/>
      <c r="V194" s="14"/>
      <c r="W194" s="13"/>
      <c r="X194" s="14"/>
      <c r="Y194" s="13"/>
      <c r="Z194" s="14"/>
      <c r="AA194" s="13"/>
      <c r="AB194" s="14"/>
      <c r="AC194" s="13"/>
      <c r="AD194" s="14"/>
      <c r="AE194" s="13"/>
      <c r="AF194" s="14"/>
      <c r="AG194" s="13"/>
      <c r="AH194" s="14"/>
      <c r="AI194" s="13"/>
      <c r="AJ194" s="14"/>
      <c r="AK194" s="13"/>
      <c r="AL194" s="14"/>
      <c r="AM194" s="13"/>
      <c r="AN194" s="14"/>
      <c r="AO194" s="13"/>
      <c r="AP194" s="14"/>
      <c r="AQ194" s="13"/>
      <c r="AR194" s="14"/>
      <c r="AS194" s="13"/>
      <c r="AT194" s="14"/>
      <c r="AU194" s="13"/>
      <c r="AV194" s="14"/>
      <c r="AW194" s="13"/>
      <c r="AX194" s="14"/>
      <c r="AY194" s="13"/>
      <c r="AZ194" s="15"/>
      <c r="BA194" s="20">
        <v>2089999.9999999998</v>
      </c>
      <c r="BB194" s="21">
        <v>0</v>
      </c>
      <c r="BC194" s="20">
        <v>2480000</v>
      </c>
      <c r="BD194" s="21">
        <v>2089999.9999999998</v>
      </c>
    </row>
    <row r="195" spans="1:56" ht="12" customHeight="1">
      <c r="A195" s="7" t="s">
        <v>464</v>
      </c>
      <c r="B195" s="8">
        <v>10090690</v>
      </c>
      <c r="C195" s="24" t="s">
        <v>449</v>
      </c>
      <c r="D195" s="19">
        <v>350000000</v>
      </c>
      <c r="E195" s="10">
        <f t="shared" si="12"/>
        <v>9722222.222222222</v>
      </c>
      <c r="F195" s="8" t="s">
        <v>67</v>
      </c>
      <c r="G195" s="8">
        <v>90</v>
      </c>
      <c r="H195" s="35">
        <v>46219</v>
      </c>
      <c r="I195" s="11" t="s">
        <v>448</v>
      </c>
      <c r="J195" s="9">
        <f t="shared" si="10"/>
        <v>350000000</v>
      </c>
      <c r="K195" s="9">
        <f t="shared" si="11"/>
        <v>350000000</v>
      </c>
      <c r="L195" s="12">
        <f t="shared" ref="L195:L201" si="13">K195/J195</f>
        <v>1</v>
      </c>
      <c r="M195" s="13"/>
      <c r="N195" s="14"/>
      <c r="O195" s="13"/>
      <c r="P195" s="14"/>
      <c r="Q195" s="13"/>
      <c r="R195" s="14"/>
      <c r="S195" s="13"/>
      <c r="T195" s="14"/>
      <c r="U195" s="13"/>
      <c r="V195" s="14"/>
      <c r="W195" s="13"/>
      <c r="X195" s="14"/>
      <c r="Y195" s="13"/>
      <c r="Z195" s="14"/>
      <c r="AA195" s="13"/>
      <c r="AB195" s="14"/>
      <c r="AC195" s="13"/>
      <c r="AD195" s="14"/>
      <c r="AE195" s="13"/>
      <c r="AF195" s="14"/>
      <c r="AG195" s="13"/>
      <c r="AH195" s="14"/>
      <c r="AI195" s="13"/>
      <c r="AJ195" s="14"/>
      <c r="AK195" s="13"/>
      <c r="AL195" s="14"/>
      <c r="AM195" s="13"/>
      <c r="AN195" s="14"/>
      <c r="AO195" s="13"/>
      <c r="AP195" s="14"/>
      <c r="AQ195" s="13"/>
      <c r="AR195" s="14"/>
      <c r="AS195" s="13"/>
      <c r="AT195" s="14"/>
      <c r="AU195" s="13"/>
      <c r="AV195" s="14"/>
      <c r="AW195" s="13"/>
      <c r="AX195" s="14"/>
      <c r="AY195" s="13"/>
      <c r="AZ195" s="15"/>
      <c r="BA195" s="20">
        <v>0</v>
      </c>
      <c r="BB195" s="21">
        <v>350000000</v>
      </c>
      <c r="BC195" s="20">
        <v>350000000</v>
      </c>
      <c r="BD195" s="21">
        <v>0</v>
      </c>
    </row>
    <row r="196" spans="1:56" ht="12" customHeight="1">
      <c r="A196" s="22" t="s">
        <v>467</v>
      </c>
      <c r="B196" s="23">
        <v>10032743</v>
      </c>
      <c r="C196" s="34" t="s">
        <v>473</v>
      </c>
      <c r="D196" s="19">
        <f>VLOOKUP(B196,[2]계약서!$C:$R,16,0)</f>
        <v>130283894</v>
      </c>
      <c r="E196" s="10">
        <f t="shared" si="12"/>
        <v>3618997.0555555555</v>
      </c>
      <c r="F196" s="8" t="s">
        <v>479</v>
      </c>
      <c r="G196" s="8">
        <v>10</v>
      </c>
      <c r="H196" s="35" t="s">
        <v>480</v>
      </c>
      <c r="I196" s="11" t="s">
        <v>448</v>
      </c>
      <c r="J196" s="9">
        <f t="shared" ref="J196:J201" si="14">M196+O196+Q196+S196+U196+W196+Y196+AA196+AC196+AE196+AG196+AI196+AK196+AM196+AO196+AQ196+AS196+AU196+AW196+AY196+BA196+BC196</f>
        <v>2765000</v>
      </c>
      <c r="K196" s="9">
        <f t="shared" ref="K196:K201" si="15">N196+P196+R196+T196+V196+X196+Z196+AB196+AD196+AF196+AH196+AJ196+AL196+AN196+AP196+AR196+AT196+AV196+AX196+AZ196+BB196+BD196</f>
        <v>0</v>
      </c>
      <c r="L196" s="12">
        <f t="shared" si="13"/>
        <v>0</v>
      </c>
      <c r="M196" s="13"/>
      <c r="N196" s="14"/>
      <c r="O196" s="13"/>
      <c r="P196" s="14"/>
      <c r="Q196" s="13"/>
      <c r="R196" s="14"/>
      <c r="S196" s="13"/>
      <c r="T196" s="14"/>
      <c r="U196" s="13"/>
      <c r="V196" s="14"/>
      <c r="W196" s="13"/>
      <c r="X196" s="14"/>
      <c r="Y196" s="13"/>
      <c r="Z196" s="14"/>
      <c r="AA196" s="13"/>
      <c r="AB196" s="14"/>
      <c r="AC196" s="13"/>
      <c r="AD196" s="14"/>
      <c r="AE196" s="13"/>
      <c r="AF196" s="14"/>
      <c r="AG196" s="13"/>
      <c r="AH196" s="14"/>
      <c r="AI196" s="13"/>
      <c r="AJ196" s="14"/>
      <c r="AK196" s="13"/>
      <c r="AL196" s="14"/>
      <c r="AM196" s="13"/>
      <c r="AN196" s="14"/>
      <c r="AO196" s="13"/>
      <c r="AP196" s="14"/>
      <c r="AQ196" s="13"/>
      <c r="AR196" s="14"/>
      <c r="AS196" s="13"/>
      <c r="AT196" s="14"/>
      <c r="AU196" s="13"/>
      <c r="AV196" s="14"/>
      <c r="AW196" s="13"/>
      <c r="AX196" s="14"/>
      <c r="AY196" s="13"/>
      <c r="AZ196" s="15"/>
      <c r="BA196" s="20">
        <v>0</v>
      </c>
      <c r="BB196" s="21">
        <v>0</v>
      </c>
      <c r="BC196" s="20">
        <v>2765000</v>
      </c>
      <c r="BD196" s="21">
        <v>0</v>
      </c>
    </row>
    <row r="197" spans="1:56" ht="12" customHeight="1">
      <c r="A197" s="22" t="s">
        <v>468</v>
      </c>
      <c r="B197" s="23">
        <v>10039499</v>
      </c>
      <c r="C197" s="34" t="s">
        <v>474</v>
      </c>
      <c r="D197" s="19">
        <f>VLOOKUP(B197,[2]계약서!$C:$R,16,0)</f>
        <v>338168598</v>
      </c>
      <c r="E197" s="10">
        <f t="shared" si="12"/>
        <v>9393572.166666666</v>
      </c>
      <c r="F197" s="8" t="s">
        <v>479</v>
      </c>
      <c r="G197" s="8">
        <v>51</v>
      </c>
      <c r="H197" s="35">
        <v>46204</v>
      </c>
      <c r="I197" s="11" t="s">
        <v>448</v>
      </c>
      <c r="J197" s="9">
        <f t="shared" si="14"/>
        <v>768000</v>
      </c>
      <c r="K197" s="9">
        <f t="shared" si="15"/>
        <v>0</v>
      </c>
      <c r="L197" s="12">
        <f t="shared" si="13"/>
        <v>0</v>
      </c>
      <c r="M197" s="13"/>
      <c r="N197" s="14"/>
      <c r="O197" s="13"/>
      <c r="P197" s="14"/>
      <c r="Q197" s="13"/>
      <c r="R197" s="14"/>
      <c r="S197" s="13"/>
      <c r="T197" s="14"/>
      <c r="U197" s="13"/>
      <c r="V197" s="14"/>
      <c r="W197" s="13"/>
      <c r="X197" s="14"/>
      <c r="Y197" s="13"/>
      <c r="Z197" s="14"/>
      <c r="AA197" s="13"/>
      <c r="AB197" s="14"/>
      <c r="AC197" s="13"/>
      <c r="AD197" s="14"/>
      <c r="AE197" s="13"/>
      <c r="AF197" s="14"/>
      <c r="AG197" s="13"/>
      <c r="AH197" s="14"/>
      <c r="AI197" s="13"/>
      <c r="AJ197" s="14"/>
      <c r="AK197" s="13"/>
      <c r="AL197" s="14"/>
      <c r="AM197" s="13"/>
      <c r="AN197" s="14"/>
      <c r="AO197" s="13"/>
      <c r="AP197" s="14"/>
      <c r="AQ197" s="13"/>
      <c r="AR197" s="14"/>
      <c r="AS197" s="13"/>
      <c r="AT197" s="14"/>
      <c r="AU197" s="13"/>
      <c r="AV197" s="14"/>
      <c r="AW197" s="13"/>
      <c r="AX197" s="14"/>
      <c r="AY197" s="13"/>
      <c r="AZ197" s="15"/>
      <c r="BA197" s="20">
        <v>0</v>
      </c>
      <c r="BB197" s="21">
        <v>0</v>
      </c>
      <c r="BC197" s="20">
        <v>768000</v>
      </c>
      <c r="BD197" s="21">
        <v>0</v>
      </c>
    </row>
    <row r="198" spans="1:56" ht="12" customHeight="1">
      <c r="A198" s="22" t="s">
        <v>469</v>
      </c>
      <c r="B198" s="23">
        <v>10041846</v>
      </c>
      <c r="C198" s="34" t="s">
        <v>475</v>
      </c>
      <c r="D198" s="19">
        <f>VLOOKUP(B198,[2]계약서!$C:$R,16,0)</f>
        <v>1198000000</v>
      </c>
      <c r="E198" s="10">
        <f t="shared" si="12"/>
        <v>33277777.777777776</v>
      </c>
      <c r="F198" s="8" t="s">
        <v>479</v>
      </c>
      <c r="G198" s="8">
        <v>130</v>
      </c>
      <c r="H198" s="35">
        <v>46235</v>
      </c>
      <c r="I198" s="11" t="s">
        <v>448</v>
      </c>
      <c r="J198" s="9">
        <f t="shared" si="14"/>
        <v>3582000</v>
      </c>
      <c r="K198" s="9">
        <f t="shared" si="15"/>
        <v>3582000</v>
      </c>
      <c r="L198" s="12">
        <f t="shared" si="13"/>
        <v>1</v>
      </c>
      <c r="M198" s="13"/>
      <c r="N198" s="14"/>
      <c r="O198" s="13"/>
      <c r="P198" s="14"/>
      <c r="Q198" s="13"/>
      <c r="R198" s="14"/>
      <c r="S198" s="13"/>
      <c r="T198" s="14"/>
      <c r="U198" s="13"/>
      <c r="V198" s="14"/>
      <c r="W198" s="13"/>
      <c r="X198" s="14"/>
      <c r="Y198" s="13"/>
      <c r="Z198" s="14"/>
      <c r="AA198" s="13"/>
      <c r="AB198" s="14"/>
      <c r="AC198" s="13"/>
      <c r="AD198" s="14"/>
      <c r="AE198" s="13"/>
      <c r="AF198" s="14"/>
      <c r="AG198" s="13"/>
      <c r="AH198" s="14"/>
      <c r="AI198" s="13"/>
      <c r="AJ198" s="14"/>
      <c r="AK198" s="13"/>
      <c r="AL198" s="14"/>
      <c r="AM198" s="13"/>
      <c r="AN198" s="14"/>
      <c r="AO198" s="13"/>
      <c r="AP198" s="14"/>
      <c r="AQ198" s="13"/>
      <c r="AR198" s="14"/>
      <c r="AS198" s="13"/>
      <c r="AT198" s="14"/>
      <c r="AU198" s="13"/>
      <c r="AV198" s="14"/>
      <c r="AW198" s="13"/>
      <c r="AX198" s="14"/>
      <c r="AY198" s="13"/>
      <c r="AZ198" s="15"/>
      <c r="BA198" s="20">
        <v>0</v>
      </c>
      <c r="BB198" s="21">
        <v>0</v>
      </c>
      <c r="BC198" s="20">
        <v>3582000</v>
      </c>
      <c r="BD198" s="21">
        <v>3582000</v>
      </c>
    </row>
    <row r="199" spans="1:56" ht="12" customHeight="1">
      <c r="A199" s="22" t="s">
        <v>470</v>
      </c>
      <c r="B199" s="23">
        <v>10070076</v>
      </c>
      <c r="C199" s="34" t="s">
        <v>476</v>
      </c>
      <c r="D199" s="19">
        <f>VLOOKUP(B199,[2]계약서!$C:$R,16,0)</f>
        <v>194105856</v>
      </c>
      <c r="E199" s="10">
        <f t="shared" si="12"/>
        <v>5391829.333333333</v>
      </c>
      <c r="F199" s="8" t="s">
        <v>479</v>
      </c>
      <c r="G199" s="8">
        <v>20</v>
      </c>
      <c r="H199" s="35" t="s">
        <v>480</v>
      </c>
      <c r="I199" s="11" t="s">
        <v>448</v>
      </c>
      <c r="J199" s="9">
        <f t="shared" si="14"/>
        <v>5408000</v>
      </c>
      <c r="K199" s="9">
        <f t="shared" si="15"/>
        <v>0</v>
      </c>
      <c r="L199" s="12">
        <f t="shared" si="13"/>
        <v>0</v>
      </c>
      <c r="M199" s="13"/>
      <c r="N199" s="14"/>
      <c r="O199" s="13"/>
      <c r="P199" s="14"/>
      <c r="Q199" s="13"/>
      <c r="R199" s="14"/>
      <c r="S199" s="13"/>
      <c r="T199" s="14"/>
      <c r="U199" s="13"/>
      <c r="V199" s="14"/>
      <c r="W199" s="13"/>
      <c r="X199" s="14"/>
      <c r="Y199" s="13"/>
      <c r="Z199" s="14"/>
      <c r="AA199" s="13"/>
      <c r="AB199" s="14"/>
      <c r="AC199" s="13"/>
      <c r="AD199" s="14"/>
      <c r="AE199" s="13"/>
      <c r="AF199" s="14"/>
      <c r="AG199" s="13"/>
      <c r="AH199" s="14"/>
      <c r="AI199" s="13"/>
      <c r="AJ199" s="14"/>
      <c r="AK199" s="13"/>
      <c r="AL199" s="14"/>
      <c r="AM199" s="13"/>
      <c r="AN199" s="14"/>
      <c r="AO199" s="13"/>
      <c r="AP199" s="14"/>
      <c r="AQ199" s="13"/>
      <c r="AR199" s="14"/>
      <c r="AS199" s="13"/>
      <c r="AT199" s="14"/>
      <c r="AU199" s="13"/>
      <c r="AV199" s="14"/>
      <c r="AW199" s="13"/>
      <c r="AX199" s="14"/>
      <c r="AY199" s="13"/>
      <c r="AZ199" s="15"/>
      <c r="BA199" s="20">
        <v>0</v>
      </c>
      <c r="BB199" s="21">
        <v>0</v>
      </c>
      <c r="BC199" s="20">
        <v>5408000</v>
      </c>
      <c r="BD199" s="21">
        <v>0</v>
      </c>
    </row>
    <row r="200" spans="1:56" ht="12" customHeight="1">
      <c r="A200" s="22" t="s">
        <v>471</v>
      </c>
      <c r="B200" s="23">
        <v>10073449</v>
      </c>
      <c r="C200" s="34" t="s">
        <v>477</v>
      </c>
      <c r="D200" s="19">
        <f>VLOOKUP(B200,[2]계약서!$C:$R,16,0)</f>
        <v>645056944</v>
      </c>
      <c r="E200" s="10">
        <f t="shared" si="12"/>
        <v>17918248.444444444</v>
      </c>
      <c r="F200" s="8" t="s">
        <v>479</v>
      </c>
      <c r="G200" s="8">
        <v>90</v>
      </c>
      <c r="H200" s="35">
        <v>46234</v>
      </c>
      <c r="I200" s="11" t="s">
        <v>448</v>
      </c>
      <c r="J200" s="9">
        <f t="shared" si="14"/>
        <v>12311000</v>
      </c>
      <c r="K200" s="9">
        <f t="shared" si="15"/>
        <v>0</v>
      </c>
      <c r="L200" s="12">
        <f t="shared" si="13"/>
        <v>0</v>
      </c>
      <c r="M200" s="13"/>
      <c r="N200" s="14"/>
      <c r="O200" s="13"/>
      <c r="P200" s="14"/>
      <c r="Q200" s="13"/>
      <c r="R200" s="14"/>
      <c r="S200" s="13"/>
      <c r="T200" s="14"/>
      <c r="U200" s="13"/>
      <c r="V200" s="14"/>
      <c r="W200" s="13"/>
      <c r="X200" s="14"/>
      <c r="Y200" s="13"/>
      <c r="Z200" s="14"/>
      <c r="AA200" s="13"/>
      <c r="AB200" s="14"/>
      <c r="AC200" s="13"/>
      <c r="AD200" s="14"/>
      <c r="AE200" s="13"/>
      <c r="AF200" s="14"/>
      <c r="AG200" s="13"/>
      <c r="AH200" s="14"/>
      <c r="AI200" s="13"/>
      <c r="AJ200" s="14"/>
      <c r="AK200" s="13"/>
      <c r="AL200" s="14"/>
      <c r="AM200" s="13"/>
      <c r="AN200" s="14"/>
      <c r="AO200" s="13"/>
      <c r="AP200" s="14"/>
      <c r="AQ200" s="13"/>
      <c r="AR200" s="14"/>
      <c r="AS200" s="13"/>
      <c r="AT200" s="14"/>
      <c r="AU200" s="13"/>
      <c r="AV200" s="14"/>
      <c r="AW200" s="13"/>
      <c r="AX200" s="14"/>
      <c r="AY200" s="13"/>
      <c r="AZ200" s="15"/>
      <c r="BA200" s="20">
        <v>0</v>
      </c>
      <c r="BB200" s="21">
        <v>0</v>
      </c>
      <c r="BC200" s="20">
        <v>12311000</v>
      </c>
      <c r="BD200" s="21">
        <v>0</v>
      </c>
    </row>
    <row r="201" spans="1:56" ht="11.4" customHeight="1">
      <c r="A201" s="22" t="s">
        <v>472</v>
      </c>
      <c r="B201" s="23">
        <v>10092010</v>
      </c>
      <c r="C201" s="34" t="s">
        <v>478</v>
      </c>
      <c r="D201" s="19">
        <f>VLOOKUP(B201,[2]계약서!$C:$R,16,0)</f>
        <v>362803168</v>
      </c>
      <c r="E201" s="10">
        <f t="shared" si="12"/>
        <v>10077865.777777778</v>
      </c>
      <c r="F201" s="8" t="s">
        <v>479</v>
      </c>
      <c r="G201" s="8">
        <v>30</v>
      </c>
      <c r="H201" s="35" t="s">
        <v>428</v>
      </c>
      <c r="I201" s="11" t="s">
        <v>448</v>
      </c>
      <c r="J201" s="9">
        <f t="shared" si="14"/>
        <v>6565000</v>
      </c>
      <c r="K201" s="9">
        <f t="shared" si="15"/>
        <v>0</v>
      </c>
      <c r="L201" s="12">
        <f t="shared" si="13"/>
        <v>0</v>
      </c>
      <c r="M201" s="13"/>
      <c r="N201" s="14"/>
      <c r="O201" s="13"/>
      <c r="P201" s="14"/>
      <c r="Q201" s="13"/>
      <c r="R201" s="14"/>
      <c r="S201" s="13"/>
      <c r="T201" s="14"/>
      <c r="U201" s="13"/>
      <c r="V201" s="14"/>
      <c r="W201" s="13"/>
      <c r="X201" s="14"/>
      <c r="Y201" s="13"/>
      <c r="Z201" s="14"/>
      <c r="AA201" s="13"/>
      <c r="AB201" s="14"/>
      <c r="AC201" s="13"/>
      <c r="AD201" s="14"/>
      <c r="AE201" s="13"/>
      <c r="AF201" s="14"/>
      <c r="AG201" s="13"/>
      <c r="AH201" s="14"/>
      <c r="AI201" s="13"/>
      <c r="AJ201" s="14"/>
      <c r="AK201" s="13"/>
      <c r="AL201" s="14"/>
      <c r="AM201" s="13"/>
      <c r="AN201" s="14"/>
      <c r="AO201" s="13"/>
      <c r="AP201" s="14"/>
      <c r="AQ201" s="13"/>
      <c r="AR201" s="14"/>
      <c r="AS201" s="13"/>
      <c r="AT201" s="14"/>
      <c r="AU201" s="13"/>
      <c r="AV201" s="14"/>
      <c r="AW201" s="13"/>
      <c r="AX201" s="14"/>
      <c r="AY201" s="13"/>
      <c r="AZ201" s="15"/>
      <c r="BA201" s="20">
        <v>0</v>
      </c>
      <c r="BB201" s="21">
        <v>0</v>
      </c>
      <c r="BC201" s="20">
        <v>6565000</v>
      </c>
      <c r="BD201" s="21">
        <v>0</v>
      </c>
    </row>
    <row r="202" spans="1:56" ht="11.4" customHeight="1">
      <c r="A202" s="22" t="s">
        <v>528</v>
      </c>
      <c r="B202" s="38">
        <v>10055464</v>
      </c>
      <c r="C202" s="34" t="s">
        <v>529</v>
      </c>
      <c r="D202" s="19">
        <v>177406200</v>
      </c>
      <c r="E202" s="10">
        <f t="shared" ref="E202" si="16">D202/36</f>
        <v>4927950</v>
      </c>
      <c r="F202" s="8" t="s">
        <v>71</v>
      </c>
      <c r="G202" s="8">
        <v>20</v>
      </c>
      <c r="H202" s="35">
        <v>46268</v>
      </c>
      <c r="I202" s="11" t="s">
        <v>448</v>
      </c>
      <c r="J202" s="9">
        <f t="shared" ref="J202" si="17">M202+O202+Q202+S202+U202+W202+Y202+AA202+AC202+AE202+AG202+AI202+AK202+AM202+AO202+AQ202+AS202+AU202+AW202+AY202+BA202+BC202</f>
        <v>0</v>
      </c>
      <c r="K202" s="9">
        <f t="shared" ref="K202" si="18">N202+P202+R202+T202+V202+X202+Z202+AB202+AD202+AF202+AH202+AJ202+AL202+AN202+AP202+AR202+AT202+AV202+AX202+AZ202+BB202+BD202</f>
        <v>59135400</v>
      </c>
      <c r="L202" s="12" t="e">
        <f t="shared" ref="L202" si="19">K202/J202</f>
        <v>#DIV/0!</v>
      </c>
      <c r="M202" s="13"/>
      <c r="N202" s="14"/>
      <c r="O202" s="13"/>
      <c r="P202" s="14"/>
      <c r="Q202" s="13"/>
      <c r="R202" s="14"/>
      <c r="S202" s="13"/>
      <c r="T202" s="14"/>
      <c r="U202" s="13"/>
      <c r="V202" s="14"/>
      <c r="W202" s="13"/>
      <c r="X202" s="14"/>
      <c r="Y202" s="13"/>
      <c r="Z202" s="14"/>
      <c r="AA202" s="13"/>
      <c r="AB202" s="14"/>
      <c r="AC202" s="13"/>
      <c r="AD202" s="14"/>
      <c r="AE202" s="13"/>
      <c r="AF202" s="14"/>
      <c r="AG202" s="13"/>
      <c r="AH202" s="14"/>
      <c r="AI202" s="13"/>
      <c r="AJ202" s="14"/>
      <c r="AK202" s="13"/>
      <c r="AL202" s="14"/>
      <c r="AM202" s="13"/>
      <c r="AN202" s="14"/>
      <c r="AO202" s="13"/>
      <c r="AP202" s="14"/>
      <c r="AQ202" s="13"/>
      <c r="AR202" s="14"/>
      <c r="AS202" s="13"/>
      <c r="AT202" s="14"/>
      <c r="AU202" s="13"/>
      <c r="AV202" s="14"/>
      <c r="AW202" s="13"/>
      <c r="AX202" s="14"/>
      <c r="AY202" s="13"/>
      <c r="AZ202" s="15"/>
      <c r="BA202" s="20">
        <v>0</v>
      </c>
      <c r="BB202" s="21">
        <v>0</v>
      </c>
      <c r="BC202" s="20">
        <v>0</v>
      </c>
      <c r="BD202" s="21">
        <v>59135400</v>
      </c>
    </row>
  </sheetData>
  <mergeCells count="25">
    <mergeCell ref="AU2:AV2"/>
    <mergeCell ref="AW2:AX2"/>
    <mergeCell ref="AY2:AZ2"/>
    <mergeCell ref="BC2:BD2"/>
    <mergeCell ref="AI2:AJ2"/>
    <mergeCell ref="AK2:AL2"/>
    <mergeCell ref="AM2:AN2"/>
    <mergeCell ref="AQ2:AR2"/>
    <mergeCell ref="AS2:AT2"/>
    <mergeCell ref="Q2:R2"/>
    <mergeCell ref="BA2:BB2"/>
    <mergeCell ref="A2:C2"/>
    <mergeCell ref="D2:I2"/>
    <mergeCell ref="J2:K2"/>
    <mergeCell ref="M2:N2"/>
    <mergeCell ref="O2:P2"/>
    <mergeCell ref="AO2:AP2"/>
    <mergeCell ref="S2:T2"/>
    <mergeCell ref="U2:V2"/>
    <mergeCell ref="W2:X2"/>
    <mergeCell ref="Y2:Z2"/>
    <mergeCell ref="AA2:AB2"/>
    <mergeCell ref="AC2:AD2"/>
    <mergeCell ref="AE2:AF2"/>
    <mergeCell ref="AG2:AH2"/>
  </mergeCells>
  <phoneticPr fontId="2" type="noConversion"/>
  <conditionalFormatting sqref="B4">
    <cfRule type="duplicateValues" dxfId="11" priority="25"/>
    <cfRule type="duplicateValues" dxfId="10" priority="26"/>
  </conditionalFormatting>
  <conditionalFormatting sqref="B4">
    <cfRule type="duplicateValues" dxfId="9" priority="27"/>
  </conditionalFormatting>
  <conditionalFormatting sqref="B4">
    <cfRule type="duplicateValues" dxfId="8" priority="13"/>
  </conditionalFormatting>
  <conditionalFormatting sqref="B202">
    <cfRule type="duplicateValues" dxfId="7" priority="2"/>
    <cfRule type="duplicateValues" dxfId="6" priority="3"/>
  </conditionalFormatting>
  <conditionalFormatting sqref="B202">
    <cfRule type="duplicateValues" dxfId="5" priority="4"/>
  </conditionalFormatting>
  <conditionalFormatting sqref="B202">
    <cfRule type="duplicateValues" dxfId="4" priority="1"/>
  </conditionalFormatting>
  <conditionalFormatting sqref="B5:B201">
    <cfRule type="duplicateValues" dxfId="3" priority="28"/>
    <cfRule type="duplicateValues" dxfId="2" priority="29"/>
  </conditionalFormatting>
  <conditionalFormatting sqref="B5:B201">
    <cfRule type="duplicateValues" dxfId="1" priority="32"/>
  </conditionalFormatting>
  <conditionalFormatting sqref="B5:B201">
    <cfRule type="duplicateValues" dxfId="0" priority="34"/>
  </conditionalFormatting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2026-09-11T02:03:15Z</dcterms:created>
  <dcterms:modified xsi:type="dcterms:W3CDTF">2026-10-13T07:09:28Z</dcterms:modified>
</cp:coreProperties>
</file>